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Oldooz Dianat\Documents\GitHub\MasterPrice\"/>
    </mc:Choice>
  </mc:AlternateContent>
  <bookViews>
    <workbookView xWindow="0" yWindow="0" windowWidth="25125" windowHeight="12435" tabRatio="603"/>
  </bookViews>
  <sheets>
    <sheet name="ACTIVE 2011" sheetId="17" r:id="rId1"/>
    <sheet name="Active 2013" sheetId="20" r:id="rId2"/>
    <sheet name="Healthscope sole supply" sheetId="18" r:id="rId3"/>
    <sheet name="Ramsay Bowls" sheetId="19" r:id="rId4"/>
    <sheet name="ACTIVE 2010" sheetId="9" r:id="rId5"/>
    <sheet name="CPPs" sheetId="16" r:id="rId6"/>
    <sheet name="ORIGINAL" sheetId="1" r:id="rId7"/>
    <sheet name="DISC" sheetId="8" r:id="rId8"/>
    <sheet name="Pricing Vs CFN" sheetId="11" r:id="rId9"/>
    <sheet name="CFN HPV" sheetId="10" r:id="rId10"/>
    <sheet name="Sean" sheetId="7" r:id="rId11"/>
    <sheet name="SOCH" sheetId="13" r:id="rId12"/>
    <sheet name="Epworth" sheetId="14" r:id="rId13"/>
    <sheet name="Hartmann" sheetId="15" r:id="rId14"/>
    <sheet name="Pallets" sheetId="12" r:id="rId15"/>
  </sheets>
  <externalReferences>
    <externalReference r:id="rId16"/>
    <externalReference r:id="rId17"/>
    <externalReference r:id="rId18"/>
  </externalReferences>
  <definedNames>
    <definedName name="__123Graph_A" localSheetId="0" hidden="1">[1]Sheet1!#REF!</definedName>
    <definedName name="__123Graph_A" localSheetId="5" hidden="1">[1]Sheet1!#REF!</definedName>
    <definedName name="__123Graph_A" localSheetId="12" hidden="1">[1]Sheet1!#REF!</definedName>
    <definedName name="__123Graph_A" localSheetId="8" hidden="1">[1]Sheet1!#REF!</definedName>
    <definedName name="__123Graph_A" localSheetId="11" hidden="1">[1]Sheet1!#REF!</definedName>
    <definedName name="__123Graph_A" hidden="1">[1]Sheet1!#REF!</definedName>
    <definedName name="__123Graph_B" localSheetId="0" hidden="1">[1]Sheet1!#REF!</definedName>
    <definedName name="__123Graph_B" localSheetId="5" hidden="1">[1]Sheet1!#REF!</definedName>
    <definedName name="__123Graph_B" localSheetId="12" hidden="1">[1]Sheet1!#REF!</definedName>
    <definedName name="__123Graph_B" localSheetId="8" hidden="1">[1]Sheet1!#REF!</definedName>
    <definedName name="__123Graph_B" localSheetId="11" hidden="1">[1]Sheet1!#REF!</definedName>
    <definedName name="__123Graph_B" hidden="1">[1]Sheet1!#REF!</definedName>
    <definedName name="__123Graph_C" localSheetId="0" hidden="1">[1]Sheet1!#REF!</definedName>
    <definedName name="__123Graph_C" localSheetId="5" hidden="1">[1]Sheet1!#REF!</definedName>
    <definedName name="__123Graph_C" localSheetId="12" hidden="1">[1]Sheet1!#REF!</definedName>
    <definedName name="__123Graph_C" localSheetId="8" hidden="1">[1]Sheet1!#REF!</definedName>
    <definedName name="__123Graph_C" localSheetId="11" hidden="1">[1]Sheet1!#REF!</definedName>
    <definedName name="__123Graph_C" hidden="1">[1]Sheet1!#REF!</definedName>
    <definedName name="__123Graph_D" localSheetId="0" hidden="1">[1]Sheet1!#REF!</definedName>
    <definedName name="__123Graph_D" localSheetId="5" hidden="1">[1]Sheet1!#REF!</definedName>
    <definedName name="__123Graph_D" localSheetId="12" hidden="1">[1]Sheet1!#REF!</definedName>
    <definedName name="__123Graph_D" localSheetId="8" hidden="1">[1]Sheet1!#REF!</definedName>
    <definedName name="__123Graph_D" localSheetId="11" hidden="1">[1]Sheet1!#REF!</definedName>
    <definedName name="__123Graph_D" hidden="1">[1]Sheet1!#REF!</definedName>
    <definedName name="__123Graph_E" localSheetId="0" hidden="1">[1]Sheet1!#REF!</definedName>
    <definedName name="__123Graph_E" localSheetId="5" hidden="1">[1]Sheet1!#REF!</definedName>
    <definedName name="__123Graph_E" localSheetId="12" hidden="1">[1]Sheet1!#REF!</definedName>
    <definedName name="__123Graph_E" localSheetId="8" hidden="1">[1]Sheet1!#REF!</definedName>
    <definedName name="__123Graph_E" localSheetId="11" hidden="1">[1]Sheet1!#REF!</definedName>
    <definedName name="__123Graph_E" hidden="1">[1]Sheet1!#REF!</definedName>
    <definedName name="__123Graph_F" localSheetId="0" hidden="1">[1]Sheet1!#REF!</definedName>
    <definedName name="__123Graph_F" localSheetId="5" hidden="1">[1]Sheet1!#REF!</definedName>
    <definedName name="__123Graph_F" localSheetId="12" hidden="1">[1]Sheet1!#REF!</definedName>
    <definedName name="__123Graph_F" localSheetId="8" hidden="1">[1]Sheet1!#REF!</definedName>
    <definedName name="__123Graph_F" localSheetId="11" hidden="1">[1]Sheet1!#REF!</definedName>
    <definedName name="__123Graph_F" hidden="1">[1]Sheet1!#REF!</definedName>
    <definedName name="_xlnm._FilterDatabase" localSheetId="0" hidden="1">'ACTIVE 2011'!$C$1:$C$507</definedName>
    <definedName name="_Order1" hidden="1">255</definedName>
    <definedName name="_Order2" hidden="1">255</definedName>
    <definedName name="_wrn3"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 localSheetId="0">[2]SoftGownPortfolio!#REF!</definedName>
    <definedName name="A" localSheetId="5">[2]SoftGownPortfolio!#REF!</definedName>
    <definedName name="A" localSheetId="12">[2]SoftGownPortfolio!#REF!</definedName>
    <definedName name="A" localSheetId="8">[2]SoftGownPortfolio!#REF!</definedName>
    <definedName name="A" localSheetId="11">[2]SoftGownPortfolio!#REF!</definedName>
    <definedName name="A">[2]SoftGownPortfolio!#REF!</definedName>
    <definedName name="asdasdas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sdasdas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urrency">[3]RATES!$A$3:$A$32</definedName>
    <definedName name="Industri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Industri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xlnm.Print_Area" localSheetId="4">'ACTIVE 2010'!$A$1:$X$229</definedName>
    <definedName name="_xlnm.Print_Area" localSheetId="0">'ACTIVE 2011'!$A$326:$Y$327</definedName>
    <definedName name="_xlnm.Print_Area" localSheetId="9">'CFN HPV'!$A$1:$M$127</definedName>
    <definedName name="_xlnm.Print_Area" localSheetId="5">CPPs!$A$1:$P$2</definedName>
    <definedName name="_xlnm.Print_Area" localSheetId="7">DISC!$A$1:$R$2</definedName>
    <definedName name="_xlnm.Print_Area" localSheetId="12">Epworth!$A$1:$C$22</definedName>
    <definedName name="_xlnm.Print_Area" localSheetId="13">Hartmann!$A$1:$I$129</definedName>
    <definedName name="_xlnm.Print_Area" localSheetId="6">ORIGINAL!$A$1:$T$138</definedName>
    <definedName name="_xlnm.Print_Area" localSheetId="14">Pallets!$A$1:$F$138</definedName>
    <definedName name="_xlnm.Print_Area" localSheetId="8">'Pricing Vs CFN'!$A$1:$S$138</definedName>
    <definedName name="_xlnm.Print_Area" localSheetId="10">Sean!$A$1:$D$15</definedName>
    <definedName name="_xlnm.Print_Area" localSheetId="11">SOCH!$A$1:$O$109</definedName>
    <definedName name="_xlnm.Print_Titles" localSheetId="4">'ACTIVE 2010'!$1:$2</definedName>
    <definedName name="_xlnm.Print_Titles" localSheetId="0">'ACTIVE 2011'!$1:$2</definedName>
    <definedName name="_xlnm.Print_Titles" localSheetId="9">'CFN HPV'!$1:$2</definedName>
    <definedName name="_xlnm.Print_Titles" localSheetId="12">Epworth!$1:$2</definedName>
    <definedName name="_xlnm.Print_Titles" localSheetId="13">Hartmann!$1:$2</definedName>
    <definedName name="_xlnm.Print_Titles" localSheetId="11">SOCH!$1:$2</definedName>
    <definedName name="q"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q"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SAPBEXrevision" hidden="1">28</definedName>
    <definedName name="SAPBEXsysID" hidden="1">"BPR"</definedName>
    <definedName name="SAPBEXwbID" hidden="1">"44N2K3GF4AMN1QOEGT3VZRU9B"</definedName>
    <definedName name="te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e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Far._.Aus." localSheetId="13" hidden="1">{#N/A,#N/A,FALSE,"Fcast";"fcast",#N/A,FALSE,"Fcast"}</definedName>
    <definedName name="wrn.Far._.Aus." hidden="1">{#N/A,#N/A,FALSE,"Fcast";"fcast",#N/A,FALSE,"Fcast"}</definedName>
    <definedName name="wrn.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s>
  <calcPr calcId="152511"/>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K4" i="17" l="1"/>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3" i="17"/>
  <c r="K256" i="17" l="1"/>
  <c r="K257" i="17"/>
  <c r="K258" i="17"/>
  <c r="K259" i="17"/>
  <c r="K260" i="17"/>
  <c r="K261" i="17"/>
  <c r="K262" i="17"/>
  <c r="K263" i="17"/>
  <c r="K264" i="17"/>
  <c r="K265" i="17"/>
  <c r="K266" i="17"/>
  <c r="K267" i="17"/>
  <c r="K268" i="17"/>
  <c r="K269" i="17"/>
  <c r="K270" i="17"/>
  <c r="X379" i="17" l="1"/>
  <c r="Y379" i="17"/>
  <c r="P379" i="17"/>
  <c r="Q411" i="17" l="1"/>
  <c r="W323" i="17" l="1"/>
  <c r="X323" i="17" s="1"/>
  <c r="W324" i="17"/>
  <c r="X324" i="17" s="1"/>
  <c r="W322" i="17"/>
  <c r="X322" i="17" s="1"/>
  <c r="Q323" i="17"/>
  <c r="R323" i="17" s="1"/>
  <c r="Q324" i="17"/>
  <c r="R324" i="17" s="1"/>
  <c r="Q322" i="17"/>
  <c r="R322" i="17" s="1"/>
  <c r="P323" i="17"/>
  <c r="P324" i="17"/>
  <c r="P322" i="17"/>
  <c r="W331" i="17"/>
  <c r="X331" i="17" s="1"/>
  <c r="W330" i="17"/>
  <c r="X330" i="17" s="1"/>
  <c r="T352" i="17"/>
  <c r="U352" i="17" s="1"/>
  <c r="T351" i="17"/>
  <c r="U351" i="17" s="1"/>
  <c r="X352" i="17"/>
  <c r="W351" i="17"/>
  <c r="X351" i="17" s="1"/>
  <c r="P352" i="17"/>
  <c r="P351" i="17"/>
  <c r="W224" i="17"/>
  <c r="X224" i="17" s="1"/>
  <c r="P410" i="17"/>
  <c r="R410" i="17" s="1"/>
  <c r="Q410" i="17" s="1"/>
  <c r="R293" i="17"/>
  <c r="AH293" i="17"/>
  <c r="X413" i="17"/>
  <c r="W413" i="17" s="1"/>
  <c r="X414" i="17"/>
  <c r="W414" i="17" s="1"/>
  <c r="X415" i="17"/>
  <c r="W415" i="17" s="1"/>
  <c r="X416" i="17"/>
  <c r="W416" i="17" s="1"/>
  <c r="X417" i="17"/>
  <c r="W417" i="17" s="1"/>
  <c r="X418" i="17"/>
  <c r="W418" i="17" s="1"/>
  <c r="X419" i="17"/>
  <c r="W419" i="17" s="1"/>
  <c r="X420" i="17"/>
  <c r="W420" i="17" s="1"/>
  <c r="X421" i="17"/>
  <c r="W421" i="17" s="1"/>
  <c r="X412" i="17"/>
  <c r="W412" i="17" s="1"/>
  <c r="P388" i="17"/>
  <c r="X388" i="17" s="1"/>
  <c r="W388" i="17" s="1"/>
  <c r="P389" i="17"/>
  <c r="X389" i="17" s="1"/>
  <c r="W389" i="17" s="1"/>
  <c r="P390" i="17"/>
  <c r="X390" i="17" s="1"/>
  <c r="W390" i="17" s="1"/>
  <c r="P391" i="17"/>
  <c r="X391" i="17" s="1"/>
  <c r="W391" i="17" s="1"/>
  <c r="P392" i="17"/>
  <c r="X392" i="17" s="1"/>
  <c r="W392" i="17" s="1"/>
  <c r="P393" i="17"/>
  <c r="X393" i="17" s="1"/>
  <c r="W393" i="17" s="1"/>
  <c r="P394" i="17"/>
  <c r="X394" i="17" s="1"/>
  <c r="W394" i="17" s="1"/>
  <c r="P395" i="17"/>
  <c r="X395" i="17" s="1"/>
  <c r="W395" i="17" s="1"/>
  <c r="P396" i="17"/>
  <c r="X396" i="17" s="1"/>
  <c r="W396" i="17" s="1"/>
  <c r="P397" i="17"/>
  <c r="X397" i="17" s="1"/>
  <c r="W397" i="17" s="1"/>
  <c r="P398" i="17"/>
  <c r="X398" i="17" s="1"/>
  <c r="W398" i="17" s="1"/>
  <c r="P399" i="17"/>
  <c r="X399" i="17" s="1"/>
  <c r="W399" i="17" s="1"/>
  <c r="P400" i="17"/>
  <c r="X400" i="17" s="1"/>
  <c r="W400" i="17" s="1"/>
  <c r="P401" i="17"/>
  <c r="X401" i="17" s="1"/>
  <c r="W401" i="17" s="1"/>
  <c r="P402" i="17"/>
  <c r="X402" i="17" s="1"/>
  <c r="W402" i="17" s="1"/>
  <c r="P403" i="17"/>
  <c r="X403" i="17" s="1"/>
  <c r="W403" i="17" s="1"/>
  <c r="P404" i="17"/>
  <c r="X404" i="17" s="1"/>
  <c r="W404" i="17" s="1"/>
  <c r="P405" i="17"/>
  <c r="X405" i="17" s="1"/>
  <c r="W405" i="17" s="1"/>
  <c r="P406" i="17"/>
  <c r="X406" i="17" s="1"/>
  <c r="W406" i="17" s="1"/>
  <c r="P407" i="17"/>
  <c r="X407" i="17" s="1"/>
  <c r="W407" i="17" s="1"/>
  <c r="P408" i="17"/>
  <c r="X408" i="17" s="1"/>
  <c r="W408" i="17" s="1"/>
  <c r="P409" i="17"/>
  <c r="X409" i="17" s="1"/>
  <c r="W409" i="17" s="1"/>
  <c r="P387" i="17"/>
  <c r="X387" i="17" s="1"/>
  <c r="W387" i="17" s="1"/>
  <c r="U70" i="17"/>
  <c r="T70" i="17" s="1"/>
  <c r="Q70" i="17"/>
  <c r="S70" i="17" s="1"/>
  <c r="Z70" i="17"/>
  <c r="AB70" i="17" s="1"/>
  <c r="AA70" i="17"/>
  <c r="AC70" i="17" s="1"/>
  <c r="Q68" i="17"/>
  <c r="R68" i="17" s="1"/>
  <c r="P239" i="17"/>
  <c r="Q239" i="17"/>
  <c r="T239" i="17"/>
  <c r="U239" i="17" s="1"/>
  <c r="W239" i="17"/>
  <c r="Y239" i="17" s="1"/>
  <c r="P298" i="17"/>
  <c r="Q298" i="17"/>
  <c r="S298" i="17" s="1"/>
  <c r="T298" i="17"/>
  <c r="V298" i="17" s="1"/>
  <c r="W298" i="17"/>
  <c r="W189" i="17"/>
  <c r="Y189" i="17" s="1"/>
  <c r="X308" i="17"/>
  <c r="W308" i="17" s="1"/>
  <c r="X309" i="17"/>
  <c r="W309" i="17" s="1"/>
  <c r="X310" i="17"/>
  <c r="W310" i="17" s="1"/>
  <c r="X311" i="17"/>
  <c r="W311" i="17" s="1"/>
  <c r="X312" i="17"/>
  <c r="W312" i="17" s="1"/>
  <c r="X313" i="17"/>
  <c r="W313" i="17" s="1"/>
  <c r="X314" i="17"/>
  <c r="W314" i="17" s="1"/>
  <c r="X315" i="17"/>
  <c r="W315" i="17" s="1"/>
  <c r="X307" i="17"/>
  <c r="W307" i="17" s="1"/>
  <c r="U308" i="17"/>
  <c r="T308" i="17" s="1"/>
  <c r="U309" i="17"/>
  <c r="T309" i="17" s="1"/>
  <c r="U310" i="17"/>
  <c r="T310" i="17" s="1"/>
  <c r="U311" i="17"/>
  <c r="T311" i="17" s="1"/>
  <c r="U312" i="17"/>
  <c r="T312" i="17" s="1"/>
  <c r="U313" i="17"/>
  <c r="T313" i="17" s="1"/>
  <c r="U314" i="17"/>
  <c r="T314" i="17" s="1"/>
  <c r="U315" i="17"/>
  <c r="T315" i="17" s="1"/>
  <c r="U307" i="17"/>
  <c r="T307" i="17" s="1"/>
  <c r="R309" i="17"/>
  <c r="Q309" i="17" s="1"/>
  <c r="R310" i="17"/>
  <c r="Q310" i="17" s="1"/>
  <c r="R311" i="17"/>
  <c r="Q311" i="17" s="1"/>
  <c r="R312" i="17"/>
  <c r="Q312" i="17" s="1"/>
  <c r="R313" i="17"/>
  <c r="Q313" i="17" s="1"/>
  <c r="R314" i="17"/>
  <c r="Q314" i="17" s="1"/>
  <c r="R315" i="17"/>
  <c r="Q315" i="17" s="1"/>
  <c r="R308" i="17"/>
  <c r="Q308" i="17" s="1"/>
  <c r="R307" i="17"/>
  <c r="Q307" i="17" s="1"/>
  <c r="P503" i="17"/>
  <c r="Q503" i="17" s="1"/>
  <c r="P504" i="17"/>
  <c r="Q504" i="17" s="1"/>
  <c r="P498" i="17"/>
  <c r="Q498" i="17" s="1"/>
  <c r="P499" i="17"/>
  <c r="Q499" i="17" s="1"/>
  <c r="P500" i="17"/>
  <c r="Q500" i="17" s="1"/>
  <c r="P497" i="17"/>
  <c r="Q497" i="17" s="1"/>
  <c r="P502" i="17"/>
  <c r="Q502" i="17" s="1"/>
  <c r="P501" i="17"/>
  <c r="Q501" i="17" s="1"/>
  <c r="J486" i="17"/>
  <c r="P486" i="17" s="1"/>
  <c r="Q486" i="17" s="1"/>
  <c r="J487" i="17"/>
  <c r="P487" i="17" s="1"/>
  <c r="Q487" i="17" s="1"/>
  <c r="J488" i="17"/>
  <c r="P488" i="17" s="1"/>
  <c r="Q488" i="17" s="1"/>
  <c r="J489" i="17"/>
  <c r="P489" i="17" s="1"/>
  <c r="Q489" i="17" s="1"/>
  <c r="P493" i="17"/>
  <c r="Q493" i="17" s="1"/>
  <c r="P494" i="17"/>
  <c r="Q494" i="17" s="1"/>
  <c r="P495" i="17"/>
  <c r="Q495" i="17" s="1"/>
  <c r="P496" i="17"/>
  <c r="Q496" i="17" s="1"/>
  <c r="P506" i="17"/>
  <c r="Q506" i="17" s="1"/>
  <c r="P507" i="17"/>
  <c r="Q507" i="17" s="1"/>
  <c r="J485" i="17"/>
  <c r="P485" i="17" s="1"/>
  <c r="Q485" i="17" s="1"/>
  <c r="P491" i="17"/>
  <c r="P492" i="17"/>
  <c r="J38" i="20"/>
  <c r="K38" i="20" s="1"/>
  <c r="L38" i="20"/>
  <c r="I38" i="20"/>
  <c r="I10" i="20"/>
  <c r="N10" i="20"/>
  <c r="M10" i="20" s="1"/>
  <c r="Q10" i="20"/>
  <c r="P10" i="20" s="1"/>
  <c r="I11" i="20"/>
  <c r="H11" i="20" s="1"/>
  <c r="J11" i="20"/>
  <c r="K11" i="20" s="1"/>
  <c r="I12" i="20"/>
  <c r="H12" i="20" s="1"/>
  <c r="J12" i="20"/>
  <c r="K12" i="20" s="1"/>
  <c r="J10" i="20"/>
  <c r="K10" i="20" s="1"/>
  <c r="N11" i="20"/>
  <c r="M11" i="20" s="1"/>
  <c r="Q11" i="20"/>
  <c r="P11" i="20" s="1"/>
  <c r="Q12" i="20"/>
  <c r="P12" i="20" s="1"/>
  <c r="N12" i="20"/>
  <c r="M12" i="20" s="1"/>
  <c r="H34" i="20"/>
  <c r="J34" i="20" s="1"/>
  <c r="K34" i="20" s="1"/>
  <c r="H35" i="20"/>
  <c r="H36" i="20"/>
  <c r="J36" i="20" s="1"/>
  <c r="K36" i="20" s="1"/>
  <c r="H33" i="20"/>
  <c r="H26" i="20"/>
  <c r="J26" i="20" s="1"/>
  <c r="K26" i="20" s="1"/>
  <c r="H27" i="20"/>
  <c r="J27" i="20"/>
  <c r="K27" i="20" s="1"/>
  <c r="H28" i="20"/>
  <c r="J28" i="20" s="1"/>
  <c r="K28" i="20"/>
  <c r="H29" i="20"/>
  <c r="J29" i="20"/>
  <c r="K29" i="20" s="1"/>
  <c r="H30" i="20"/>
  <c r="J30" i="20" s="1"/>
  <c r="K30" i="20" s="1"/>
  <c r="H31" i="20"/>
  <c r="J31" i="20"/>
  <c r="K31" i="20" s="1"/>
  <c r="H32" i="20"/>
  <c r="J32" i="20" s="1"/>
  <c r="K32" i="20" s="1"/>
  <c r="J33" i="20"/>
  <c r="K33" i="20"/>
  <c r="J35" i="20"/>
  <c r="K35" i="20"/>
  <c r="H25" i="20"/>
  <c r="J25" i="20"/>
  <c r="K25" i="20" s="1"/>
  <c r="I26" i="20"/>
  <c r="I27" i="20"/>
  <c r="I28" i="20"/>
  <c r="I29" i="20"/>
  <c r="I30" i="20"/>
  <c r="I31" i="20"/>
  <c r="I32" i="20"/>
  <c r="I33" i="20"/>
  <c r="I34" i="20"/>
  <c r="I35" i="20"/>
  <c r="I36" i="20"/>
  <c r="I25" i="20"/>
  <c r="M26" i="20"/>
  <c r="N26" i="20" s="1"/>
  <c r="M27" i="20"/>
  <c r="N27" i="20" s="1"/>
  <c r="M28" i="20"/>
  <c r="N28" i="20" s="1"/>
  <c r="M29" i="20"/>
  <c r="N29" i="20" s="1"/>
  <c r="M30" i="20"/>
  <c r="N30" i="20" s="1"/>
  <c r="M31" i="20"/>
  <c r="N31" i="20" s="1"/>
  <c r="M32" i="20"/>
  <c r="N32" i="20" s="1"/>
  <c r="M33" i="20"/>
  <c r="N33" i="20" s="1"/>
  <c r="M34" i="20"/>
  <c r="N34" i="20" s="1"/>
  <c r="M35" i="20"/>
  <c r="N35" i="20" s="1"/>
  <c r="M36" i="20"/>
  <c r="N36" i="20" s="1"/>
  <c r="M25" i="20"/>
  <c r="N25" i="20" s="1"/>
  <c r="P26" i="20"/>
  <c r="Q26" i="20" s="1"/>
  <c r="P27" i="20"/>
  <c r="Q27" i="20" s="1"/>
  <c r="P28" i="20"/>
  <c r="Q28" i="20" s="1"/>
  <c r="P29" i="20"/>
  <c r="Q29" i="20" s="1"/>
  <c r="P30" i="20"/>
  <c r="Q30" i="20" s="1"/>
  <c r="P31" i="20"/>
  <c r="Q31" i="20" s="1"/>
  <c r="P32" i="20"/>
  <c r="Q32" i="20" s="1"/>
  <c r="P33" i="20"/>
  <c r="Q33" i="20" s="1"/>
  <c r="P34" i="20"/>
  <c r="Q34" i="20" s="1"/>
  <c r="P35" i="20"/>
  <c r="Q35" i="20" s="1"/>
  <c r="P36" i="20"/>
  <c r="Q36" i="20" s="1"/>
  <c r="P25" i="20"/>
  <c r="Q25" i="20" s="1"/>
  <c r="R22" i="20"/>
  <c r="Q22" i="20"/>
  <c r="R21" i="20"/>
  <c r="Q21" i="20"/>
  <c r="R20" i="20"/>
  <c r="Q20" i="20"/>
  <c r="R19" i="20"/>
  <c r="Q19" i="20"/>
  <c r="R18" i="20"/>
  <c r="Q18" i="20"/>
  <c r="R17" i="20"/>
  <c r="Q17" i="20"/>
  <c r="R16" i="20"/>
  <c r="Q16" i="20"/>
  <c r="R15" i="20"/>
  <c r="Q15" i="20"/>
  <c r="R14" i="20"/>
  <c r="Q14" i="20"/>
  <c r="I22" i="20"/>
  <c r="I21" i="20"/>
  <c r="I20" i="20"/>
  <c r="I19" i="20"/>
  <c r="I18" i="20"/>
  <c r="I17" i="20"/>
  <c r="I16" i="20"/>
  <c r="I15" i="20"/>
  <c r="I14" i="20"/>
  <c r="I3" i="20"/>
  <c r="I4" i="20"/>
  <c r="I5" i="20"/>
  <c r="I6" i="20"/>
  <c r="I7" i="20"/>
  <c r="I8" i="20"/>
  <c r="I9" i="20"/>
  <c r="I2" i="20"/>
  <c r="P186" i="17"/>
  <c r="Q186" i="17"/>
  <c r="W340" i="17"/>
  <c r="X340" i="17" s="1"/>
  <c r="W341" i="17"/>
  <c r="P340" i="17"/>
  <c r="Q69" i="17"/>
  <c r="X327" i="17"/>
  <c r="W327" i="17" s="1"/>
  <c r="X326" i="17"/>
  <c r="W326" i="17" s="1"/>
  <c r="U326" i="17"/>
  <c r="T326" i="17" s="1"/>
  <c r="R326" i="17"/>
  <c r="Q326" i="17" s="1"/>
  <c r="R327" i="17"/>
  <c r="Q327" i="17" s="1"/>
  <c r="U327" i="17"/>
  <c r="T327" i="17" s="1"/>
  <c r="Q99" i="17"/>
  <c r="R99" i="17" s="1"/>
  <c r="X207" i="17"/>
  <c r="P207" i="17"/>
  <c r="Q207" i="17"/>
  <c r="T207" i="17"/>
  <c r="U207" i="17" s="1"/>
  <c r="Y5" i="17"/>
  <c r="Y6" i="17"/>
  <c r="Y7" i="17"/>
  <c r="Y9" i="17"/>
  <c r="Y10" i="17"/>
  <c r="Y11" i="17"/>
  <c r="S12" i="17"/>
  <c r="V13" i="17"/>
  <c r="Y14" i="17"/>
  <c r="S15" i="17"/>
  <c r="S16" i="17"/>
  <c r="S17" i="17"/>
  <c r="Y19" i="17"/>
  <c r="Y20" i="17"/>
  <c r="Y21" i="17"/>
  <c r="S23" i="17"/>
  <c r="Y24" i="17"/>
  <c r="Y25" i="17"/>
  <c r="Y26" i="17"/>
  <c r="Y4" i="17"/>
  <c r="W5" i="17"/>
  <c r="W6" i="17"/>
  <c r="W7" i="17"/>
  <c r="W8" i="17"/>
  <c r="W9" i="17"/>
  <c r="W10" i="17"/>
  <c r="W11" i="17"/>
  <c r="W12" i="17"/>
  <c r="W13" i="17"/>
  <c r="W14" i="17"/>
  <c r="W15" i="17"/>
  <c r="W16" i="17"/>
  <c r="W17" i="17"/>
  <c r="W18" i="17"/>
  <c r="W19" i="17"/>
  <c r="W20" i="17"/>
  <c r="W21" i="17"/>
  <c r="W22" i="17"/>
  <c r="W23" i="17"/>
  <c r="W24" i="17"/>
  <c r="W25" i="17"/>
  <c r="W26" i="17"/>
  <c r="W4" i="17"/>
  <c r="T5" i="17"/>
  <c r="T6" i="17"/>
  <c r="T7" i="17"/>
  <c r="T8" i="17"/>
  <c r="T9" i="17"/>
  <c r="T10" i="17"/>
  <c r="T11" i="17"/>
  <c r="T12" i="17"/>
  <c r="T13" i="17"/>
  <c r="T14" i="17"/>
  <c r="T15" i="17"/>
  <c r="T16" i="17"/>
  <c r="T17" i="17"/>
  <c r="T18" i="17"/>
  <c r="T19" i="17"/>
  <c r="T20" i="17"/>
  <c r="T21" i="17"/>
  <c r="T22" i="17"/>
  <c r="T23" i="17"/>
  <c r="T24" i="17"/>
  <c r="T25" i="17"/>
  <c r="T26" i="17"/>
  <c r="T4" i="17"/>
  <c r="Q5" i="17"/>
  <c r="Q6" i="17"/>
  <c r="Q7" i="17"/>
  <c r="Q8" i="17"/>
  <c r="Q9" i="17"/>
  <c r="Q10" i="17"/>
  <c r="Q11" i="17"/>
  <c r="Q12" i="17"/>
  <c r="Q13" i="17"/>
  <c r="Q14" i="17"/>
  <c r="Q15" i="17"/>
  <c r="Q16" i="17"/>
  <c r="Q17" i="17"/>
  <c r="Q18" i="17"/>
  <c r="Q19" i="17"/>
  <c r="Q20" i="17"/>
  <c r="Q21" i="17"/>
  <c r="Q22" i="17"/>
  <c r="Q23" i="17"/>
  <c r="Q24" i="17"/>
  <c r="Q25" i="17"/>
  <c r="Q26" i="17"/>
  <c r="Q4" i="17"/>
  <c r="AD387" i="17"/>
  <c r="W384" i="17"/>
  <c r="P384" i="17"/>
  <c r="Y384" i="17" s="1"/>
  <c r="P382" i="17"/>
  <c r="Y382" i="17" s="1"/>
  <c r="W382" i="17"/>
  <c r="Y378" i="17"/>
  <c r="Q144" i="17"/>
  <c r="R144" i="17" s="1"/>
  <c r="H196" i="9"/>
  <c r="I196" i="9"/>
  <c r="L196" i="9"/>
  <c r="M196" i="9"/>
  <c r="N196" i="9"/>
  <c r="O196" i="9"/>
  <c r="P196" i="9" s="1"/>
  <c r="Q196" i="9"/>
  <c r="Q63" i="17"/>
  <c r="Q168" i="17"/>
  <c r="R168" i="17" s="1"/>
  <c r="Q171" i="17"/>
  <c r="R171" i="17" s="1"/>
  <c r="Q176" i="17"/>
  <c r="R176" i="17" s="1"/>
  <c r="Q175" i="17"/>
  <c r="R175" i="17" s="1"/>
  <c r="T359" i="17"/>
  <c r="V359" i="17" s="1"/>
  <c r="T358" i="17"/>
  <c r="U358" i="17" s="1"/>
  <c r="T357" i="17"/>
  <c r="T356" i="17"/>
  <c r="V356" i="17" s="1"/>
  <c r="T355" i="17"/>
  <c r="V355" i="17" s="1"/>
  <c r="T354" i="17"/>
  <c r="U354" i="17" s="1"/>
  <c r="T353" i="17"/>
  <c r="U353" i="17" s="1"/>
  <c r="T350" i="17"/>
  <c r="V350" i="17" s="1"/>
  <c r="T349" i="17"/>
  <c r="U349" i="17" s="1"/>
  <c r="T348" i="17"/>
  <c r="V348" i="17" s="1"/>
  <c r="T347" i="17"/>
  <c r="T346" i="17"/>
  <c r="V346" i="17" s="1"/>
  <c r="T345" i="17"/>
  <c r="T344" i="17"/>
  <c r="V344" i="17" s="1"/>
  <c r="T343" i="17"/>
  <c r="V343" i="17" s="1"/>
  <c r="T342" i="17"/>
  <c r="V342" i="17" s="1"/>
  <c r="T341" i="17"/>
  <c r="V341" i="17" s="1"/>
  <c r="T340" i="17"/>
  <c r="T339" i="17"/>
  <c r="V339" i="17" s="1"/>
  <c r="T338" i="17"/>
  <c r="V338" i="17" s="1"/>
  <c r="T332" i="17"/>
  <c r="V332" i="17" s="1"/>
  <c r="T331" i="17"/>
  <c r="V331" i="17" s="1"/>
  <c r="T330" i="17"/>
  <c r="V330" i="17" s="1"/>
  <c r="T329" i="17"/>
  <c r="V329" i="17" s="1"/>
  <c r="T328" i="17"/>
  <c r="V328" i="17" s="1"/>
  <c r="T325" i="17"/>
  <c r="V325" i="17" s="1"/>
  <c r="T321" i="17"/>
  <c r="V321" i="17" s="1"/>
  <c r="T320" i="17"/>
  <c r="V320" i="17" s="1"/>
  <c r="T319" i="17"/>
  <c r="U319" i="17" s="1"/>
  <c r="T318" i="17"/>
  <c r="V318" i="17" s="1"/>
  <c r="T317" i="17"/>
  <c r="V317" i="17" s="1"/>
  <c r="T316" i="17"/>
  <c r="T306" i="17"/>
  <c r="V306" i="17" s="1"/>
  <c r="T305" i="17"/>
  <c r="U305" i="17" s="1"/>
  <c r="T297" i="17"/>
  <c r="U297" i="17" s="1"/>
  <c r="T296" i="17"/>
  <c r="V296" i="17" s="1"/>
  <c r="T295" i="17"/>
  <c r="V295" i="17" s="1"/>
  <c r="T294" i="17"/>
  <c r="V294" i="17" s="1"/>
  <c r="T291" i="17"/>
  <c r="V291" i="17" s="1"/>
  <c r="T290" i="17"/>
  <c r="V290" i="17" s="1"/>
  <c r="T289" i="17"/>
  <c r="V289" i="17" s="1"/>
  <c r="T288" i="17"/>
  <c r="V288" i="17" s="1"/>
  <c r="T287" i="17"/>
  <c r="V287" i="17" s="1"/>
  <c r="T286" i="17"/>
  <c r="V286" i="17" s="1"/>
  <c r="T285" i="17"/>
  <c r="V285" i="17" s="1"/>
  <c r="T284" i="17"/>
  <c r="V284" i="17" s="1"/>
  <c r="T283" i="17"/>
  <c r="V283" i="17" s="1"/>
  <c r="T282" i="17"/>
  <c r="V282" i="17" s="1"/>
  <c r="T281" i="17"/>
  <c r="V281" i="17" s="1"/>
  <c r="T280" i="17"/>
  <c r="V280" i="17" s="1"/>
  <c r="T279" i="17"/>
  <c r="V279" i="17" s="1"/>
  <c r="T278" i="17"/>
  <c r="V278" i="17" s="1"/>
  <c r="T277" i="17"/>
  <c r="V277" i="17" s="1"/>
  <c r="T276" i="17"/>
  <c r="V276" i="17" s="1"/>
  <c r="T275" i="17"/>
  <c r="V275" i="17" s="1"/>
  <c r="T274" i="17"/>
  <c r="V274" i="17" s="1"/>
  <c r="T273" i="17"/>
  <c r="V273" i="17" s="1"/>
  <c r="T272" i="17"/>
  <c r="V272" i="17" s="1"/>
  <c r="T271" i="17"/>
  <c r="V271" i="17" s="1"/>
  <c r="T270" i="17"/>
  <c r="V270" i="17" s="1"/>
  <c r="T269" i="17"/>
  <c r="V269" i="17" s="1"/>
  <c r="T268" i="17"/>
  <c r="V268" i="17" s="1"/>
  <c r="T267" i="17"/>
  <c r="V267" i="17" s="1"/>
  <c r="T266" i="17"/>
  <c r="V266" i="17" s="1"/>
  <c r="T265" i="17"/>
  <c r="T264" i="17"/>
  <c r="V264" i="17" s="1"/>
  <c r="T263" i="17"/>
  <c r="V263" i="17" s="1"/>
  <c r="T262" i="17"/>
  <c r="V262" i="17" s="1"/>
  <c r="T261" i="17"/>
  <c r="V261" i="17" s="1"/>
  <c r="T260" i="17"/>
  <c r="V260" i="17" s="1"/>
  <c r="T259" i="17"/>
  <c r="V259" i="17" s="1"/>
  <c r="T258" i="17"/>
  <c r="V258" i="17" s="1"/>
  <c r="T257" i="17"/>
  <c r="V257" i="17" s="1"/>
  <c r="T256" i="17"/>
  <c r="V256" i="17" s="1"/>
  <c r="T255" i="17"/>
  <c r="V255" i="17" s="1"/>
  <c r="T254" i="17"/>
  <c r="T253" i="17"/>
  <c r="V253" i="17" s="1"/>
  <c r="T252" i="17"/>
  <c r="U252" i="17" s="1"/>
  <c r="T251" i="17"/>
  <c r="V251" i="17" s="1"/>
  <c r="T250" i="17"/>
  <c r="V250" i="17" s="1"/>
  <c r="T249" i="17"/>
  <c r="V249" i="17" s="1"/>
  <c r="T248" i="17"/>
  <c r="V248" i="17" s="1"/>
  <c r="T247" i="17"/>
  <c r="V247" i="17" s="1"/>
  <c r="T246" i="17"/>
  <c r="V246" i="17" s="1"/>
  <c r="T245" i="17"/>
  <c r="T244" i="17"/>
  <c r="V244" i="17" s="1"/>
  <c r="T243" i="17"/>
  <c r="V243" i="17" s="1"/>
  <c r="T242" i="17"/>
  <c r="V242" i="17" s="1"/>
  <c r="T241" i="17"/>
  <c r="V241" i="17" s="1"/>
  <c r="T240" i="17"/>
  <c r="V240" i="17" s="1"/>
  <c r="T237" i="17"/>
  <c r="V237" i="17" s="1"/>
  <c r="T236" i="17"/>
  <c r="V236" i="17" s="1"/>
  <c r="T235" i="17"/>
  <c r="V235" i="17" s="1"/>
  <c r="T234" i="17"/>
  <c r="V234" i="17" s="1"/>
  <c r="T233" i="17"/>
  <c r="V233" i="17" s="1"/>
  <c r="T232" i="17"/>
  <c r="V232" i="17" s="1"/>
  <c r="T231" i="17"/>
  <c r="V231" i="17" s="1"/>
  <c r="T230" i="17"/>
  <c r="V230" i="17" s="1"/>
  <c r="T229" i="17"/>
  <c r="U229" i="17" s="1"/>
  <c r="T228" i="17"/>
  <c r="V228" i="17" s="1"/>
  <c r="T227" i="17"/>
  <c r="V227" i="17" s="1"/>
  <c r="T226" i="17"/>
  <c r="V226" i="17" s="1"/>
  <c r="T225" i="17"/>
  <c r="U225" i="17" s="1"/>
  <c r="T224" i="17"/>
  <c r="V224" i="17" s="1"/>
  <c r="T223" i="17"/>
  <c r="V223" i="17" s="1"/>
  <c r="T222" i="17"/>
  <c r="V222" i="17" s="1"/>
  <c r="T189" i="17"/>
  <c r="V189" i="17" s="1"/>
  <c r="T65" i="17"/>
  <c r="V65" i="17" s="1"/>
  <c r="T66" i="17"/>
  <c r="V66" i="17" s="1"/>
  <c r="T67" i="17"/>
  <c r="V67" i="17" s="1"/>
  <c r="T215" i="17"/>
  <c r="V215" i="17" s="1"/>
  <c r="T213" i="17"/>
  <c r="V213" i="17" s="1"/>
  <c r="T211" i="17"/>
  <c r="V211" i="17" s="1"/>
  <c r="T209" i="17"/>
  <c r="V209" i="17" s="1"/>
  <c r="T205" i="17"/>
  <c r="V205" i="17" s="1"/>
  <c r="T203" i="17"/>
  <c r="V203" i="17" s="1"/>
  <c r="T201" i="17"/>
  <c r="V201" i="17" s="1"/>
  <c r="T199" i="17"/>
  <c r="V199" i="17" s="1"/>
  <c r="T217" i="17"/>
  <c r="V217" i="17" s="1"/>
  <c r="T221" i="17"/>
  <c r="V221" i="17" s="1"/>
  <c r="T220" i="17"/>
  <c r="V220" i="17" s="1"/>
  <c r="T219" i="17"/>
  <c r="T218" i="17"/>
  <c r="V218" i="17" s="1"/>
  <c r="T197" i="17"/>
  <c r="V197" i="17" s="1"/>
  <c r="T196" i="17"/>
  <c r="V196" i="17" s="1"/>
  <c r="T195" i="17"/>
  <c r="V195" i="17" s="1"/>
  <c r="T194" i="17"/>
  <c r="V194" i="17" s="1"/>
  <c r="T193" i="17"/>
  <c r="T192" i="17"/>
  <c r="V192" i="17" s="1"/>
  <c r="T191" i="17"/>
  <c r="V191" i="17" s="1"/>
  <c r="T190" i="17"/>
  <c r="V190" i="17" s="1"/>
  <c r="T216" i="17"/>
  <c r="V216" i="17" s="1"/>
  <c r="T214" i="17"/>
  <c r="V214" i="17" s="1"/>
  <c r="T212" i="17"/>
  <c r="V212" i="17" s="1"/>
  <c r="T210" i="17"/>
  <c r="V210" i="17" s="1"/>
  <c r="T208" i="17"/>
  <c r="U208" i="17" s="1"/>
  <c r="T206" i="17"/>
  <c r="V206" i="17" s="1"/>
  <c r="T204" i="17"/>
  <c r="V204" i="17" s="1"/>
  <c r="T202" i="17"/>
  <c r="V202" i="17" s="1"/>
  <c r="T200" i="17"/>
  <c r="V200" i="17" s="1"/>
  <c r="T198" i="17"/>
  <c r="V198" i="17" s="1"/>
  <c r="X211" i="17"/>
  <c r="Y211" i="17"/>
  <c r="X213" i="17"/>
  <c r="Y213" i="17"/>
  <c r="X215" i="17"/>
  <c r="Y215" i="17"/>
  <c r="X209" i="17"/>
  <c r="Y209" i="17"/>
  <c r="P215" i="17"/>
  <c r="Q215" i="17"/>
  <c r="R215" i="17" s="1"/>
  <c r="P213" i="17"/>
  <c r="Q213" i="17"/>
  <c r="R213" i="17" s="1"/>
  <c r="P211" i="17"/>
  <c r="Q211" i="17"/>
  <c r="R211" i="17" s="1"/>
  <c r="P209" i="17"/>
  <c r="Q209" i="17"/>
  <c r="R209" i="17" s="1"/>
  <c r="Y201" i="17"/>
  <c r="Y203" i="17"/>
  <c r="Y205" i="17"/>
  <c r="Y199" i="17"/>
  <c r="P201" i="17"/>
  <c r="Q201" i="17"/>
  <c r="R201" i="17" s="1"/>
  <c r="P203" i="17"/>
  <c r="Q203" i="17"/>
  <c r="R203" i="17" s="1"/>
  <c r="P205" i="17"/>
  <c r="Q205" i="17"/>
  <c r="R205" i="17" s="1"/>
  <c r="Q199" i="17"/>
  <c r="S199" i="17" s="1"/>
  <c r="X199" i="17"/>
  <c r="X201" i="17"/>
  <c r="X203" i="17"/>
  <c r="X205" i="17"/>
  <c r="P199" i="17"/>
  <c r="Q234" i="17"/>
  <c r="R234" i="17" s="1"/>
  <c r="W234" i="17"/>
  <c r="Y234" i="17" s="1"/>
  <c r="P223" i="17"/>
  <c r="Q223" i="17"/>
  <c r="R223" i="17" s="1"/>
  <c r="W223" i="17"/>
  <c r="X223" i="17" s="1"/>
  <c r="Q287" i="17"/>
  <c r="W287" i="17"/>
  <c r="X287" i="17" s="1"/>
  <c r="Q286" i="17"/>
  <c r="R286" i="17" s="1"/>
  <c r="W286" i="17"/>
  <c r="X286" i="17" s="1"/>
  <c r="P272" i="17"/>
  <c r="Q272" i="17"/>
  <c r="R272" i="17" s="1"/>
  <c r="W272" i="17"/>
  <c r="X272" i="17" s="1"/>
  <c r="P271" i="17"/>
  <c r="Q271" i="17"/>
  <c r="R271" i="17" s="1"/>
  <c r="W271" i="17"/>
  <c r="X271" i="17" s="1"/>
  <c r="P269" i="17"/>
  <c r="Q269" i="17"/>
  <c r="R269" i="17" s="1"/>
  <c r="W269" i="17"/>
  <c r="X269" i="17" s="1"/>
  <c r="Q257" i="17"/>
  <c r="R257" i="17" s="1"/>
  <c r="W257" i="17"/>
  <c r="X257" i="17" s="1"/>
  <c r="Q258" i="17"/>
  <c r="R258" i="17" s="1"/>
  <c r="W258" i="17"/>
  <c r="X258" i="17" s="1"/>
  <c r="P258" i="17"/>
  <c r="Q248" i="17"/>
  <c r="R248" i="17" s="1"/>
  <c r="W248" i="17"/>
  <c r="X248" i="17" s="1"/>
  <c r="Q247" i="17"/>
  <c r="R247" i="17" s="1"/>
  <c r="W247" i="17"/>
  <c r="X247" i="17" s="1"/>
  <c r="P4" i="19"/>
  <c r="H4" i="19"/>
  <c r="P3" i="19"/>
  <c r="Q2" i="19"/>
  <c r="P2" i="19"/>
  <c r="H2" i="19"/>
  <c r="Q174" i="17"/>
  <c r="R174" i="17" s="1"/>
  <c r="Q173" i="17"/>
  <c r="R173" i="17" s="1"/>
  <c r="AF345" i="17"/>
  <c r="AG345" i="17"/>
  <c r="AG331" i="17"/>
  <c r="AF331" i="17"/>
  <c r="AG332" i="17"/>
  <c r="AF332" i="17"/>
  <c r="AG342" i="17"/>
  <c r="AF342" i="17"/>
  <c r="H20" i="18"/>
  <c r="H18" i="18"/>
  <c r="H16" i="18"/>
  <c r="H14" i="18"/>
  <c r="H12" i="18"/>
  <c r="H10" i="18"/>
  <c r="H8" i="18"/>
  <c r="H6" i="18"/>
  <c r="H4" i="18"/>
  <c r="H2" i="18"/>
  <c r="Q112" i="17"/>
  <c r="S112" i="17" s="1"/>
  <c r="P471" i="17"/>
  <c r="Q470" i="17"/>
  <c r="R470" i="17" s="1"/>
  <c r="T470" i="17"/>
  <c r="U470" i="17" s="1"/>
  <c r="W470" i="17"/>
  <c r="X470" i="17" s="1"/>
  <c r="Q471" i="17"/>
  <c r="R471" i="17" s="1"/>
  <c r="T471" i="17"/>
  <c r="U471" i="17" s="1"/>
  <c r="W471" i="17"/>
  <c r="X471" i="17" s="1"/>
  <c r="W462" i="17"/>
  <c r="X462" i="17" s="1"/>
  <c r="W463" i="17"/>
  <c r="X463" i="17" s="1"/>
  <c r="W464" i="17"/>
  <c r="X464" i="17" s="1"/>
  <c r="W465" i="17"/>
  <c r="X465" i="17" s="1"/>
  <c r="W466" i="17"/>
  <c r="X466" i="17" s="1"/>
  <c r="W467" i="17"/>
  <c r="X467" i="17" s="1"/>
  <c r="W468" i="17"/>
  <c r="X468" i="17" s="1"/>
  <c r="W469" i="17"/>
  <c r="X469" i="17" s="1"/>
  <c r="W461" i="17"/>
  <c r="X461" i="17" s="1"/>
  <c r="T462" i="17"/>
  <c r="U462" i="17" s="1"/>
  <c r="T463" i="17"/>
  <c r="U463" i="17" s="1"/>
  <c r="T464" i="17"/>
  <c r="U464" i="17" s="1"/>
  <c r="T465" i="17"/>
  <c r="U465" i="17" s="1"/>
  <c r="T466" i="17"/>
  <c r="U466" i="17" s="1"/>
  <c r="T467" i="17"/>
  <c r="U467" i="17" s="1"/>
  <c r="T468" i="17"/>
  <c r="U468" i="17" s="1"/>
  <c r="T469" i="17"/>
  <c r="U469" i="17" s="1"/>
  <c r="T461" i="17"/>
  <c r="U461" i="17" s="1"/>
  <c r="Q462" i="17"/>
  <c r="R462" i="17" s="1"/>
  <c r="Q463" i="17"/>
  <c r="R463" i="17" s="1"/>
  <c r="Q464" i="17"/>
  <c r="R464" i="17" s="1"/>
  <c r="Q465" i="17"/>
  <c r="R465" i="17" s="1"/>
  <c r="Q466" i="17"/>
  <c r="R466" i="17" s="1"/>
  <c r="Q467" i="17"/>
  <c r="R467" i="17" s="1"/>
  <c r="Q468" i="17"/>
  <c r="R468" i="17" s="1"/>
  <c r="Q469" i="17"/>
  <c r="R469" i="17" s="1"/>
  <c r="Q461" i="17"/>
  <c r="R461" i="17" s="1"/>
  <c r="P240" i="17"/>
  <c r="Q240" i="17"/>
  <c r="R240" i="17" s="1"/>
  <c r="W240" i="17"/>
  <c r="X240" i="17" s="1"/>
  <c r="Q126" i="17"/>
  <c r="R126" i="17" s="1"/>
  <c r="Q153" i="17"/>
  <c r="R153" i="17" s="1"/>
  <c r="P378" i="17"/>
  <c r="P370" i="17"/>
  <c r="P371" i="17"/>
  <c r="P372" i="17"/>
  <c r="P373" i="17"/>
  <c r="P374" i="17"/>
  <c r="P375" i="17"/>
  <c r="P376" i="17"/>
  <c r="P377" i="17"/>
  <c r="AG353" i="17"/>
  <c r="AF353" i="17"/>
  <c r="AF346" i="17"/>
  <c r="AF343" i="17"/>
  <c r="AF330" i="17"/>
  <c r="H104" i="15"/>
  <c r="O45" i="8"/>
  <c r="O46" i="8"/>
  <c r="O47" i="8"/>
  <c r="O44" i="8"/>
  <c r="AE5" i="17"/>
  <c r="AE6" i="17"/>
  <c r="AE7" i="17"/>
  <c r="AE8" i="17"/>
  <c r="AE9" i="17"/>
  <c r="AE10" i="17"/>
  <c r="AE11" i="17"/>
  <c r="AE13" i="17"/>
  <c r="AE14" i="17"/>
  <c r="AE15" i="17"/>
  <c r="AE16" i="17"/>
  <c r="AE17" i="17"/>
  <c r="AE18" i="17"/>
  <c r="AE19" i="17"/>
  <c r="AE20" i="17"/>
  <c r="AE21" i="17"/>
  <c r="AE22" i="17"/>
  <c r="AE23" i="17"/>
  <c r="AE25" i="17"/>
  <c r="AE26" i="17"/>
  <c r="AE4" i="17"/>
  <c r="T152" i="17"/>
  <c r="U152" i="17" s="1"/>
  <c r="W253" i="17"/>
  <c r="Y253" i="17" s="1"/>
  <c r="Q253" i="17"/>
  <c r="R253" i="17" s="1"/>
  <c r="Q180" i="17"/>
  <c r="AH180" i="17" s="1"/>
  <c r="AI180" i="17" s="1"/>
  <c r="Q184" i="17"/>
  <c r="AH184" i="17" s="1"/>
  <c r="AI184" i="17" s="1"/>
  <c r="Q143" i="17"/>
  <c r="AH143" i="17" s="1"/>
  <c r="AI143" i="17" s="1"/>
  <c r="P184" i="17"/>
  <c r="Q156" i="17"/>
  <c r="R156" i="17" s="1"/>
  <c r="Q128" i="17"/>
  <c r="R128" i="17" s="1"/>
  <c r="Q81" i="17"/>
  <c r="R81" i="17" s="1"/>
  <c r="Q82" i="17"/>
  <c r="S82" i="17" s="1"/>
  <c r="Q83" i="17"/>
  <c r="R83" i="17" s="1"/>
  <c r="Q84" i="17"/>
  <c r="S84" i="17" s="1"/>
  <c r="Q85" i="17"/>
  <c r="R85" i="17" s="1"/>
  <c r="Q86" i="17"/>
  <c r="R86" i="17" s="1"/>
  <c r="Q87" i="17"/>
  <c r="S87" i="17" s="1"/>
  <c r="Q72" i="17"/>
  <c r="R72" i="17" s="1"/>
  <c r="Q73" i="17"/>
  <c r="S73" i="17" s="1"/>
  <c r="Q74" i="17"/>
  <c r="AH74" i="17" s="1"/>
  <c r="AI74" i="17" s="1"/>
  <c r="Q75" i="17"/>
  <c r="Q76" i="17"/>
  <c r="R76" i="17" s="1"/>
  <c r="Q77" i="17"/>
  <c r="S77" i="17" s="1"/>
  <c r="Q78" i="17"/>
  <c r="S78" i="17" s="1"/>
  <c r="Q79" i="17"/>
  <c r="S79" i="17" s="1"/>
  <c r="Q88" i="17"/>
  <c r="S88" i="17" s="1"/>
  <c r="Q89" i="17"/>
  <c r="R89" i="17" s="1"/>
  <c r="Q90" i="17"/>
  <c r="R90" i="17" s="1"/>
  <c r="Q91" i="17"/>
  <c r="AH91" i="17" s="1"/>
  <c r="AI91" i="17" s="1"/>
  <c r="Q64" i="17"/>
  <c r="S64" i="17" s="1"/>
  <c r="Q92" i="17"/>
  <c r="R92" i="17" s="1"/>
  <c r="Q93" i="17"/>
  <c r="Q94" i="17"/>
  <c r="S94" i="17" s="1"/>
  <c r="Q95" i="17"/>
  <c r="R95" i="17" s="1"/>
  <c r="Q96" i="17"/>
  <c r="S96" i="17" s="1"/>
  <c r="Q97" i="17"/>
  <c r="S97" i="17" s="1"/>
  <c r="Q98" i="17"/>
  <c r="R98" i="17" s="1"/>
  <c r="Q100" i="17"/>
  <c r="R100" i="17" s="1"/>
  <c r="Q101" i="17"/>
  <c r="R101" i="17" s="1"/>
  <c r="Q102" i="17"/>
  <c r="AH102" i="17" s="1"/>
  <c r="AI102" i="17" s="1"/>
  <c r="Q103" i="17"/>
  <c r="S103" i="17" s="1"/>
  <c r="Q104" i="17"/>
  <c r="S104" i="17" s="1"/>
  <c r="Q105" i="17"/>
  <c r="Q106" i="17"/>
  <c r="R106" i="17" s="1"/>
  <c r="Q107" i="17"/>
  <c r="R107" i="17" s="1"/>
  <c r="Q108" i="17"/>
  <c r="R108" i="17" s="1"/>
  <c r="Q109" i="17"/>
  <c r="Q110" i="17"/>
  <c r="AH110" i="17" s="1"/>
  <c r="AI110" i="17" s="1"/>
  <c r="Q111" i="17"/>
  <c r="R111" i="17" s="1"/>
  <c r="Q113" i="17"/>
  <c r="AH113" i="17" s="1"/>
  <c r="AI113" i="17" s="1"/>
  <c r="Q114" i="17"/>
  <c r="S114" i="17" s="1"/>
  <c r="Q115" i="17"/>
  <c r="AH115" i="17" s="1"/>
  <c r="AI115" i="17" s="1"/>
  <c r="Q116" i="17"/>
  <c r="S116" i="17" s="1"/>
  <c r="Q117" i="17"/>
  <c r="R117" i="17" s="1"/>
  <c r="Q118" i="17"/>
  <c r="R118" i="17" s="1"/>
  <c r="Q119" i="17"/>
  <c r="R119" i="17" s="1"/>
  <c r="Q120" i="17"/>
  <c r="R120" i="17" s="1"/>
  <c r="Q121" i="17"/>
  <c r="R121" i="17" s="1"/>
  <c r="Q122" i="17"/>
  <c r="Q123" i="17"/>
  <c r="R123" i="17" s="1"/>
  <c r="Q124" i="17"/>
  <c r="R124" i="17" s="1"/>
  <c r="Q125" i="17"/>
  <c r="R125" i="17" s="1"/>
  <c r="Q127" i="17"/>
  <c r="S127" i="17" s="1"/>
  <c r="Q129" i="17"/>
  <c r="AH129" i="17" s="1"/>
  <c r="AI129" i="17" s="1"/>
  <c r="Q130" i="17"/>
  <c r="AH130" i="17" s="1"/>
  <c r="AI130" i="17" s="1"/>
  <c r="Q131" i="17"/>
  <c r="R131" i="17" s="1"/>
  <c r="Q132" i="17"/>
  <c r="S132" i="17" s="1"/>
  <c r="Q133" i="17"/>
  <c r="AH133" i="17" s="1"/>
  <c r="AI133" i="17" s="1"/>
  <c r="Q134" i="17"/>
  <c r="R134" i="17" s="1"/>
  <c r="Q135" i="17"/>
  <c r="AH135" i="17" s="1"/>
  <c r="AI135" i="17" s="1"/>
  <c r="Q136" i="17"/>
  <c r="AH136" i="17" s="1"/>
  <c r="AI136" i="17" s="1"/>
  <c r="Q137" i="17"/>
  <c r="AH137" i="17" s="1"/>
  <c r="AI137" i="17" s="1"/>
  <c r="Q138" i="17"/>
  <c r="S138" i="17" s="1"/>
  <c r="Q139" i="17"/>
  <c r="Q140" i="17"/>
  <c r="S140" i="17" s="1"/>
  <c r="Q141" i="17"/>
  <c r="S141" i="17" s="1"/>
  <c r="Q142" i="17"/>
  <c r="S142" i="17" s="1"/>
  <c r="Q145" i="17"/>
  <c r="Q146" i="17"/>
  <c r="R146" i="17" s="1"/>
  <c r="Q147" i="17"/>
  <c r="S147" i="17" s="1"/>
  <c r="Q148" i="17"/>
  <c r="S148" i="17" s="1"/>
  <c r="Q149" i="17"/>
  <c r="R149" i="17" s="1"/>
  <c r="Q150" i="17"/>
  <c r="R150" i="17" s="1"/>
  <c r="Q151" i="17"/>
  <c r="S151" i="17" s="1"/>
  <c r="Q152" i="17"/>
  <c r="R152" i="17" s="1"/>
  <c r="Q154" i="17"/>
  <c r="S154" i="17" s="1"/>
  <c r="Q155" i="17"/>
  <c r="Q157" i="17"/>
  <c r="Q158" i="17"/>
  <c r="S158" i="17" s="1"/>
  <c r="Q159" i="17"/>
  <c r="S159" i="17" s="1"/>
  <c r="Q160" i="17"/>
  <c r="Q161" i="17"/>
  <c r="AH161" i="17" s="1"/>
  <c r="AI161" i="17" s="1"/>
  <c r="Q162" i="17"/>
  <c r="S162" i="17" s="1"/>
  <c r="Q163" i="17"/>
  <c r="R163" i="17" s="1"/>
  <c r="Q164" i="17"/>
  <c r="AH164" i="17" s="1"/>
  <c r="AI164" i="17" s="1"/>
  <c r="Q165" i="17"/>
  <c r="S165" i="17" s="1"/>
  <c r="Q166" i="17"/>
  <c r="R166" i="17" s="1"/>
  <c r="Q167" i="17"/>
  <c r="R167" i="17" s="1"/>
  <c r="Q169" i="17"/>
  <c r="R169" i="17" s="1"/>
  <c r="Q170" i="17"/>
  <c r="S170" i="17" s="1"/>
  <c r="Q172" i="17"/>
  <c r="AH172" i="17" s="1"/>
  <c r="AI172" i="17" s="1"/>
  <c r="Q177" i="17"/>
  <c r="R177" i="17" s="1"/>
  <c r="Q178" i="17"/>
  <c r="AH178" i="17" s="1"/>
  <c r="AI178" i="17" s="1"/>
  <c r="Q179" i="17"/>
  <c r="R179" i="17" s="1"/>
  <c r="Q181" i="17"/>
  <c r="AH181" i="17" s="1"/>
  <c r="AI181" i="17" s="1"/>
  <c r="Q182" i="17"/>
  <c r="S182" i="17" s="1"/>
  <c r="Q183" i="17"/>
  <c r="S183" i="17" s="1"/>
  <c r="Q185" i="17"/>
  <c r="S185" i="17" s="1"/>
  <c r="Q187" i="17"/>
  <c r="R187" i="17" s="1"/>
  <c r="Q188" i="17"/>
  <c r="S188" i="17" s="1"/>
  <c r="Q80" i="17"/>
  <c r="R80" i="17" s="1"/>
  <c r="I433" i="17"/>
  <c r="I432" i="17"/>
  <c r="P188" i="17"/>
  <c r="P187" i="17"/>
  <c r="R185" i="17"/>
  <c r="P185" i="17"/>
  <c r="P183" i="17"/>
  <c r="AL166" i="17"/>
  <c r="AM166" i="17" s="1"/>
  <c r="AL162" i="17"/>
  <c r="AM162" i="17" s="1"/>
  <c r="AL161" i="17"/>
  <c r="AM161" i="17" s="1"/>
  <c r="AL64" i="17"/>
  <c r="AM64" i="17" s="1"/>
  <c r="AL91" i="17"/>
  <c r="AM91" i="17" s="1"/>
  <c r="AL90" i="17"/>
  <c r="AM90" i="17" s="1"/>
  <c r="AL89" i="17"/>
  <c r="AM89" i="17" s="1"/>
  <c r="AL88" i="17"/>
  <c r="AM88" i="17" s="1"/>
  <c r="AL79" i="17"/>
  <c r="AM79" i="17" s="1"/>
  <c r="AL78" i="17"/>
  <c r="AM78" i="17" s="1"/>
  <c r="AL77" i="17"/>
  <c r="AM77" i="17" s="1"/>
  <c r="AL76" i="17"/>
  <c r="AM76" i="17" s="1"/>
  <c r="AL75" i="17"/>
  <c r="AM75" i="17" s="1"/>
  <c r="AL74" i="17"/>
  <c r="AM74" i="17" s="1"/>
  <c r="AL73" i="17"/>
  <c r="AM73" i="17" s="1"/>
  <c r="AL72" i="17"/>
  <c r="AM72" i="17" s="1"/>
  <c r="AL87" i="17"/>
  <c r="AM87" i="17" s="1"/>
  <c r="AL86" i="17"/>
  <c r="AM86" i="17" s="1"/>
  <c r="AL85" i="17"/>
  <c r="AM85" i="17" s="1"/>
  <c r="AL84" i="17"/>
  <c r="AM84" i="17" s="1"/>
  <c r="AL83" i="17"/>
  <c r="AM83" i="17" s="1"/>
  <c r="AL82" i="17"/>
  <c r="AM82" i="17" s="1"/>
  <c r="AL81" i="17"/>
  <c r="AM81" i="17" s="1"/>
  <c r="AL80" i="17"/>
  <c r="AM80" i="17" s="1"/>
  <c r="I26" i="17"/>
  <c r="I24" i="17"/>
  <c r="I23" i="17"/>
  <c r="I22" i="17"/>
  <c r="I21" i="17"/>
  <c r="I20" i="17"/>
  <c r="I19" i="17"/>
  <c r="I18" i="17"/>
  <c r="I16" i="17"/>
  <c r="I14" i="17"/>
  <c r="I13" i="17"/>
  <c r="I12" i="17"/>
  <c r="I10" i="17"/>
  <c r="I8" i="17"/>
  <c r="I6" i="17"/>
  <c r="I5" i="17"/>
  <c r="I4" i="17"/>
  <c r="Q303" i="17"/>
  <c r="S303" i="17" s="1"/>
  <c r="P303" i="17"/>
  <c r="I303" i="17"/>
  <c r="S302" i="17"/>
  <c r="R302" i="17"/>
  <c r="P302" i="17"/>
  <c r="S301" i="17"/>
  <c r="R301" i="17"/>
  <c r="P301" i="17"/>
  <c r="Q300" i="17"/>
  <c r="S300" i="17" s="1"/>
  <c r="P300" i="17"/>
  <c r="Q299" i="17"/>
  <c r="R299" i="17" s="1"/>
  <c r="P299" i="17"/>
  <c r="AG297" i="17"/>
  <c r="W297" i="17"/>
  <c r="Y297" i="17" s="1"/>
  <c r="Q297" i="17"/>
  <c r="AH297" i="17" s="1"/>
  <c r="P297" i="17"/>
  <c r="AG296" i="17"/>
  <c r="W296" i="17"/>
  <c r="Y296" i="17" s="1"/>
  <c r="Q296" i="17"/>
  <c r="AH296" i="17" s="1"/>
  <c r="P296" i="17"/>
  <c r="I296" i="17"/>
  <c r="AG295" i="17"/>
  <c r="W295" i="17"/>
  <c r="Y295" i="17" s="1"/>
  <c r="Q295" i="17"/>
  <c r="P295" i="17"/>
  <c r="AG294" i="17"/>
  <c r="W294" i="17"/>
  <c r="Y294" i="17" s="1"/>
  <c r="Q294" i="17"/>
  <c r="P294" i="17"/>
  <c r="I294" i="17"/>
  <c r="AG292" i="17"/>
  <c r="AH292" i="17"/>
  <c r="AG291" i="17"/>
  <c r="W291" i="17"/>
  <c r="Y291" i="17" s="1"/>
  <c r="Q291" i="17"/>
  <c r="AH291" i="17" s="1"/>
  <c r="P291" i="17"/>
  <c r="I291" i="17"/>
  <c r="AL185" i="17"/>
  <c r="AM185" i="17" s="1"/>
  <c r="W290" i="17"/>
  <c r="Y290" i="17" s="1"/>
  <c r="Q290" i="17"/>
  <c r="R290" i="17" s="1"/>
  <c r="P290" i="17"/>
  <c r="W289" i="17"/>
  <c r="Y289" i="17" s="1"/>
  <c r="Q289" i="17"/>
  <c r="S289" i="17" s="1"/>
  <c r="P289" i="17"/>
  <c r="I289" i="17"/>
  <c r="AG288" i="17"/>
  <c r="W288" i="17"/>
  <c r="Q288" i="17"/>
  <c r="R288" i="17" s="1"/>
  <c r="P288" i="17"/>
  <c r="I288" i="17"/>
  <c r="AL181" i="17"/>
  <c r="AM181" i="17" s="1"/>
  <c r="AG287" i="17"/>
  <c r="P287" i="17"/>
  <c r="I287" i="17"/>
  <c r="AH286" i="17"/>
  <c r="AG286" i="17"/>
  <c r="P286" i="17"/>
  <c r="I286" i="17"/>
  <c r="AG285" i="17"/>
  <c r="W285" i="17"/>
  <c r="Y285" i="17" s="1"/>
  <c r="Q285" i="17"/>
  <c r="AH285" i="17" s="1"/>
  <c r="P285" i="17"/>
  <c r="I285" i="17"/>
  <c r="AL179" i="17"/>
  <c r="AM179" i="17" s="1"/>
  <c r="AG284" i="17"/>
  <c r="W284" i="17"/>
  <c r="Q284" i="17"/>
  <c r="AH284" i="17" s="1"/>
  <c r="P284" i="17"/>
  <c r="I284" i="17"/>
  <c r="AL177" i="17"/>
  <c r="AM177" i="17" s="1"/>
  <c r="AG283" i="17"/>
  <c r="W283" i="17"/>
  <c r="X283" i="17" s="1"/>
  <c r="Q283" i="17"/>
  <c r="R283" i="17" s="1"/>
  <c r="P283" i="17"/>
  <c r="I283" i="17"/>
  <c r="AL170" i="17"/>
  <c r="AM170" i="17" s="1"/>
  <c r="AG282" i="17"/>
  <c r="W282" i="17"/>
  <c r="X282" i="17" s="1"/>
  <c r="Q282" i="17"/>
  <c r="S282" i="17" s="1"/>
  <c r="P282" i="17"/>
  <c r="AL167" i="17"/>
  <c r="AM167" i="17" s="1"/>
  <c r="W281" i="17"/>
  <c r="Q281" i="17"/>
  <c r="S281" i="17" s="1"/>
  <c r="P281" i="17"/>
  <c r="AG280" i="17"/>
  <c r="W280" i="17"/>
  <c r="Q280" i="17"/>
  <c r="S280" i="17" s="1"/>
  <c r="P280" i="17"/>
  <c r="I280" i="17"/>
  <c r="AL165" i="17"/>
  <c r="AM165" i="17" s="1"/>
  <c r="AG279" i="17"/>
  <c r="W279" i="17"/>
  <c r="X279" i="17" s="1"/>
  <c r="Q279" i="17"/>
  <c r="R279" i="17" s="1"/>
  <c r="P279" i="17"/>
  <c r="I279" i="17"/>
  <c r="AL164" i="17"/>
  <c r="AM164" i="17" s="1"/>
  <c r="W278" i="17"/>
  <c r="Y278" i="17" s="1"/>
  <c r="Q278" i="17"/>
  <c r="R278" i="17" s="1"/>
  <c r="P278" i="17"/>
  <c r="I278" i="17"/>
  <c r="AL163" i="17"/>
  <c r="AM163" i="17" s="1"/>
  <c r="W277" i="17"/>
  <c r="X277" i="17" s="1"/>
  <c r="Q277" i="17"/>
  <c r="R277" i="17" s="1"/>
  <c r="P277" i="17"/>
  <c r="AG276" i="17"/>
  <c r="W276" i="17"/>
  <c r="Y276" i="17" s="1"/>
  <c r="Q276" i="17"/>
  <c r="R276" i="17" s="1"/>
  <c r="P276" i="17"/>
  <c r="AG275" i="17"/>
  <c r="W275" i="17"/>
  <c r="X275" i="17" s="1"/>
  <c r="Q275" i="17"/>
  <c r="S275" i="17" s="1"/>
  <c r="P275" i="17"/>
  <c r="I275" i="17"/>
  <c r="AL158" i="17"/>
  <c r="AM158" i="17" s="1"/>
  <c r="AG274" i="17"/>
  <c r="W274" i="17"/>
  <c r="Q274" i="17"/>
  <c r="R274" i="17" s="1"/>
  <c r="P274" i="17"/>
  <c r="I274" i="17"/>
  <c r="AL157" i="17"/>
  <c r="AM157" i="17" s="1"/>
  <c r="AG273" i="17"/>
  <c r="W273" i="17"/>
  <c r="X273" i="17" s="1"/>
  <c r="Q273" i="17"/>
  <c r="AH273" i="17" s="1"/>
  <c r="P273" i="17"/>
  <c r="I273" i="17"/>
  <c r="AL155" i="17"/>
  <c r="AM155" i="17" s="1"/>
  <c r="AG270" i="17"/>
  <c r="W270" i="17"/>
  <c r="X270" i="17" s="1"/>
  <c r="Q270" i="17"/>
  <c r="R270" i="17" s="1"/>
  <c r="P270" i="17"/>
  <c r="I270" i="17"/>
  <c r="AL152" i="17"/>
  <c r="AM152" i="17" s="1"/>
  <c r="AG268" i="17"/>
  <c r="W268" i="17"/>
  <c r="Q268" i="17"/>
  <c r="R268" i="17" s="1"/>
  <c r="P268" i="17"/>
  <c r="I268" i="17"/>
  <c r="AL150" i="17"/>
  <c r="AM150" i="17" s="1"/>
  <c r="AH267" i="17"/>
  <c r="AG267" i="17"/>
  <c r="P267" i="17"/>
  <c r="I267" i="17"/>
  <c r="AG266" i="17"/>
  <c r="W266" i="17"/>
  <c r="Y266" i="17" s="1"/>
  <c r="Q266" i="17"/>
  <c r="S266" i="17" s="1"/>
  <c r="P266" i="17"/>
  <c r="I266" i="17"/>
  <c r="AL148" i="17"/>
  <c r="AM148" i="17" s="1"/>
  <c r="AG265" i="17"/>
  <c r="W265" i="17"/>
  <c r="Y265" i="17" s="1"/>
  <c r="Q265" i="17"/>
  <c r="S265" i="17" s="1"/>
  <c r="P265" i="17"/>
  <c r="I265" i="17"/>
  <c r="AG264" i="17"/>
  <c r="W264" i="17"/>
  <c r="Q264" i="17"/>
  <c r="P264" i="17"/>
  <c r="I264" i="17"/>
  <c r="AL143" i="17"/>
  <c r="AM143" i="17" s="1"/>
  <c r="AG263" i="17"/>
  <c r="W263" i="17"/>
  <c r="Y263" i="17" s="1"/>
  <c r="Q263" i="17"/>
  <c r="AH263" i="17" s="1"/>
  <c r="P263" i="17"/>
  <c r="I263" i="17"/>
  <c r="AL140" i="17"/>
  <c r="AM140" i="17" s="1"/>
  <c r="AG262" i="17"/>
  <c r="Q262" i="17"/>
  <c r="AH262" i="17" s="1"/>
  <c r="W262" i="17"/>
  <c r="Y262" i="17" s="1"/>
  <c r="P262" i="17"/>
  <c r="I262" i="17"/>
  <c r="AL138" i="17"/>
  <c r="AM138" i="17" s="1"/>
  <c r="AG261" i="17"/>
  <c r="W261" i="17"/>
  <c r="Y261" i="17" s="1"/>
  <c r="Q261" i="17"/>
  <c r="S261" i="17" s="1"/>
  <c r="P261" i="17"/>
  <c r="AL137" i="17"/>
  <c r="AM137" i="17" s="1"/>
  <c r="AG260" i="17"/>
  <c r="W260" i="17"/>
  <c r="Y260" i="17" s="1"/>
  <c r="Q260" i="17"/>
  <c r="AH260" i="17" s="1"/>
  <c r="P260" i="17"/>
  <c r="I260" i="17"/>
  <c r="AL136" i="17"/>
  <c r="AM136" i="17" s="1"/>
  <c r="AG259" i="17"/>
  <c r="W259" i="17"/>
  <c r="Y259" i="17" s="1"/>
  <c r="Q259" i="17"/>
  <c r="R259" i="17" s="1"/>
  <c r="P259" i="17"/>
  <c r="I259" i="17"/>
  <c r="AL135" i="17"/>
  <c r="AM135" i="17" s="1"/>
  <c r="AG257" i="17"/>
  <c r="P257" i="17"/>
  <c r="I257" i="17"/>
  <c r="AG256" i="17"/>
  <c r="W256" i="17"/>
  <c r="Y256" i="17" s="1"/>
  <c r="Q256" i="17"/>
  <c r="S256" i="17" s="1"/>
  <c r="P256" i="17"/>
  <c r="I256" i="17"/>
  <c r="AL134" i="17"/>
  <c r="AM134" i="17" s="1"/>
  <c r="AG255" i="17"/>
  <c r="W255" i="17"/>
  <c r="Q255" i="17"/>
  <c r="P255" i="17"/>
  <c r="AL132" i="17"/>
  <c r="AM132" i="17" s="1"/>
  <c r="AG254" i="17"/>
  <c r="W254" i="17"/>
  <c r="X254" i="17" s="1"/>
  <c r="Q254" i="17"/>
  <c r="AH254" i="17" s="1"/>
  <c r="P254" i="17"/>
  <c r="AL131" i="17"/>
  <c r="AM131" i="17" s="1"/>
  <c r="AG253" i="17"/>
  <c r="P253" i="17"/>
  <c r="I253" i="17"/>
  <c r="AG252" i="17"/>
  <c r="W252" i="17"/>
  <c r="Y252" i="17" s="1"/>
  <c r="Q252" i="17"/>
  <c r="P252" i="17"/>
  <c r="I252" i="17"/>
  <c r="AL130" i="17"/>
  <c r="AM130" i="17" s="1"/>
  <c r="AG251" i="17"/>
  <c r="W251" i="17"/>
  <c r="Y251" i="17" s="1"/>
  <c r="Q251" i="17"/>
  <c r="AH251" i="17" s="1"/>
  <c r="P251" i="17"/>
  <c r="I251" i="17"/>
  <c r="AL129" i="17"/>
  <c r="AM129" i="17" s="1"/>
  <c r="AG250" i="17"/>
  <c r="W250" i="17"/>
  <c r="Q250" i="17"/>
  <c r="AH250" i="17" s="1"/>
  <c r="P250" i="17"/>
  <c r="AG249" i="17"/>
  <c r="W249" i="17"/>
  <c r="Y249" i="17" s="1"/>
  <c r="Q249" i="17"/>
  <c r="AH249" i="17" s="1"/>
  <c r="P249" i="17"/>
  <c r="I249" i="17"/>
  <c r="P248" i="17"/>
  <c r="I248" i="17"/>
  <c r="AG247" i="17"/>
  <c r="P247" i="17"/>
  <c r="I247" i="17"/>
  <c r="W246" i="17"/>
  <c r="Y246" i="17" s="1"/>
  <c r="Q246" i="17"/>
  <c r="S246" i="17" s="1"/>
  <c r="P246" i="17"/>
  <c r="I246" i="17"/>
  <c r="AL124" i="17"/>
  <c r="AM124" i="17" s="1"/>
  <c r="AG245" i="17"/>
  <c r="W245" i="17"/>
  <c r="Y245" i="17" s="1"/>
  <c r="Q245" i="17"/>
  <c r="R245" i="17" s="1"/>
  <c r="P245" i="17"/>
  <c r="I245" i="17"/>
  <c r="AL123" i="17"/>
  <c r="AM123" i="17" s="1"/>
  <c r="W244" i="17"/>
  <c r="Y244" i="17" s="1"/>
  <c r="Q244" i="17"/>
  <c r="S244" i="17" s="1"/>
  <c r="P244" i="17"/>
  <c r="I244" i="17"/>
  <c r="AL122" i="17"/>
  <c r="AM122" i="17" s="1"/>
  <c r="W243" i="17"/>
  <c r="Y243" i="17" s="1"/>
  <c r="Q243" i="17"/>
  <c r="P243" i="17"/>
  <c r="I243" i="17"/>
  <c r="AL121" i="17"/>
  <c r="AM121" i="17" s="1"/>
  <c r="AG242" i="17"/>
  <c r="W242" i="17"/>
  <c r="Y242" i="17" s="1"/>
  <c r="Q242" i="17"/>
  <c r="AH242" i="17" s="1"/>
  <c r="P242" i="17"/>
  <c r="I242" i="17"/>
  <c r="AL119" i="17"/>
  <c r="AM119" i="17" s="1"/>
  <c r="AH241" i="17"/>
  <c r="AG241" i="17"/>
  <c r="P241" i="17"/>
  <c r="I241" i="17"/>
  <c r="AG237" i="17"/>
  <c r="W237" i="17"/>
  <c r="Y237" i="17" s="1"/>
  <c r="Q237" i="17"/>
  <c r="AH237" i="17" s="1"/>
  <c r="P237" i="17"/>
  <c r="I237" i="17"/>
  <c r="AL110" i="17"/>
  <c r="AM110" i="17" s="1"/>
  <c r="W236" i="17"/>
  <c r="Y236" i="17" s="1"/>
  <c r="Q236" i="17"/>
  <c r="S236" i="17" s="1"/>
  <c r="P236" i="17"/>
  <c r="AL108" i="17"/>
  <c r="AM108" i="17" s="1"/>
  <c r="W235" i="17"/>
  <c r="Y235" i="17" s="1"/>
  <c r="Q235" i="17"/>
  <c r="S235" i="17" s="1"/>
  <c r="P235" i="17"/>
  <c r="I235" i="17"/>
  <c r="AL107" i="17"/>
  <c r="AM107" i="17" s="1"/>
  <c r="P234" i="17"/>
  <c r="I234" i="17"/>
  <c r="AG233" i="17"/>
  <c r="W233" i="17"/>
  <c r="Y233" i="17" s="1"/>
  <c r="Q233" i="17"/>
  <c r="AH233" i="17" s="1"/>
  <c r="P233" i="17"/>
  <c r="I233" i="17"/>
  <c r="AL106" i="17"/>
  <c r="AM106" i="17" s="1"/>
  <c r="AG232" i="17"/>
  <c r="W232" i="17"/>
  <c r="Y232" i="17" s="1"/>
  <c r="Q232" i="17"/>
  <c r="P232" i="17"/>
  <c r="I232" i="17"/>
  <c r="AL105" i="17"/>
  <c r="AM105" i="17" s="1"/>
  <c r="AG231" i="17"/>
  <c r="W231" i="17"/>
  <c r="Y231" i="17" s="1"/>
  <c r="Q231" i="17"/>
  <c r="AH231" i="17" s="1"/>
  <c r="P231" i="17"/>
  <c r="I231" i="17"/>
  <c r="AL102" i="17"/>
  <c r="AM102" i="17" s="1"/>
  <c r="AG230" i="17"/>
  <c r="W230" i="17"/>
  <c r="Y230" i="17" s="1"/>
  <c r="Q230" i="17"/>
  <c r="AH230" i="17" s="1"/>
  <c r="P230" i="17"/>
  <c r="I230" i="17"/>
  <c r="AL101" i="17"/>
  <c r="AM101" i="17" s="1"/>
  <c r="AG229" i="17"/>
  <c r="W229" i="17"/>
  <c r="Y229" i="17" s="1"/>
  <c r="Q229" i="17"/>
  <c r="AH229" i="17" s="1"/>
  <c r="P229" i="17"/>
  <c r="I229" i="17"/>
  <c r="AL100" i="17"/>
  <c r="AM100" i="17" s="1"/>
  <c r="AG228" i="17"/>
  <c r="W228" i="17"/>
  <c r="Y228" i="17" s="1"/>
  <c r="Q228" i="17"/>
  <c r="AH228" i="17" s="1"/>
  <c r="P228" i="17"/>
  <c r="AL97" i="17"/>
  <c r="AM97" i="17" s="1"/>
  <c r="AG227" i="17"/>
  <c r="W227" i="17"/>
  <c r="Q227" i="17"/>
  <c r="P227" i="17"/>
  <c r="I227" i="17"/>
  <c r="AL96" i="17"/>
  <c r="AM96" i="17" s="1"/>
  <c r="W226" i="17"/>
  <c r="Y226" i="17" s="1"/>
  <c r="Q226" i="17"/>
  <c r="S226" i="17" s="1"/>
  <c r="P226" i="17"/>
  <c r="I226" i="17"/>
  <c r="AL95" i="17"/>
  <c r="AM95" i="17" s="1"/>
  <c r="I225" i="17"/>
  <c r="Q224" i="17"/>
  <c r="S224" i="17" s="1"/>
  <c r="P224" i="17"/>
  <c r="I224" i="17"/>
  <c r="AL94" i="17"/>
  <c r="AM94" i="17" s="1"/>
  <c r="I223" i="17"/>
  <c r="W222" i="17"/>
  <c r="Y222" i="17" s="1"/>
  <c r="Q222" i="17"/>
  <c r="S222" i="17" s="1"/>
  <c r="P222" i="17"/>
  <c r="I222" i="17"/>
  <c r="AL92" i="17"/>
  <c r="AM92" i="17" s="1"/>
  <c r="AG189" i="17"/>
  <c r="Q189" i="17"/>
  <c r="P189" i="17"/>
  <c r="W65" i="17"/>
  <c r="Y65" i="17" s="1"/>
  <c r="Q65" i="17"/>
  <c r="S65" i="17" s="1"/>
  <c r="I65" i="17"/>
  <c r="W66" i="17"/>
  <c r="Q66" i="17"/>
  <c r="S66" i="17" s="1"/>
  <c r="I66" i="17"/>
  <c r="W67" i="17"/>
  <c r="Y67" i="17" s="1"/>
  <c r="Q67" i="17"/>
  <c r="S67" i="17" s="1"/>
  <c r="I67" i="17"/>
  <c r="Y217" i="17"/>
  <c r="X217" i="17"/>
  <c r="Q217" i="17"/>
  <c r="S217" i="17" s="1"/>
  <c r="P217" i="17"/>
  <c r="AG221" i="17"/>
  <c r="Y221" i="17"/>
  <c r="X221" i="17"/>
  <c r="Q221" i="17"/>
  <c r="S221" i="17" s="1"/>
  <c r="P221" i="17"/>
  <c r="AG220" i="17"/>
  <c r="Y220" i="17"/>
  <c r="X220" i="17"/>
  <c r="Q220" i="17"/>
  <c r="S220" i="17" s="1"/>
  <c r="P220" i="17"/>
  <c r="AG219" i="17"/>
  <c r="Y219" i="17"/>
  <c r="X219" i="17"/>
  <c r="Q219" i="17"/>
  <c r="S219" i="17" s="1"/>
  <c r="P219" i="17"/>
  <c r="Y218" i="17"/>
  <c r="X218" i="17"/>
  <c r="Q218" i="17"/>
  <c r="S218" i="17" s="1"/>
  <c r="P218" i="17"/>
  <c r="AG197" i="17"/>
  <c r="Y197" i="17"/>
  <c r="X197" i="17"/>
  <c r="Q197" i="17"/>
  <c r="R197" i="17" s="1"/>
  <c r="P197" i="17"/>
  <c r="AG196" i="17"/>
  <c r="Y196" i="17"/>
  <c r="X196" i="17"/>
  <c r="Q196" i="17"/>
  <c r="S196" i="17" s="1"/>
  <c r="P196" i="17"/>
  <c r="AG195" i="17"/>
  <c r="Y195" i="17"/>
  <c r="X195" i="17"/>
  <c r="Q195" i="17"/>
  <c r="S195" i="17" s="1"/>
  <c r="P195" i="17"/>
  <c r="Y194" i="17"/>
  <c r="X194" i="17"/>
  <c r="Q194" i="17"/>
  <c r="S194" i="17" s="1"/>
  <c r="P194" i="17"/>
  <c r="AG193" i="17"/>
  <c r="Y193" i="17"/>
  <c r="X193" i="17"/>
  <c r="Q193" i="17"/>
  <c r="S193" i="17" s="1"/>
  <c r="P193" i="17"/>
  <c r="AG192" i="17"/>
  <c r="Y192" i="17"/>
  <c r="X192" i="17"/>
  <c r="Q192" i="17"/>
  <c r="S192" i="17" s="1"/>
  <c r="P192" i="17"/>
  <c r="AG191" i="17"/>
  <c r="Y191" i="17"/>
  <c r="X191" i="17"/>
  <c r="Q191" i="17"/>
  <c r="S191" i="17" s="1"/>
  <c r="P191" i="17"/>
  <c r="AG190" i="17"/>
  <c r="Y190" i="17"/>
  <c r="X190" i="17"/>
  <c r="Q190" i="17"/>
  <c r="S190" i="17" s="1"/>
  <c r="P190" i="17"/>
  <c r="Y216" i="17"/>
  <c r="X216" i="17"/>
  <c r="Q216" i="17"/>
  <c r="S216" i="17" s="1"/>
  <c r="P216" i="17"/>
  <c r="Y214" i="17"/>
  <c r="X214" i="17"/>
  <c r="Q214" i="17"/>
  <c r="P214" i="17"/>
  <c r="Y212" i="17"/>
  <c r="X212" i="17"/>
  <c r="Q212" i="17"/>
  <c r="S212" i="17" s="1"/>
  <c r="P212" i="17"/>
  <c r="Y210" i="17"/>
  <c r="X210" i="17"/>
  <c r="Q210" i="17"/>
  <c r="P210" i="17"/>
  <c r="Y208" i="17"/>
  <c r="X208" i="17"/>
  <c r="Q208" i="17"/>
  <c r="S208" i="17" s="1"/>
  <c r="P208" i="17"/>
  <c r="Y206" i="17"/>
  <c r="X206" i="17"/>
  <c r="Q206" i="17"/>
  <c r="S206" i="17" s="1"/>
  <c r="P206" i="17"/>
  <c r="AG204" i="17"/>
  <c r="Y204" i="17"/>
  <c r="X204" i="17"/>
  <c r="Q204" i="17"/>
  <c r="S204" i="17" s="1"/>
  <c r="P204" i="17"/>
  <c r="AG202" i="17"/>
  <c r="Y202" i="17"/>
  <c r="X202" i="17"/>
  <c r="Q202" i="17"/>
  <c r="S202" i="17" s="1"/>
  <c r="P202" i="17"/>
  <c r="AG200" i="17"/>
  <c r="Y200" i="17"/>
  <c r="X200" i="17"/>
  <c r="Q200" i="17"/>
  <c r="S200" i="17" s="1"/>
  <c r="P200" i="17"/>
  <c r="Y198" i="17"/>
  <c r="X198" i="17"/>
  <c r="Q198" i="17"/>
  <c r="P198" i="17"/>
  <c r="L126" i="9"/>
  <c r="O126" i="9"/>
  <c r="L127" i="9"/>
  <c r="O127" i="9"/>
  <c r="Q127" i="9" s="1"/>
  <c r="L128" i="9"/>
  <c r="M128" i="9"/>
  <c r="N128" i="9"/>
  <c r="O128" i="9"/>
  <c r="L129" i="9"/>
  <c r="M129" i="9"/>
  <c r="N129" i="9"/>
  <c r="O129" i="9"/>
  <c r="P129" i="9"/>
  <c r="Q129" i="9"/>
  <c r="L130" i="9"/>
  <c r="O130" i="9"/>
  <c r="L131" i="9"/>
  <c r="O131" i="9"/>
  <c r="Q131" i="9" s="1"/>
  <c r="L132" i="9"/>
  <c r="M132" i="9"/>
  <c r="N132" i="9"/>
  <c r="O132" i="9"/>
  <c r="L133" i="9"/>
  <c r="M133" i="9"/>
  <c r="N133" i="9"/>
  <c r="O133" i="9"/>
  <c r="P133" i="9"/>
  <c r="Q133" i="9"/>
  <c r="L134" i="9"/>
  <c r="O134" i="9"/>
  <c r="L135" i="9"/>
  <c r="O135" i="9"/>
  <c r="Q135" i="9" s="1"/>
  <c r="P135" i="9"/>
  <c r="L136" i="9"/>
  <c r="M136" i="9"/>
  <c r="N136" i="9"/>
  <c r="O136" i="9"/>
  <c r="L137" i="9"/>
  <c r="M137" i="9"/>
  <c r="N137" i="9"/>
  <c r="O137" i="9"/>
  <c r="P137" i="9"/>
  <c r="Q137" i="9"/>
  <c r="L138" i="9"/>
  <c r="O138" i="9"/>
  <c r="L139" i="9"/>
  <c r="O139" i="9"/>
  <c r="Q139" i="9" s="1"/>
  <c r="L140" i="9"/>
  <c r="M140" i="9"/>
  <c r="N140" i="9"/>
  <c r="O140" i="9"/>
  <c r="L141" i="9"/>
  <c r="M141" i="9"/>
  <c r="N141" i="9"/>
  <c r="O141" i="9"/>
  <c r="P141" i="9"/>
  <c r="Q141" i="9"/>
  <c r="L142" i="9"/>
  <c r="O142" i="9"/>
  <c r="L143" i="9"/>
  <c r="O143" i="9"/>
  <c r="Q143" i="9" s="1"/>
  <c r="L144" i="9"/>
  <c r="M144" i="9"/>
  <c r="N144" i="9"/>
  <c r="O144" i="9"/>
  <c r="L145" i="9"/>
  <c r="M145" i="9"/>
  <c r="N145" i="9"/>
  <c r="O145" i="9"/>
  <c r="P145" i="9"/>
  <c r="Q145" i="9"/>
  <c r="L146" i="9"/>
  <c r="O146" i="9"/>
  <c r="L147" i="9"/>
  <c r="O147" i="9"/>
  <c r="Q147" i="9" s="1"/>
  <c r="L148" i="9"/>
  <c r="M148" i="9"/>
  <c r="N148" i="9"/>
  <c r="O148" i="9"/>
  <c r="L149" i="9"/>
  <c r="M149" i="9"/>
  <c r="N149" i="9"/>
  <c r="O149" i="9"/>
  <c r="P149" i="9"/>
  <c r="Q149" i="9"/>
  <c r="L150" i="9"/>
  <c r="O150" i="9"/>
  <c r="L151" i="9"/>
  <c r="O151" i="9"/>
  <c r="Q151" i="9" s="1"/>
  <c r="P151" i="9"/>
  <c r="L152" i="9"/>
  <c r="M152" i="9"/>
  <c r="N152" i="9"/>
  <c r="O152" i="9"/>
  <c r="L153" i="9"/>
  <c r="M153" i="9"/>
  <c r="N153" i="9"/>
  <c r="O153" i="9"/>
  <c r="P153" i="9"/>
  <c r="Q153" i="9"/>
  <c r="L154" i="9"/>
  <c r="O154" i="9"/>
  <c r="L155" i="9"/>
  <c r="O155" i="9"/>
  <c r="Q155" i="9" s="1"/>
  <c r="L156" i="9"/>
  <c r="M156" i="9"/>
  <c r="N156" i="9"/>
  <c r="O156" i="9"/>
  <c r="L157" i="9"/>
  <c r="M157" i="9"/>
  <c r="N157" i="9"/>
  <c r="O157" i="9"/>
  <c r="P157" i="9"/>
  <c r="Q157" i="9"/>
  <c r="L158" i="9"/>
  <c r="O158" i="9"/>
  <c r="L159" i="9"/>
  <c r="O159" i="9"/>
  <c r="Q159" i="9" s="1"/>
  <c r="L160" i="9"/>
  <c r="M160" i="9"/>
  <c r="N160" i="9"/>
  <c r="O160" i="9"/>
  <c r="L161" i="9"/>
  <c r="M161" i="9"/>
  <c r="N161" i="9"/>
  <c r="O161" i="9"/>
  <c r="P161" i="9"/>
  <c r="Q161" i="9"/>
  <c r="L162" i="9"/>
  <c r="O162" i="9"/>
  <c r="L163" i="9"/>
  <c r="O163" i="9"/>
  <c r="Q163" i="9" s="1"/>
  <c r="L164" i="9"/>
  <c r="M164" i="9"/>
  <c r="N164" i="9"/>
  <c r="O164" i="9"/>
  <c r="L165" i="9"/>
  <c r="M165" i="9"/>
  <c r="N165" i="9"/>
  <c r="O165" i="9"/>
  <c r="P165" i="9"/>
  <c r="Q165" i="9"/>
  <c r="L166" i="9"/>
  <c r="O166" i="9"/>
  <c r="L167" i="9"/>
  <c r="O167" i="9"/>
  <c r="Q167" i="9" s="1"/>
  <c r="P167" i="9"/>
  <c r="L168" i="9"/>
  <c r="M168" i="9"/>
  <c r="N168" i="9"/>
  <c r="O168" i="9"/>
  <c r="L169" i="9"/>
  <c r="M169" i="9"/>
  <c r="N169" i="9"/>
  <c r="O169" i="9"/>
  <c r="P169" i="9"/>
  <c r="Q169" i="9"/>
  <c r="L170" i="9"/>
  <c r="O170" i="9"/>
  <c r="L171" i="9"/>
  <c r="O171" i="9"/>
  <c r="Q171" i="9" s="1"/>
  <c r="L172" i="9"/>
  <c r="M172" i="9"/>
  <c r="N172" i="9"/>
  <c r="O172" i="9"/>
  <c r="L173" i="9"/>
  <c r="M173" i="9"/>
  <c r="N173" i="9"/>
  <c r="O173" i="9"/>
  <c r="P173" i="9"/>
  <c r="Q173" i="9"/>
  <c r="L174" i="9"/>
  <c r="O174" i="9"/>
  <c r="L175" i="9"/>
  <c r="O175" i="9"/>
  <c r="Q175" i="9" s="1"/>
  <c r="L176" i="9"/>
  <c r="M176" i="9"/>
  <c r="N176" i="9"/>
  <c r="O176" i="9"/>
  <c r="L177" i="9"/>
  <c r="M177" i="9"/>
  <c r="N177" i="9"/>
  <c r="O177" i="9"/>
  <c r="P177" i="9"/>
  <c r="Q177" i="9"/>
  <c r="L178" i="9"/>
  <c r="O178" i="9"/>
  <c r="L179" i="9"/>
  <c r="O179" i="9"/>
  <c r="Q179" i="9" s="1"/>
  <c r="L180" i="9"/>
  <c r="M180" i="9"/>
  <c r="N180" i="9"/>
  <c r="O180" i="9"/>
  <c r="L181" i="9"/>
  <c r="M181" i="9"/>
  <c r="N181" i="9"/>
  <c r="O181" i="9"/>
  <c r="P181" i="9"/>
  <c r="Q181" i="9"/>
  <c r="L182" i="9"/>
  <c r="O182" i="9"/>
  <c r="L183" i="9"/>
  <c r="O183" i="9"/>
  <c r="Q183" i="9" s="1"/>
  <c r="P183" i="9"/>
  <c r="L184" i="9"/>
  <c r="M184" i="9"/>
  <c r="N184" i="9"/>
  <c r="O184" i="9"/>
  <c r="L185" i="9"/>
  <c r="M185" i="9"/>
  <c r="N185" i="9"/>
  <c r="O185" i="9"/>
  <c r="P185" i="9"/>
  <c r="Q185" i="9"/>
  <c r="L186" i="9"/>
  <c r="O186" i="9"/>
  <c r="L187" i="9"/>
  <c r="O187" i="9"/>
  <c r="Q187" i="9" s="1"/>
  <c r="L188" i="9"/>
  <c r="M188" i="9"/>
  <c r="N188" i="9"/>
  <c r="O188" i="9"/>
  <c r="L189" i="9"/>
  <c r="M189" i="9"/>
  <c r="N189" i="9"/>
  <c r="O189" i="9"/>
  <c r="P189" i="9"/>
  <c r="Q189" i="9"/>
  <c r="L190" i="9"/>
  <c r="O190" i="9"/>
  <c r="L191" i="9"/>
  <c r="O191" i="9"/>
  <c r="Q191" i="9" s="1"/>
  <c r="L192" i="9"/>
  <c r="M192" i="9"/>
  <c r="N192" i="9"/>
  <c r="O192" i="9"/>
  <c r="L193" i="9"/>
  <c r="M193" i="9"/>
  <c r="N193" i="9"/>
  <c r="O193" i="9"/>
  <c r="P193" i="9" s="1"/>
  <c r="Q193" i="9"/>
  <c r="L194" i="9"/>
  <c r="M194" i="9" s="1"/>
  <c r="O194" i="9"/>
  <c r="L195" i="9"/>
  <c r="M195" i="9" s="1"/>
  <c r="O195" i="9"/>
  <c r="P195" i="9" s="1"/>
  <c r="L197" i="9"/>
  <c r="M197" i="9"/>
  <c r="N197" i="9"/>
  <c r="O197" i="9"/>
  <c r="L198" i="9"/>
  <c r="M198" i="9"/>
  <c r="N198" i="9"/>
  <c r="O198" i="9"/>
  <c r="P198" i="9" s="1"/>
  <c r="Q198" i="9"/>
  <c r="L199" i="9"/>
  <c r="M199" i="9" s="1"/>
  <c r="O199" i="9"/>
  <c r="L200" i="9"/>
  <c r="M200" i="9" s="1"/>
  <c r="O200" i="9"/>
  <c r="P200" i="9" s="1"/>
  <c r="L201" i="9"/>
  <c r="M201" i="9"/>
  <c r="N201" i="9"/>
  <c r="O201" i="9"/>
  <c r="L202" i="9"/>
  <c r="M202" i="9"/>
  <c r="N202" i="9"/>
  <c r="O202" i="9"/>
  <c r="P202" i="9" s="1"/>
  <c r="Q202" i="9"/>
  <c r="L203" i="9"/>
  <c r="M203" i="9" s="1"/>
  <c r="O203" i="9"/>
  <c r="L204" i="9"/>
  <c r="M204" i="9" s="1"/>
  <c r="O204" i="9"/>
  <c r="P204" i="9" s="1"/>
  <c r="L205" i="9"/>
  <c r="M205" i="9"/>
  <c r="N205" i="9"/>
  <c r="O205" i="9"/>
  <c r="L206" i="9"/>
  <c r="M206" i="9"/>
  <c r="O206" i="9"/>
  <c r="P206" i="9" s="1"/>
  <c r="L207" i="9"/>
  <c r="M207" i="9" s="1"/>
  <c r="O207" i="9"/>
  <c r="P207" i="9"/>
  <c r="Q207" i="9"/>
  <c r="L208" i="9"/>
  <c r="M208" i="9" s="1"/>
  <c r="O208" i="9"/>
  <c r="P208" i="9" s="1"/>
  <c r="L209" i="9"/>
  <c r="M209" i="9" s="1"/>
  <c r="N209" i="9"/>
  <c r="O209" i="9"/>
  <c r="P209" i="9" s="1"/>
  <c r="L210" i="9"/>
  <c r="M210" i="9" s="1"/>
  <c r="O210" i="9"/>
  <c r="L211" i="9"/>
  <c r="M211" i="9" s="1"/>
  <c r="O211" i="9"/>
  <c r="P211" i="9"/>
  <c r="Q211" i="9"/>
  <c r="L212" i="9"/>
  <c r="M212" i="9" s="1"/>
  <c r="O212" i="9"/>
  <c r="P212" i="9" s="1"/>
  <c r="L213" i="9"/>
  <c r="M213" i="9"/>
  <c r="N213" i="9"/>
  <c r="O213" i="9"/>
  <c r="P213" i="9" s="1"/>
  <c r="Q213" i="9"/>
  <c r="L214" i="9"/>
  <c r="M214" i="9" s="1"/>
  <c r="O214" i="9"/>
  <c r="P214" i="9"/>
  <c r="Q214" i="9"/>
  <c r="L215" i="9"/>
  <c r="M215" i="9" s="1"/>
  <c r="N215" i="9"/>
  <c r="O215" i="9"/>
  <c r="P215" i="9" s="1"/>
  <c r="L216" i="9"/>
  <c r="M216" i="9" s="1"/>
  <c r="O216" i="9"/>
  <c r="P216" i="9" s="1"/>
  <c r="Q216" i="9"/>
  <c r="L217" i="9"/>
  <c r="M217" i="9" s="1"/>
  <c r="O217" i="9"/>
  <c r="P217" i="9" s="1"/>
  <c r="L218" i="9"/>
  <c r="M218" i="9"/>
  <c r="O218" i="9"/>
  <c r="P218" i="9" s="1"/>
  <c r="L219" i="9"/>
  <c r="M219" i="9" s="1"/>
  <c r="O219" i="9"/>
  <c r="P219" i="9"/>
  <c r="Q219" i="9"/>
  <c r="L220" i="9"/>
  <c r="M220" i="9" s="1"/>
  <c r="O220" i="9"/>
  <c r="P220" i="9" s="1"/>
  <c r="L221" i="9"/>
  <c r="M221" i="9"/>
  <c r="N221" i="9"/>
  <c r="O221" i="9"/>
  <c r="P221" i="9" s="1"/>
  <c r="Q221" i="9"/>
  <c r="L222" i="9"/>
  <c r="M222" i="9" s="1"/>
  <c r="O222" i="9"/>
  <c r="Q222" i="9"/>
  <c r="L223" i="9"/>
  <c r="M223" i="9" s="1"/>
  <c r="O223" i="9"/>
  <c r="P223" i="9" s="1"/>
  <c r="L224" i="9"/>
  <c r="M224" i="9" s="1"/>
  <c r="O224" i="9"/>
  <c r="P224" i="9" s="1"/>
  <c r="L225" i="9"/>
  <c r="M225" i="9" s="1"/>
  <c r="N225" i="9"/>
  <c r="O225" i="9"/>
  <c r="P225" i="9" s="1"/>
  <c r="L226" i="9"/>
  <c r="M226" i="9" s="1"/>
  <c r="O226" i="9"/>
  <c r="L227" i="9"/>
  <c r="M227" i="9" s="1"/>
  <c r="O227" i="9"/>
  <c r="P227" i="9"/>
  <c r="L228" i="9"/>
  <c r="M228" i="9" s="1"/>
  <c r="O228" i="9"/>
  <c r="P228" i="9" s="1"/>
  <c r="L229" i="9"/>
  <c r="M229" i="9" s="1"/>
  <c r="N229" i="9"/>
  <c r="O229" i="9"/>
  <c r="P229" i="9" s="1"/>
  <c r="X289" i="17"/>
  <c r="R292" i="17"/>
  <c r="Y277" i="17"/>
  <c r="Q227" i="9"/>
  <c r="Q223" i="9"/>
  <c r="P222" i="9"/>
  <c r="M234" i="9"/>
  <c r="I37" i="9"/>
  <c r="N41" i="8"/>
  <c r="O41" i="8" s="1"/>
  <c r="K41" i="8"/>
  <c r="L41" i="8" s="1"/>
  <c r="H41" i="8"/>
  <c r="G41" i="8"/>
  <c r="N40" i="8"/>
  <c r="O40" i="8" s="1"/>
  <c r="K40" i="8"/>
  <c r="H40" i="8"/>
  <c r="J40" i="8" s="1"/>
  <c r="G40" i="8"/>
  <c r="N39" i="8"/>
  <c r="O39" i="8"/>
  <c r="P39" i="8"/>
  <c r="K39" i="8"/>
  <c r="L39" i="8" s="1"/>
  <c r="H39" i="8"/>
  <c r="G39" i="8"/>
  <c r="I191" i="9"/>
  <c r="K191" i="9"/>
  <c r="H191" i="9"/>
  <c r="I94" i="9"/>
  <c r="I40" i="9"/>
  <c r="I28" i="9"/>
  <c r="F241" i="9"/>
  <c r="F240" i="9"/>
  <c r="F239" i="9"/>
  <c r="I39" i="9"/>
  <c r="H4" i="16"/>
  <c r="I4" i="16" s="1"/>
  <c r="K4" i="16"/>
  <c r="L4" i="16" s="1"/>
  <c r="N4" i="16"/>
  <c r="O4" i="16" s="1"/>
  <c r="P4" i="16"/>
  <c r="H5" i="16"/>
  <c r="K5" i="16"/>
  <c r="N5" i="16"/>
  <c r="O5" i="16"/>
  <c r="H6" i="16"/>
  <c r="I6" i="16" s="1"/>
  <c r="K6" i="16"/>
  <c r="L6" i="16"/>
  <c r="N6" i="16"/>
  <c r="O6" i="16" s="1"/>
  <c r="H7" i="16"/>
  <c r="I7" i="16"/>
  <c r="K7" i="16"/>
  <c r="L7" i="16" s="1"/>
  <c r="N7" i="16"/>
  <c r="N3" i="16"/>
  <c r="K3" i="16"/>
  <c r="M3" i="16" s="1"/>
  <c r="H3" i="16"/>
  <c r="J3" i="16" s="1"/>
  <c r="L3" i="16"/>
  <c r="P5" i="16"/>
  <c r="M6" i="16"/>
  <c r="AF147" i="9"/>
  <c r="AG147" i="9"/>
  <c r="I147" i="9"/>
  <c r="J147" i="9"/>
  <c r="H147" i="9"/>
  <c r="I180" i="9"/>
  <c r="AB180" i="9" s="1"/>
  <c r="AC180" i="9" s="1"/>
  <c r="H180" i="9"/>
  <c r="I197" i="9"/>
  <c r="K197" i="9" s="1"/>
  <c r="H197" i="9"/>
  <c r="I166" i="9"/>
  <c r="H166" i="9"/>
  <c r="AF146" i="9"/>
  <c r="AG146" i="9"/>
  <c r="I146" i="9"/>
  <c r="K146" i="9"/>
  <c r="H146" i="9"/>
  <c r="I193" i="9"/>
  <c r="K193" i="9" s="1"/>
  <c r="H193" i="9"/>
  <c r="H194" i="9"/>
  <c r="I194" i="9"/>
  <c r="J194" i="9" s="1"/>
  <c r="I222" i="9"/>
  <c r="AB222" i="9" s="1"/>
  <c r="AC222" i="9" s="1"/>
  <c r="H222" i="9"/>
  <c r="AB197" i="9"/>
  <c r="AC197" i="9" s="1"/>
  <c r="J146" i="9"/>
  <c r="AF155" i="9"/>
  <c r="AG155" i="9" s="1"/>
  <c r="I155" i="9"/>
  <c r="K155" i="9"/>
  <c r="H155" i="9"/>
  <c r="I210" i="9"/>
  <c r="J210" i="9" s="1"/>
  <c r="H210" i="9"/>
  <c r="AF188" i="9"/>
  <c r="AG188" i="9" s="1"/>
  <c r="AF189" i="9"/>
  <c r="AG189" i="9"/>
  <c r="AF190" i="9"/>
  <c r="AG190" i="9" s="1"/>
  <c r="AF192" i="9"/>
  <c r="AG192" i="9"/>
  <c r="AF195" i="9"/>
  <c r="AG195" i="9" s="1"/>
  <c r="AF200" i="9"/>
  <c r="AG200" i="9"/>
  <c r="AF202" i="9"/>
  <c r="AG202" i="9" s="1"/>
  <c r="AF204" i="9"/>
  <c r="AG204" i="9"/>
  <c r="AF206" i="9"/>
  <c r="AG206" i="9" s="1"/>
  <c r="AF207" i="9"/>
  <c r="AG207" i="9"/>
  <c r="AF186" i="9"/>
  <c r="AG186" i="9" s="1"/>
  <c r="AF208" i="9"/>
  <c r="AG208" i="9"/>
  <c r="AF211" i="9"/>
  <c r="AG211" i="9" s="1"/>
  <c r="AF212" i="9"/>
  <c r="AG212" i="9"/>
  <c r="AF213" i="9"/>
  <c r="AG213" i="9" s="1"/>
  <c r="AF227" i="9"/>
  <c r="AG227" i="9"/>
  <c r="AF214" i="9"/>
  <c r="AG214" i="9" s="1"/>
  <c r="AF215" i="9"/>
  <c r="AG215" i="9" s="1"/>
  <c r="AF216" i="9"/>
  <c r="AG216" i="9" s="1"/>
  <c r="AF217" i="9"/>
  <c r="AG217" i="9" s="1"/>
  <c r="AF219" i="9"/>
  <c r="AG219" i="9" s="1"/>
  <c r="AF221" i="9"/>
  <c r="AG221" i="9" s="1"/>
  <c r="AF223" i="9"/>
  <c r="AG223" i="9" s="1"/>
  <c r="AF181" i="9"/>
  <c r="AG181" i="9" s="1"/>
  <c r="AF182" i="9"/>
  <c r="AG182" i="9" s="1"/>
  <c r="AF183" i="9"/>
  <c r="AG183" i="9" s="1"/>
  <c r="AF184" i="9"/>
  <c r="AG184" i="9" s="1"/>
  <c r="AF224" i="9"/>
  <c r="AG224" i="9" s="1"/>
  <c r="AF173" i="9"/>
  <c r="AG173" i="9" s="1"/>
  <c r="AF175" i="9"/>
  <c r="AG175" i="9" s="1"/>
  <c r="AF176" i="9"/>
  <c r="AG176" i="9" s="1"/>
  <c r="AF177" i="9"/>
  <c r="AG177" i="9" s="1"/>
  <c r="AF178" i="9"/>
  <c r="AG178" i="9" s="1"/>
  <c r="AF187" i="9"/>
  <c r="AG187" i="9" s="1"/>
  <c r="AF152" i="9"/>
  <c r="AG152" i="9" s="1"/>
  <c r="AF153" i="9"/>
  <c r="AG153" i="9" s="1"/>
  <c r="AF154" i="9"/>
  <c r="AG154" i="9" s="1"/>
  <c r="AF156" i="9"/>
  <c r="AG156" i="9" s="1"/>
  <c r="AF157" i="9"/>
  <c r="AG157" i="9" s="1"/>
  <c r="AF160" i="9"/>
  <c r="AG160" i="9" s="1"/>
  <c r="AF161" i="9"/>
  <c r="AG161" i="9" s="1"/>
  <c r="AF162" i="9"/>
  <c r="AG162" i="9" s="1"/>
  <c r="AF163" i="9"/>
  <c r="AG163" i="9" s="1"/>
  <c r="AF165" i="9"/>
  <c r="AG165" i="9" s="1"/>
  <c r="AF148" i="9"/>
  <c r="AG148" i="9" s="1"/>
  <c r="AF150" i="9"/>
  <c r="AG150" i="9" s="1"/>
  <c r="AF151" i="9"/>
  <c r="AG151" i="9" s="1"/>
  <c r="AF127" i="9"/>
  <c r="AG127" i="9" s="1"/>
  <c r="AF128" i="9"/>
  <c r="AG128" i="9" s="1"/>
  <c r="AF129" i="9"/>
  <c r="AG129" i="9" s="1"/>
  <c r="AF130" i="9"/>
  <c r="AG130" i="9" s="1"/>
  <c r="AF131" i="9"/>
  <c r="AG131" i="9" s="1"/>
  <c r="AF132" i="9"/>
  <c r="AG132" i="9" s="1"/>
  <c r="AF133" i="9"/>
  <c r="AG133" i="9" s="1"/>
  <c r="AF134" i="9"/>
  <c r="AG134" i="9" s="1"/>
  <c r="AF135" i="9"/>
  <c r="AG135" i="9" s="1"/>
  <c r="AF136" i="9"/>
  <c r="AG136" i="9" s="1"/>
  <c r="AF137" i="9"/>
  <c r="AG137" i="9" s="1"/>
  <c r="AF138" i="9"/>
  <c r="AG138" i="9" s="1"/>
  <c r="AF139" i="9"/>
  <c r="AG139" i="9" s="1"/>
  <c r="AF140" i="9"/>
  <c r="AG140" i="9" s="1"/>
  <c r="AF141" i="9"/>
  <c r="AG141" i="9" s="1"/>
  <c r="AF142" i="9"/>
  <c r="AG142" i="9" s="1"/>
  <c r="AF143" i="9"/>
  <c r="AG143" i="9" s="1"/>
  <c r="AF144" i="9"/>
  <c r="AG144" i="9" s="1"/>
  <c r="AF145" i="9"/>
  <c r="AG145" i="9" s="1"/>
  <c r="AF126" i="9"/>
  <c r="AG126" i="9" s="1"/>
  <c r="H228" i="9"/>
  <c r="I228" i="9"/>
  <c r="J228" i="9"/>
  <c r="H229" i="9"/>
  <c r="I229" i="9"/>
  <c r="J229" i="9" s="1"/>
  <c r="H214" i="9"/>
  <c r="I214" i="9"/>
  <c r="H215" i="9"/>
  <c r="I215" i="9"/>
  <c r="AB215" i="9" s="1"/>
  <c r="AC215" i="9" s="1"/>
  <c r="H216" i="9"/>
  <c r="I216" i="9"/>
  <c r="J216" i="9"/>
  <c r="H218" i="9"/>
  <c r="I218" i="9"/>
  <c r="AB218" i="9" s="1"/>
  <c r="AC218" i="9" s="1"/>
  <c r="H220" i="9"/>
  <c r="I220" i="9"/>
  <c r="AB220" i="9" s="1"/>
  <c r="AC220" i="9" s="1"/>
  <c r="H217" i="9"/>
  <c r="I217" i="9"/>
  <c r="J217" i="9" s="1"/>
  <c r="H219" i="9"/>
  <c r="I219" i="9"/>
  <c r="AB219" i="9"/>
  <c r="AC219" i="9" s="1"/>
  <c r="H223" i="9"/>
  <c r="I223" i="9"/>
  <c r="J223" i="9"/>
  <c r="H221" i="9"/>
  <c r="I221" i="9"/>
  <c r="J221" i="9" s="1"/>
  <c r="H181" i="9"/>
  <c r="I181" i="9"/>
  <c r="J181" i="9"/>
  <c r="H182" i="9"/>
  <c r="I182" i="9"/>
  <c r="AB182" i="9" s="1"/>
  <c r="AC182" i="9" s="1"/>
  <c r="H183" i="9"/>
  <c r="I183" i="9"/>
  <c r="J183" i="9" s="1"/>
  <c r="H184" i="9"/>
  <c r="I184" i="9"/>
  <c r="AB184" i="9"/>
  <c r="H224" i="9"/>
  <c r="I224" i="9"/>
  <c r="AB224" i="9" s="1"/>
  <c r="AC224" i="9" s="1"/>
  <c r="H185" i="9"/>
  <c r="I185" i="9"/>
  <c r="H186" i="9"/>
  <c r="I186" i="9"/>
  <c r="H208" i="9"/>
  <c r="I208" i="9"/>
  <c r="J208" i="9" s="1"/>
  <c r="H209" i="9"/>
  <c r="I209" i="9"/>
  <c r="AB209" i="9"/>
  <c r="AC209" i="9" s="1"/>
  <c r="H211" i="9"/>
  <c r="I211" i="9"/>
  <c r="J211" i="9" s="1"/>
  <c r="H212" i="9"/>
  <c r="I212" i="9"/>
  <c r="H213" i="9"/>
  <c r="I213" i="9"/>
  <c r="H225" i="9"/>
  <c r="I225" i="9"/>
  <c r="J225" i="9"/>
  <c r="H226" i="9"/>
  <c r="I226" i="9"/>
  <c r="J226" i="9" s="1"/>
  <c r="H227" i="9"/>
  <c r="I227" i="9"/>
  <c r="J227" i="9"/>
  <c r="H187" i="9"/>
  <c r="I187" i="9"/>
  <c r="J187" i="9" s="1"/>
  <c r="H188" i="9"/>
  <c r="I188" i="9"/>
  <c r="AB188" i="9"/>
  <c r="AC188" i="9" s="1"/>
  <c r="H189" i="9"/>
  <c r="I189" i="9"/>
  <c r="J189" i="9" s="1"/>
  <c r="H190" i="9"/>
  <c r="I190" i="9"/>
  <c r="J190" i="9"/>
  <c r="H192" i="9"/>
  <c r="I192" i="9"/>
  <c r="AB192" i="9" s="1"/>
  <c r="AC192" i="9" s="1"/>
  <c r="H195" i="9"/>
  <c r="I195" i="9"/>
  <c r="J195" i="9"/>
  <c r="H198" i="9"/>
  <c r="I198" i="9"/>
  <c r="H199" i="9"/>
  <c r="I199" i="9"/>
  <c r="AB199" i="9" s="1"/>
  <c r="AC199" i="9" s="1"/>
  <c r="H200" i="9"/>
  <c r="I200" i="9"/>
  <c r="K200" i="9"/>
  <c r="H201" i="9"/>
  <c r="I201" i="9"/>
  <c r="H202" i="9"/>
  <c r="I202" i="9"/>
  <c r="K202" i="9" s="1"/>
  <c r="H203" i="9"/>
  <c r="I203" i="9"/>
  <c r="AB203" i="9" s="1"/>
  <c r="AC203" i="9" s="1"/>
  <c r="H204" i="9"/>
  <c r="I204" i="9"/>
  <c r="H205" i="9"/>
  <c r="I205" i="9"/>
  <c r="AB205" i="9" s="1"/>
  <c r="AC205" i="9" s="1"/>
  <c r="H206" i="9"/>
  <c r="I206" i="9"/>
  <c r="J206" i="9"/>
  <c r="H207" i="9"/>
  <c r="I207" i="9"/>
  <c r="H159" i="9"/>
  <c r="I159" i="9"/>
  <c r="H160" i="9"/>
  <c r="I160" i="9"/>
  <c r="J160" i="9" s="1"/>
  <c r="H161" i="9"/>
  <c r="I161" i="9"/>
  <c r="K161" i="9" s="1"/>
  <c r="H162" i="9"/>
  <c r="I162" i="9"/>
  <c r="H163" i="9"/>
  <c r="I163" i="9"/>
  <c r="J163" i="9"/>
  <c r="H164" i="9"/>
  <c r="I164" i="9"/>
  <c r="H165" i="9"/>
  <c r="I165" i="9"/>
  <c r="J165" i="9" s="1"/>
  <c r="H167" i="9"/>
  <c r="I167" i="9"/>
  <c r="AB167" i="9"/>
  <c r="AC167" i="9" s="1"/>
  <c r="H168" i="9"/>
  <c r="I168" i="9"/>
  <c r="H169" i="9"/>
  <c r="I169" i="9"/>
  <c r="AB169" i="9"/>
  <c r="AC169" i="9" s="1"/>
  <c r="H170" i="9"/>
  <c r="I170" i="9"/>
  <c r="K170" i="9" s="1"/>
  <c r="J170" i="9"/>
  <c r="H171" i="9"/>
  <c r="I171" i="9"/>
  <c r="H172" i="9"/>
  <c r="I172" i="9"/>
  <c r="J172" i="9" s="1"/>
  <c r="H173" i="9"/>
  <c r="I173" i="9"/>
  <c r="J173" i="9"/>
  <c r="H174" i="9"/>
  <c r="I174" i="9"/>
  <c r="J174" i="9" s="1"/>
  <c r="H175" i="9"/>
  <c r="I175" i="9"/>
  <c r="H176" i="9"/>
  <c r="I176" i="9"/>
  <c r="J176" i="9"/>
  <c r="H177" i="9"/>
  <c r="I177" i="9"/>
  <c r="H178" i="9"/>
  <c r="I178" i="9"/>
  <c r="J178" i="9" s="1"/>
  <c r="H179" i="9"/>
  <c r="I179" i="9"/>
  <c r="J209" i="9"/>
  <c r="AB170" i="9"/>
  <c r="AC170" i="9" s="1"/>
  <c r="J169" i="9"/>
  <c r="J205" i="9"/>
  <c r="AB211" i="9"/>
  <c r="AC211" i="9" s="1"/>
  <c r="J185" i="9"/>
  <c r="J184" i="9"/>
  <c r="AC184" i="9"/>
  <c r="AB181" i="9"/>
  <c r="AC181" i="9" s="1"/>
  <c r="J219" i="9"/>
  <c r="J215" i="9"/>
  <c r="J214" i="9"/>
  <c r="AB214" i="9"/>
  <c r="AC214" i="9" s="1"/>
  <c r="K206" i="9"/>
  <c r="K176" i="9"/>
  <c r="K217" i="9"/>
  <c r="K220" i="9"/>
  <c r="K205" i="9"/>
  <c r="K226" i="9"/>
  <c r="K195" i="9"/>
  <c r="K223" i="9"/>
  <c r="K214" i="9"/>
  <c r="K167" i="9"/>
  <c r="K187" i="9"/>
  <c r="K227" i="9"/>
  <c r="K184" i="9"/>
  <c r="K221" i="9"/>
  <c r="K219" i="9"/>
  <c r="K216" i="9"/>
  <c r="K228" i="9"/>
  <c r="K178" i="9"/>
  <c r="K165" i="9"/>
  <c r="K199" i="9"/>
  <c r="K225" i="9"/>
  <c r="K209" i="9"/>
  <c r="K169" i="9"/>
  <c r="K198" i="9"/>
  <c r="I149" i="9"/>
  <c r="J149" i="9"/>
  <c r="I150" i="9"/>
  <c r="J150" i="9"/>
  <c r="I151" i="9"/>
  <c r="J151" i="9"/>
  <c r="I152" i="9"/>
  <c r="AB152" i="9"/>
  <c r="AC152" i="9" s="1"/>
  <c r="I153" i="9"/>
  <c r="J153" i="9" s="1"/>
  <c r="I154" i="9"/>
  <c r="AB154" i="9" s="1"/>
  <c r="AC154" i="9" s="1"/>
  <c r="I156" i="9"/>
  <c r="J156" i="9"/>
  <c r="I157" i="9"/>
  <c r="J157" i="9"/>
  <c r="I158" i="9"/>
  <c r="J158" i="9"/>
  <c r="I148" i="9"/>
  <c r="J148" i="9"/>
  <c r="AB157" i="9"/>
  <c r="AC157" i="9"/>
  <c r="AB156" i="9"/>
  <c r="AC156" i="9"/>
  <c r="K150" i="9"/>
  <c r="H149" i="9"/>
  <c r="H150" i="9"/>
  <c r="H151" i="9"/>
  <c r="H152" i="9"/>
  <c r="H153" i="9"/>
  <c r="H154" i="9"/>
  <c r="H156" i="9"/>
  <c r="H157" i="9"/>
  <c r="H158" i="9"/>
  <c r="H148" i="9"/>
  <c r="I44" i="9"/>
  <c r="J44" i="9" s="1"/>
  <c r="L44" i="9"/>
  <c r="M44" i="9" s="1"/>
  <c r="O44" i="9"/>
  <c r="Q44" i="9" s="1"/>
  <c r="I43" i="9"/>
  <c r="J43" i="9" s="1"/>
  <c r="L43" i="9"/>
  <c r="O43" i="9"/>
  <c r="Q43" i="9"/>
  <c r="P43" i="9"/>
  <c r="K43" i="9"/>
  <c r="O78" i="9"/>
  <c r="P78" i="9" s="1"/>
  <c r="H78" i="9"/>
  <c r="I78" i="9"/>
  <c r="J78" i="9"/>
  <c r="L78" i="9"/>
  <c r="N78" i="9"/>
  <c r="AA97" i="9"/>
  <c r="L97" i="9"/>
  <c r="M97" i="9" s="1"/>
  <c r="O97" i="9"/>
  <c r="I97" i="9"/>
  <c r="H97" i="9"/>
  <c r="AA95" i="9"/>
  <c r="O95" i="9"/>
  <c r="L95" i="9"/>
  <c r="I95" i="9"/>
  <c r="H95" i="9"/>
  <c r="AA29" i="9"/>
  <c r="AA93" i="9"/>
  <c r="O93" i="9"/>
  <c r="Q93" i="9" s="1"/>
  <c r="L93" i="9"/>
  <c r="M93" i="9" s="1"/>
  <c r="I93" i="9"/>
  <c r="AB93" i="9" s="1"/>
  <c r="AC93" i="9" s="1"/>
  <c r="H93" i="9"/>
  <c r="I76" i="9"/>
  <c r="L76" i="9"/>
  <c r="M76" i="9"/>
  <c r="O76" i="9"/>
  <c r="P76" i="9"/>
  <c r="O41" i="9"/>
  <c r="L41" i="9"/>
  <c r="I41" i="9"/>
  <c r="K41" i="9"/>
  <c r="I54" i="9"/>
  <c r="J54" i="9"/>
  <c r="L54" i="9"/>
  <c r="M54" i="9"/>
  <c r="O54" i="9"/>
  <c r="I72" i="9"/>
  <c r="L72" i="9"/>
  <c r="O72" i="9"/>
  <c r="P72" i="9" s="1"/>
  <c r="O29" i="9"/>
  <c r="L29" i="9"/>
  <c r="M29" i="9"/>
  <c r="H29" i="9"/>
  <c r="I29" i="9"/>
  <c r="AB29" i="9" s="1"/>
  <c r="AC29" i="9" s="1"/>
  <c r="K78" i="9"/>
  <c r="M78" i="9"/>
  <c r="J93" i="9"/>
  <c r="N76" i="9"/>
  <c r="K95" i="9"/>
  <c r="K93" i="9"/>
  <c r="J29" i="9"/>
  <c r="I69" i="9"/>
  <c r="L69" i="9"/>
  <c r="M69" i="9" s="1"/>
  <c r="O69" i="9"/>
  <c r="P69" i="9" s="1"/>
  <c r="N69" i="9"/>
  <c r="K100" i="9"/>
  <c r="K101" i="9"/>
  <c r="I102" i="9"/>
  <c r="K102" i="9"/>
  <c r="I86" i="9"/>
  <c r="J86" i="9"/>
  <c r="L86" i="9"/>
  <c r="M86" i="9"/>
  <c r="O86" i="9"/>
  <c r="P86" i="9"/>
  <c r="AA55" i="9"/>
  <c r="I47" i="9"/>
  <c r="J47" i="9" s="1"/>
  <c r="L47" i="9"/>
  <c r="M47" i="9" s="1"/>
  <c r="O47" i="9"/>
  <c r="P47" i="9" s="1"/>
  <c r="I48" i="9"/>
  <c r="J48" i="9" s="1"/>
  <c r="L48" i="9"/>
  <c r="M48" i="9" s="1"/>
  <c r="O48" i="9"/>
  <c r="P48" i="9" s="1"/>
  <c r="I49" i="9"/>
  <c r="J49" i="9" s="1"/>
  <c r="L49" i="9"/>
  <c r="M49" i="9" s="1"/>
  <c r="O49" i="9"/>
  <c r="P49" i="9" s="1"/>
  <c r="I50" i="9"/>
  <c r="J50" i="9" s="1"/>
  <c r="L50" i="9"/>
  <c r="M50" i="9" s="1"/>
  <c r="O50" i="9"/>
  <c r="P50" i="9" s="1"/>
  <c r="I51" i="9"/>
  <c r="J51" i="9" s="1"/>
  <c r="L51" i="9"/>
  <c r="O51" i="9"/>
  <c r="P51" i="9"/>
  <c r="I55" i="9"/>
  <c r="AB55" i="9"/>
  <c r="AC55" i="9" s="1"/>
  <c r="L55" i="9"/>
  <c r="M55" i="9" s="1"/>
  <c r="O55" i="9"/>
  <c r="I56" i="9"/>
  <c r="J56" i="9"/>
  <c r="L56" i="9"/>
  <c r="M56" i="9"/>
  <c r="O56" i="9"/>
  <c r="P56" i="9"/>
  <c r="I57" i="9"/>
  <c r="J57" i="9"/>
  <c r="L57" i="9"/>
  <c r="M57" i="9"/>
  <c r="O57" i="9"/>
  <c r="P57" i="9"/>
  <c r="I59" i="9"/>
  <c r="L59" i="9"/>
  <c r="O59" i="9"/>
  <c r="P59" i="9"/>
  <c r="I60" i="9"/>
  <c r="J60" i="9"/>
  <c r="L60" i="9"/>
  <c r="O60" i="9"/>
  <c r="I61" i="9"/>
  <c r="J61" i="9"/>
  <c r="L61" i="9"/>
  <c r="M61" i="9"/>
  <c r="O61" i="9"/>
  <c r="I63" i="9"/>
  <c r="J63" i="9" s="1"/>
  <c r="L63" i="9"/>
  <c r="M63" i="9" s="1"/>
  <c r="O63" i="9"/>
  <c r="Q63" i="9" s="1"/>
  <c r="I64" i="9"/>
  <c r="L64" i="9"/>
  <c r="M64" i="9"/>
  <c r="O64" i="9"/>
  <c r="P64" i="9"/>
  <c r="I65" i="9"/>
  <c r="J65" i="9"/>
  <c r="L65" i="9"/>
  <c r="O65" i="9"/>
  <c r="I66" i="9"/>
  <c r="J66" i="9"/>
  <c r="L66" i="9"/>
  <c r="M66" i="9"/>
  <c r="O66" i="9"/>
  <c r="I67" i="9"/>
  <c r="L67" i="9"/>
  <c r="M67" i="9"/>
  <c r="O67" i="9"/>
  <c r="P67" i="9"/>
  <c r="I68" i="9"/>
  <c r="L68" i="9"/>
  <c r="O68" i="9"/>
  <c r="P68" i="9"/>
  <c r="I70" i="9"/>
  <c r="J70" i="9"/>
  <c r="L70" i="9"/>
  <c r="O70" i="9"/>
  <c r="P70" i="9" s="1"/>
  <c r="I73" i="9"/>
  <c r="J73" i="9" s="1"/>
  <c r="L73" i="9"/>
  <c r="M73" i="9" s="1"/>
  <c r="O73" i="9"/>
  <c r="I74" i="9"/>
  <c r="J74" i="9"/>
  <c r="L74" i="9"/>
  <c r="M74" i="9"/>
  <c r="O74" i="9"/>
  <c r="P74" i="9"/>
  <c r="I75" i="9"/>
  <c r="L75" i="9"/>
  <c r="O75" i="9"/>
  <c r="P75" i="9"/>
  <c r="I77" i="9"/>
  <c r="J77" i="9"/>
  <c r="R77" i="9" s="1"/>
  <c r="L77" i="9"/>
  <c r="O77" i="9"/>
  <c r="Q77" i="9"/>
  <c r="I79" i="9"/>
  <c r="J79" i="9" s="1"/>
  <c r="K79" i="9"/>
  <c r="L79" i="9"/>
  <c r="M79" i="9"/>
  <c r="O79" i="9"/>
  <c r="P79" i="9"/>
  <c r="I80" i="9"/>
  <c r="K80" i="9"/>
  <c r="L80" i="9"/>
  <c r="M80" i="9"/>
  <c r="O80" i="9"/>
  <c r="P80" i="9"/>
  <c r="I81" i="9"/>
  <c r="J81" i="9"/>
  <c r="L81" i="9"/>
  <c r="M81" i="9"/>
  <c r="O81" i="9"/>
  <c r="P81" i="9"/>
  <c r="I82" i="9"/>
  <c r="J82" i="9"/>
  <c r="L82" i="9"/>
  <c r="N82" i="9" s="1"/>
  <c r="M82" i="9"/>
  <c r="O82" i="9"/>
  <c r="P82" i="9"/>
  <c r="I83" i="9"/>
  <c r="J83" i="9"/>
  <c r="L83" i="9"/>
  <c r="M83" i="9"/>
  <c r="O83" i="9"/>
  <c r="P83" i="9"/>
  <c r="I84" i="9"/>
  <c r="J84" i="9"/>
  <c r="L84" i="9"/>
  <c r="M84" i="9"/>
  <c r="O84" i="9"/>
  <c r="P84" i="9"/>
  <c r="I85" i="9"/>
  <c r="K85" i="9"/>
  <c r="L85" i="9"/>
  <c r="M85" i="9"/>
  <c r="S85" i="9" s="1"/>
  <c r="O85" i="9"/>
  <c r="Q85" i="9" s="1"/>
  <c r="I89" i="9"/>
  <c r="J89" i="9" s="1"/>
  <c r="L89" i="9"/>
  <c r="M89" i="9" s="1"/>
  <c r="O89" i="9"/>
  <c r="P89" i="9" s="1"/>
  <c r="I90" i="9"/>
  <c r="K90" i="9" s="1"/>
  <c r="L90" i="9"/>
  <c r="M90" i="9" s="1"/>
  <c r="O90" i="9"/>
  <c r="P90" i="9" s="1"/>
  <c r="I91" i="9"/>
  <c r="AB91" i="9" s="1"/>
  <c r="AC91" i="9" s="1"/>
  <c r="L91" i="9"/>
  <c r="M91" i="9"/>
  <c r="O91" i="9"/>
  <c r="P91" i="9"/>
  <c r="I92" i="9"/>
  <c r="J92" i="9"/>
  <c r="L92" i="9"/>
  <c r="N92" i="9" s="1"/>
  <c r="M92" i="9"/>
  <c r="O92" i="9"/>
  <c r="P92" i="9"/>
  <c r="H55" i="9"/>
  <c r="H91" i="9"/>
  <c r="I34" i="9"/>
  <c r="J34" i="9"/>
  <c r="L34" i="9"/>
  <c r="M34" i="9"/>
  <c r="O34" i="9"/>
  <c r="P34" i="9"/>
  <c r="I32" i="9"/>
  <c r="J32" i="9"/>
  <c r="L32" i="9"/>
  <c r="M32" i="9"/>
  <c r="O32" i="9"/>
  <c r="Q32" i="9" s="1"/>
  <c r="P32" i="9"/>
  <c r="K50" i="9"/>
  <c r="K74" i="9"/>
  <c r="Q82" i="9"/>
  <c r="Q86" i="9"/>
  <c r="N86" i="9"/>
  <c r="N64" i="9"/>
  <c r="K57" i="9"/>
  <c r="Q48" i="9"/>
  <c r="N81" i="9"/>
  <c r="N83" i="9"/>
  <c r="K82" i="9"/>
  <c r="K81" i="9"/>
  <c r="Q80" i="9"/>
  <c r="J80" i="9"/>
  <c r="Q79" i="9"/>
  <c r="N79" i="9"/>
  <c r="P77" i="9"/>
  <c r="K77" i="9"/>
  <c r="Q74" i="9"/>
  <c r="K70" i="9"/>
  <c r="Q67" i="9"/>
  <c r="N66" i="9"/>
  <c r="K65" i="9"/>
  <c r="N61" i="9"/>
  <c r="K60" i="9"/>
  <c r="Q57" i="9"/>
  <c r="N56" i="9"/>
  <c r="K55" i="9"/>
  <c r="N49" i="9"/>
  <c r="K86" i="9"/>
  <c r="Q91" i="9"/>
  <c r="N90" i="9"/>
  <c r="Q84" i="9"/>
  <c r="K89" i="9"/>
  <c r="N85" i="9"/>
  <c r="Q92" i="9"/>
  <c r="Q89" i="9"/>
  <c r="N84" i="9"/>
  <c r="K84" i="9"/>
  <c r="N32" i="9"/>
  <c r="N34" i="9"/>
  <c r="N91" i="9"/>
  <c r="K83" i="9"/>
  <c r="Q81" i="9"/>
  <c r="N80" i="9"/>
  <c r="N74" i="9"/>
  <c r="Q68" i="9"/>
  <c r="K66" i="9"/>
  <c r="N63" i="9"/>
  <c r="Q59" i="9"/>
  <c r="K56" i="9"/>
  <c r="J55" i="9"/>
  <c r="Q51" i="9"/>
  <c r="K92" i="9"/>
  <c r="Q83" i="9"/>
  <c r="J85" i="9"/>
  <c r="K32" i="9"/>
  <c r="Q34" i="9"/>
  <c r="P52" i="1"/>
  <c r="Q52" i="1"/>
  <c r="M52" i="1"/>
  <c r="O52" i="1"/>
  <c r="J52" i="1"/>
  <c r="K52" i="1"/>
  <c r="S52" i="1" s="1"/>
  <c r="H4" i="9"/>
  <c r="H5" i="9"/>
  <c r="H6" i="9"/>
  <c r="H7" i="9"/>
  <c r="H8" i="9"/>
  <c r="H9" i="9"/>
  <c r="H10" i="9"/>
  <c r="H11" i="9"/>
  <c r="H12" i="9"/>
  <c r="H13" i="9"/>
  <c r="H14" i="9"/>
  <c r="H15" i="9"/>
  <c r="H16" i="9"/>
  <c r="H17" i="9"/>
  <c r="H18" i="9"/>
  <c r="H19" i="9"/>
  <c r="H20" i="9"/>
  <c r="H21" i="9"/>
  <c r="H22" i="9"/>
  <c r="H23" i="9"/>
  <c r="H24" i="9"/>
  <c r="H25" i="9"/>
  <c r="H26" i="9"/>
  <c r="H27" i="9"/>
  <c r="H28" i="9"/>
  <c r="H30" i="9"/>
  <c r="H35" i="9"/>
  <c r="H36" i="9"/>
  <c r="H37" i="9"/>
  <c r="H38" i="9"/>
  <c r="H39" i="9"/>
  <c r="H40" i="9"/>
  <c r="H45" i="9"/>
  <c r="H48" i="9"/>
  <c r="H49" i="9"/>
  <c r="H50" i="9"/>
  <c r="H56" i="9"/>
  <c r="H57" i="9"/>
  <c r="H59" i="9"/>
  <c r="H60" i="9"/>
  <c r="H61" i="9"/>
  <c r="H63" i="9"/>
  <c r="H64" i="9"/>
  <c r="H65" i="9"/>
  <c r="H67" i="9"/>
  <c r="H68" i="9"/>
  <c r="H70" i="9"/>
  <c r="H75" i="9"/>
  <c r="H79" i="9"/>
  <c r="H80" i="9"/>
  <c r="H81" i="9"/>
  <c r="H82" i="9"/>
  <c r="H83" i="9"/>
  <c r="H84" i="9"/>
  <c r="H85" i="9"/>
  <c r="H89" i="9"/>
  <c r="H94" i="9"/>
  <c r="H96" i="9"/>
  <c r="H98" i="9"/>
  <c r="H99" i="9"/>
  <c r="H100" i="9"/>
  <c r="H101" i="9"/>
  <c r="H102" i="9"/>
  <c r="H32" i="9"/>
  <c r="H34" i="9"/>
  <c r="H41" i="9"/>
  <c r="H42" i="9"/>
  <c r="H43" i="9"/>
  <c r="H44" i="9"/>
  <c r="H46" i="9"/>
  <c r="H47" i="9"/>
  <c r="H51" i="9"/>
  <c r="H52" i="9"/>
  <c r="H53" i="9"/>
  <c r="H54" i="9"/>
  <c r="H58" i="9"/>
  <c r="H62" i="9"/>
  <c r="H66" i="9"/>
  <c r="H69" i="9"/>
  <c r="H71" i="9"/>
  <c r="H72" i="9"/>
  <c r="H73" i="9"/>
  <c r="H74" i="9"/>
  <c r="H76" i="9"/>
  <c r="H77" i="9"/>
  <c r="H86" i="9"/>
  <c r="H87" i="9"/>
  <c r="H88" i="9"/>
  <c r="H90" i="9"/>
  <c r="H9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3" i="9"/>
  <c r="F27" i="9"/>
  <c r="F28" i="9"/>
  <c r="F30" i="9"/>
  <c r="F35" i="9"/>
  <c r="F36" i="9"/>
  <c r="F37" i="9"/>
  <c r="F38" i="9"/>
  <c r="F39" i="9"/>
  <c r="F40" i="9"/>
  <c r="F45" i="9"/>
  <c r="F48" i="9"/>
  <c r="F49" i="9"/>
  <c r="F50" i="9"/>
  <c r="F56" i="9"/>
  <c r="F57" i="9"/>
  <c r="F59" i="9"/>
  <c r="F60" i="9"/>
  <c r="F61" i="9"/>
  <c r="F63" i="9"/>
  <c r="F64" i="9"/>
  <c r="F65" i="9"/>
  <c r="F67" i="9"/>
  <c r="F68" i="9"/>
  <c r="F70" i="9"/>
  <c r="F75" i="9"/>
  <c r="F79" i="9"/>
  <c r="F80" i="9"/>
  <c r="F81" i="9"/>
  <c r="F83" i="9"/>
  <c r="F84" i="9"/>
  <c r="F85" i="9"/>
  <c r="F89" i="9"/>
  <c r="F94" i="9"/>
  <c r="F96" i="9"/>
  <c r="F102" i="9"/>
  <c r="F31" i="9"/>
  <c r="F32" i="9"/>
  <c r="F33" i="9"/>
  <c r="F34" i="9"/>
  <c r="F41" i="9"/>
  <c r="F42" i="9"/>
  <c r="F43" i="9"/>
  <c r="F44" i="9"/>
  <c r="F46" i="9"/>
  <c r="F47" i="9"/>
  <c r="F51" i="9"/>
  <c r="F52" i="9"/>
  <c r="F53" i="9"/>
  <c r="F54" i="9"/>
  <c r="F58" i="9"/>
  <c r="F62" i="9"/>
  <c r="F66" i="9"/>
  <c r="F69" i="9"/>
  <c r="F71" i="9"/>
  <c r="F72" i="9"/>
  <c r="F73" i="9"/>
  <c r="F74" i="9"/>
  <c r="F76" i="9"/>
  <c r="F86" i="9"/>
  <c r="F87" i="9"/>
  <c r="F88" i="9"/>
  <c r="F90" i="9"/>
  <c r="F92" i="9"/>
  <c r="F103" i="9"/>
  <c r="F104" i="9"/>
  <c r="F105" i="9"/>
  <c r="F106" i="9"/>
  <c r="F107" i="9"/>
  <c r="F108" i="9"/>
  <c r="F109" i="9"/>
  <c r="F111" i="9"/>
  <c r="F112" i="9"/>
  <c r="F113" i="9"/>
  <c r="F114" i="9"/>
  <c r="F115" i="9"/>
  <c r="F116" i="9"/>
  <c r="F117" i="9"/>
  <c r="F118" i="9"/>
  <c r="F119" i="9"/>
  <c r="F120" i="9"/>
  <c r="F121" i="9"/>
  <c r="F122" i="9"/>
  <c r="F123" i="9"/>
  <c r="F124" i="9"/>
  <c r="F125" i="9"/>
  <c r="F26" i="9"/>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52"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3" i="1"/>
  <c r="G96" i="1"/>
  <c r="G97" i="1"/>
  <c r="G98" i="1"/>
  <c r="G99" i="1"/>
  <c r="G100" i="1"/>
  <c r="G101" i="1"/>
  <c r="G102" i="1"/>
  <c r="G103" i="1"/>
  <c r="G104" i="1"/>
  <c r="G105" i="1"/>
  <c r="G106" i="1"/>
  <c r="G107" i="1"/>
  <c r="G108" i="1"/>
  <c r="G109" i="1"/>
  <c r="G110" i="1"/>
  <c r="G111" i="1"/>
  <c r="G112" i="1"/>
  <c r="G113" i="1"/>
  <c r="G114" i="1"/>
  <c r="G115" i="1"/>
  <c r="G116" i="1"/>
  <c r="G117" i="1"/>
  <c r="G118" i="1"/>
  <c r="G30" i="1"/>
  <c r="G31" i="1"/>
  <c r="G32" i="1"/>
  <c r="G33" i="1"/>
  <c r="G34" i="1"/>
  <c r="G35" i="1"/>
  <c r="G36" i="1"/>
  <c r="G37" i="1"/>
  <c r="G38" i="1"/>
  <c r="G39" i="1"/>
  <c r="G40" i="1"/>
  <c r="G41" i="1"/>
  <c r="G42" i="1"/>
  <c r="G43" i="1"/>
  <c r="G44" i="1"/>
  <c r="G45" i="1"/>
  <c r="G46" i="1"/>
  <c r="G47" i="1"/>
  <c r="G48" i="1"/>
  <c r="G49" i="1"/>
  <c r="G50" i="1"/>
  <c r="G51"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29" i="1"/>
  <c r="R85" i="9"/>
  <c r="P59" i="1"/>
  <c r="Q59" i="1" s="1"/>
  <c r="M59" i="1"/>
  <c r="N59" i="1" s="1"/>
  <c r="T59" i="1"/>
  <c r="J59" i="1"/>
  <c r="K59" i="1"/>
  <c r="S59" i="1" s="1"/>
  <c r="O59" i="1"/>
  <c r="L59" i="1"/>
  <c r="I126" i="9"/>
  <c r="J126" i="9"/>
  <c r="I127" i="9"/>
  <c r="J127" i="9"/>
  <c r="I128" i="9"/>
  <c r="J128" i="9"/>
  <c r="I129" i="9"/>
  <c r="J129" i="9"/>
  <c r="I130" i="9"/>
  <c r="J130" i="9"/>
  <c r="I131" i="9"/>
  <c r="J131" i="9"/>
  <c r="I132" i="9"/>
  <c r="J132" i="9"/>
  <c r="I133" i="9"/>
  <c r="J133" i="9"/>
  <c r="I134" i="9"/>
  <c r="J134" i="9"/>
  <c r="I135" i="9"/>
  <c r="I136" i="9"/>
  <c r="J136" i="9" s="1"/>
  <c r="I137" i="9"/>
  <c r="I138" i="9"/>
  <c r="I139" i="9"/>
  <c r="J139" i="9" s="1"/>
  <c r="I140" i="9"/>
  <c r="I141" i="9"/>
  <c r="I142" i="9"/>
  <c r="J142" i="9" s="1"/>
  <c r="I143" i="9"/>
  <c r="J143" i="9" s="1"/>
  <c r="I144" i="9"/>
  <c r="AB144" i="9" s="1"/>
  <c r="I145" i="9"/>
  <c r="J145" i="9"/>
  <c r="O27" i="9"/>
  <c r="P27" i="9"/>
  <c r="O28" i="9"/>
  <c r="P28" i="9"/>
  <c r="O30" i="9"/>
  <c r="P30" i="9"/>
  <c r="O35" i="9"/>
  <c r="P35" i="9"/>
  <c r="O36" i="9"/>
  <c r="P36" i="9"/>
  <c r="O37" i="9"/>
  <c r="P37" i="9"/>
  <c r="O38" i="9"/>
  <c r="P38" i="9"/>
  <c r="O39" i="9"/>
  <c r="P39" i="9"/>
  <c r="O40" i="9"/>
  <c r="P40" i="9"/>
  <c r="O45" i="9"/>
  <c r="P45" i="9"/>
  <c r="O94" i="9"/>
  <c r="Q94" i="9"/>
  <c r="O96" i="9"/>
  <c r="P96" i="9"/>
  <c r="O26" i="9"/>
  <c r="P26" i="9"/>
  <c r="L4" i="9"/>
  <c r="L5" i="9"/>
  <c r="L6" i="9"/>
  <c r="L7" i="9"/>
  <c r="L8" i="9"/>
  <c r="L9" i="9"/>
  <c r="L10" i="9"/>
  <c r="L11" i="9"/>
  <c r="L12" i="9"/>
  <c r="L13" i="9"/>
  <c r="L14" i="9"/>
  <c r="L15" i="9"/>
  <c r="L16" i="9"/>
  <c r="L17" i="9"/>
  <c r="L18" i="9"/>
  <c r="L19" i="9"/>
  <c r="L20" i="9"/>
  <c r="L21" i="9"/>
  <c r="L22" i="9"/>
  <c r="L23" i="9"/>
  <c r="L24" i="9"/>
  <c r="L25" i="9"/>
  <c r="L26" i="9"/>
  <c r="L27" i="9"/>
  <c r="L28" i="9"/>
  <c r="L30" i="9"/>
  <c r="M30" i="9" s="1"/>
  <c r="L35" i="9"/>
  <c r="L36" i="9"/>
  <c r="M36" i="9"/>
  <c r="L37" i="9"/>
  <c r="L38" i="9"/>
  <c r="M38" i="9" s="1"/>
  <c r="L39" i="9"/>
  <c r="L40" i="9"/>
  <c r="M40" i="9"/>
  <c r="L45" i="9"/>
  <c r="L94" i="9"/>
  <c r="M94" i="9" s="1"/>
  <c r="L96" i="9"/>
  <c r="M96" i="9" s="1"/>
  <c r="L3" i="9"/>
  <c r="I4" i="9"/>
  <c r="I5" i="9"/>
  <c r="I6" i="9"/>
  <c r="I7" i="9"/>
  <c r="J7" i="9" s="1"/>
  <c r="I8" i="9"/>
  <c r="I9" i="9"/>
  <c r="J9" i="9"/>
  <c r="I10" i="9"/>
  <c r="I11" i="9"/>
  <c r="J11" i="9" s="1"/>
  <c r="I12" i="9"/>
  <c r="J12" i="9" s="1"/>
  <c r="I13" i="9"/>
  <c r="I14" i="9"/>
  <c r="I15" i="9"/>
  <c r="I16" i="9"/>
  <c r="I17" i="9"/>
  <c r="I18" i="9"/>
  <c r="I19" i="9"/>
  <c r="I20" i="9"/>
  <c r="I21" i="9"/>
  <c r="I22" i="9"/>
  <c r="I23" i="9"/>
  <c r="I24" i="9"/>
  <c r="I25" i="9"/>
  <c r="I26" i="9"/>
  <c r="J26" i="9"/>
  <c r="I27" i="9"/>
  <c r="I30" i="9"/>
  <c r="I35" i="9"/>
  <c r="I36" i="9"/>
  <c r="I38" i="9"/>
  <c r="I45" i="9"/>
  <c r="J94" i="9"/>
  <c r="I96" i="9"/>
  <c r="J96" i="9" s="1"/>
  <c r="I98" i="9"/>
  <c r="J98" i="9" s="1"/>
  <c r="I99" i="9"/>
  <c r="J99" i="9" s="1"/>
  <c r="J100" i="9"/>
  <c r="J101" i="9"/>
  <c r="I3" i="9"/>
  <c r="J3" i="9" s="1"/>
  <c r="J144" i="9"/>
  <c r="AC144" i="9"/>
  <c r="AB139" i="9"/>
  <c r="AC139" i="9" s="1"/>
  <c r="J135" i="9"/>
  <c r="AB135" i="9"/>
  <c r="AC135" i="9"/>
  <c r="K126" i="9"/>
  <c r="K142" i="9"/>
  <c r="K134" i="9"/>
  <c r="Q96" i="9"/>
  <c r="Q35" i="9"/>
  <c r="K145" i="9"/>
  <c r="K130" i="9"/>
  <c r="Q39" i="9"/>
  <c r="K144" i="9"/>
  <c r="K132" i="9"/>
  <c r="K128" i="9"/>
  <c r="Q45" i="9"/>
  <c r="Q38" i="9"/>
  <c r="Q37" i="9"/>
  <c r="Q30" i="9"/>
  <c r="Q28" i="9"/>
  <c r="K143" i="9"/>
  <c r="K135" i="9"/>
  <c r="K133" i="9"/>
  <c r="K131" i="9"/>
  <c r="K129" i="9"/>
  <c r="K127" i="9"/>
  <c r="Q40" i="9"/>
  <c r="Q36" i="9"/>
  <c r="Q27" i="9"/>
  <c r="P94" i="9"/>
  <c r="Q64" i="1"/>
  <c r="Q63" i="1"/>
  <c r="M63" i="1"/>
  <c r="N63" i="1"/>
  <c r="T63" i="1" s="1"/>
  <c r="M64" i="1"/>
  <c r="N64" i="1" s="1"/>
  <c r="T64" i="1"/>
  <c r="P62" i="1"/>
  <c r="Q62" i="1"/>
  <c r="R62" i="1"/>
  <c r="M62" i="1"/>
  <c r="N62" i="1" s="1"/>
  <c r="T62" i="1" s="1"/>
  <c r="J63" i="1"/>
  <c r="K63" i="1"/>
  <c r="S63" i="1" s="1"/>
  <c r="J64" i="1"/>
  <c r="K64" i="1" s="1"/>
  <c r="S64" i="1" s="1"/>
  <c r="J62" i="1"/>
  <c r="K62" i="1"/>
  <c r="S62" i="1" s="1"/>
  <c r="O45" i="11"/>
  <c r="Q45" i="11" s="1"/>
  <c r="J61" i="11"/>
  <c r="I61" i="11" s="1"/>
  <c r="K61" i="11"/>
  <c r="M61" i="11"/>
  <c r="L61" i="11"/>
  <c r="N61" i="11" s="1"/>
  <c r="J62" i="11"/>
  <c r="I62" i="11" s="1"/>
  <c r="K62" i="11"/>
  <c r="M62" i="11"/>
  <c r="L62" i="11"/>
  <c r="N62" i="11" s="1"/>
  <c r="J63" i="11"/>
  <c r="I63" i="11" s="1"/>
  <c r="K63" i="11"/>
  <c r="M63" i="11"/>
  <c r="L63" i="11"/>
  <c r="N63" i="11" s="1"/>
  <c r="J64" i="11"/>
  <c r="I64" i="11" s="1"/>
  <c r="K64" i="11" s="1"/>
  <c r="M64" i="11"/>
  <c r="L64" i="11"/>
  <c r="N64" i="11" s="1"/>
  <c r="J65" i="11"/>
  <c r="I65" i="11" s="1"/>
  <c r="K65" i="11" s="1"/>
  <c r="M65" i="11"/>
  <c r="L65" i="11"/>
  <c r="N65" i="11" s="1"/>
  <c r="L138" i="11"/>
  <c r="N138" i="11" s="1"/>
  <c r="I138" i="11"/>
  <c r="J138" i="11" s="1"/>
  <c r="L137" i="11"/>
  <c r="N137" i="11"/>
  <c r="I137" i="11"/>
  <c r="L136" i="11"/>
  <c r="I136" i="11"/>
  <c r="L135" i="11"/>
  <c r="N135" i="11" s="1"/>
  <c r="I135" i="11"/>
  <c r="K135" i="11" s="1"/>
  <c r="L134" i="11"/>
  <c r="I134" i="11"/>
  <c r="J134" i="11"/>
  <c r="L133" i="11"/>
  <c r="N133" i="11"/>
  <c r="I133" i="11"/>
  <c r="K133" i="11"/>
  <c r="L132" i="11"/>
  <c r="N132" i="11"/>
  <c r="I132" i="11"/>
  <c r="K132" i="11"/>
  <c r="L131" i="11"/>
  <c r="N131" i="11"/>
  <c r="I131" i="11"/>
  <c r="K131" i="11"/>
  <c r="L130" i="11"/>
  <c r="N130" i="11"/>
  <c r="I130" i="11"/>
  <c r="J130" i="11"/>
  <c r="K130" i="11"/>
  <c r="L129" i="11"/>
  <c r="N129" i="11" s="1"/>
  <c r="I129" i="11"/>
  <c r="L128" i="11"/>
  <c r="I128" i="11"/>
  <c r="L127" i="11"/>
  <c r="N127" i="11"/>
  <c r="I127" i="11"/>
  <c r="K127" i="11"/>
  <c r="L126" i="11"/>
  <c r="I126" i="11"/>
  <c r="J126" i="11" s="1"/>
  <c r="L125" i="11"/>
  <c r="N125" i="11" s="1"/>
  <c r="I125" i="11"/>
  <c r="K125" i="11" s="1"/>
  <c r="L124" i="11"/>
  <c r="N124" i="11" s="1"/>
  <c r="I124" i="11"/>
  <c r="K124" i="11" s="1"/>
  <c r="L123" i="11"/>
  <c r="N123" i="11" s="1"/>
  <c r="I123" i="11"/>
  <c r="K123" i="11" s="1"/>
  <c r="L122" i="11"/>
  <c r="N122" i="11" s="1"/>
  <c r="I122" i="11"/>
  <c r="J122" i="11" s="1"/>
  <c r="K122" i="11"/>
  <c r="L121" i="11"/>
  <c r="N121" i="11"/>
  <c r="I121" i="11"/>
  <c r="L120" i="11"/>
  <c r="I120" i="11"/>
  <c r="L119" i="11"/>
  <c r="N119" i="11" s="1"/>
  <c r="I119" i="11"/>
  <c r="K119" i="11" s="1"/>
  <c r="O118" i="11"/>
  <c r="L118" i="11"/>
  <c r="M118" i="11"/>
  <c r="I118" i="11"/>
  <c r="K118" i="11"/>
  <c r="O117" i="11"/>
  <c r="Q117" i="11"/>
  <c r="L117" i="11"/>
  <c r="N117" i="11"/>
  <c r="I117" i="11"/>
  <c r="K117" i="11"/>
  <c r="O116" i="11"/>
  <c r="Q116" i="11"/>
  <c r="L116" i="11"/>
  <c r="N116" i="11"/>
  <c r="I116" i="11"/>
  <c r="K116" i="11"/>
  <c r="O115" i="11"/>
  <c r="P115" i="11"/>
  <c r="Q115" i="11"/>
  <c r="L115" i="11"/>
  <c r="N115" i="11" s="1"/>
  <c r="I115" i="11"/>
  <c r="O114" i="11"/>
  <c r="L114" i="11"/>
  <c r="I114" i="11"/>
  <c r="K114" i="11"/>
  <c r="O113" i="11"/>
  <c r="Q113" i="11"/>
  <c r="L113" i="11"/>
  <c r="I113" i="11"/>
  <c r="J113" i="11" s="1"/>
  <c r="O112" i="11"/>
  <c r="Q112" i="11" s="1"/>
  <c r="L112" i="11"/>
  <c r="N112" i="11" s="1"/>
  <c r="I112" i="11"/>
  <c r="K112" i="11" s="1"/>
  <c r="O111" i="11"/>
  <c r="Q111" i="11" s="1"/>
  <c r="L111" i="11"/>
  <c r="N111" i="11" s="1"/>
  <c r="I111" i="11"/>
  <c r="K111" i="11" s="1"/>
  <c r="O110" i="11"/>
  <c r="Q110" i="11" s="1"/>
  <c r="L110" i="11"/>
  <c r="M110" i="11" s="1"/>
  <c r="I110" i="11"/>
  <c r="K110" i="11"/>
  <c r="O109" i="11"/>
  <c r="L109" i="11"/>
  <c r="I109" i="11"/>
  <c r="O108" i="11"/>
  <c r="Q108" i="11" s="1"/>
  <c r="L108" i="11"/>
  <c r="N108" i="11" s="1"/>
  <c r="I108" i="11"/>
  <c r="O107" i="11"/>
  <c r="Q107" i="11"/>
  <c r="L107" i="11"/>
  <c r="I107" i="11"/>
  <c r="K107" i="11" s="1"/>
  <c r="O106" i="11"/>
  <c r="L106" i="11"/>
  <c r="N106" i="11"/>
  <c r="I106" i="11"/>
  <c r="O105" i="11"/>
  <c r="Q105" i="11" s="1"/>
  <c r="L105" i="11"/>
  <c r="I105" i="11"/>
  <c r="K105" i="11"/>
  <c r="O104" i="11"/>
  <c r="L104" i="11"/>
  <c r="N104" i="11" s="1"/>
  <c r="I104" i="11"/>
  <c r="O103" i="11"/>
  <c r="L103" i="11"/>
  <c r="N103" i="11" s="1"/>
  <c r="I103" i="11"/>
  <c r="K103" i="11" s="1"/>
  <c r="O102" i="11"/>
  <c r="Q102" i="11" s="1"/>
  <c r="L102" i="11"/>
  <c r="I102" i="11"/>
  <c r="K102" i="11" s="1"/>
  <c r="J102" i="11"/>
  <c r="O101" i="11"/>
  <c r="Q101" i="11" s="1"/>
  <c r="L101" i="11"/>
  <c r="N101" i="11" s="1"/>
  <c r="I101" i="11"/>
  <c r="K101" i="11" s="1"/>
  <c r="O100" i="11"/>
  <c r="Q100" i="11" s="1"/>
  <c r="L100" i="11"/>
  <c r="N100" i="11" s="1"/>
  <c r="I100" i="11"/>
  <c r="K100" i="11" s="1"/>
  <c r="O99" i="11"/>
  <c r="Q99" i="11" s="1"/>
  <c r="L99" i="11"/>
  <c r="M99" i="11" s="1"/>
  <c r="I99" i="11"/>
  <c r="K99" i="11"/>
  <c r="O98" i="11"/>
  <c r="L98" i="11"/>
  <c r="I98" i="11"/>
  <c r="K98" i="11"/>
  <c r="O97" i="11"/>
  <c r="Q97" i="11"/>
  <c r="L97" i="11"/>
  <c r="N97" i="11"/>
  <c r="I97" i="11"/>
  <c r="O96" i="11"/>
  <c r="P96" i="11" s="1"/>
  <c r="Q96" i="11"/>
  <c r="L96" i="11"/>
  <c r="N96" i="11"/>
  <c r="I96" i="11"/>
  <c r="K96" i="11"/>
  <c r="AC95" i="11"/>
  <c r="AB95" i="11"/>
  <c r="AD95" i="11" s="1"/>
  <c r="AC94" i="11"/>
  <c r="AD94" i="11" s="1"/>
  <c r="AC93" i="11"/>
  <c r="AB93" i="11"/>
  <c r="AD93" i="11"/>
  <c r="AC92" i="11"/>
  <c r="AB92" i="11"/>
  <c r="AD92" i="11" s="1"/>
  <c r="AC91" i="11"/>
  <c r="AB91" i="11"/>
  <c r="AD91" i="11"/>
  <c r="AC90" i="11"/>
  <c r="AB90" i="11"/>
  <c r="AD90" i="11" s="1"/>
  <c r="AC89" i="11"/>
  <c r="AB89" i="11"/>
  <c r="AD89" i="11"/>
  <c r="AC88" i="11"/>
  <c r="AB88" i="11"/>
  <c r="AD88" i="11" s="1"/>
  <c r="AC87" i="11"/>
  <c r="AB87" i="11"/>
  <c r="AD87" i="11"/>
  <c r="AC86" i="11"/>
  <c r="AB86" i="11"/>
  <c r="AD86" i="11" s="1"/>
  <c r="AC85" i="11"/>
  <c r="AB85" i="11"/>
  <c r="AD85" i="11"/>
  <c r="AC84" i="11"/>
  <c r="AB84" i="11"/>
  <c r="AD84" i="11" s="1"/>
  <c r="AC83" i="11"/>
  <c r="AB83" i="11"/>
  <c r="AD83" i="11"/>
  <c r="AC82" i="11"/>
  <c r="AB82" i="11"/>
  <c r="AD82" i="11" s="1"/>
  <c r="AC81" i="11"/>
  <c r="AB81" i="11"/>
  <c r="AD81" i="11"/>
  <c r="AC80" i="11"/>
  <c r="AB80" i="11"/>
  <c r="AD80" i="11" s="1"/>
  <c r="AC79" i="11"/>
  <c r="AB79" i="11"/>
  <c r="AD79" i="11"/>
  <c r="AC77" i="11"/>
  <c r="AB77" i="11"/>
  <c r="AC75" i="11"/>
  <c r="AB75" i="11"/>
  <c r="AD75" i="11" s="1"/>
  <c r="AC74" i="11"/>
  <c r="AB74" i="11"/>
  <c r="AC70" i="11"/>
  <c r="AB70" i="11"/>
  <c r="AD70" i="11"/>
  <c r="AB60" i="11"/>
  <c r="O60" i="11"/>
  <c r="Q60" i="11" s="1"/>
  <c r="L60" i="11"/>
  <c r="N60" i="11" s="1"/>
  <c r="I60" i="11"/>
  <c r="AB59" i="11"/>
  <c r="I59" i="11"/>
  <c r="AC59" i="11" s="1"/>
  <c r="AD59" i="11" s="1"/>
  <c r="O59" i="11"/>
  <c r="Q59" i="11"/>
  <c r="L59" i="11"/>
  <c r="N59" i="11"/>
  <c r="AB58" i="11"/>
  <c r="O58" i="11"/>
  <c r="Q58" i="11"/>
  <c r="L58" i="11"/>
  <c r="N58" i="11"/>
  <c r="I58" i="11"/>
  <c r="AB57" i="11"/>
  <c r="O57" i="11"/>
  <c r="Q57" i="11"/>
  <c r="L57" i="11"/>
  <c r="N57" i="11"/>
  <c r="I57" i="11"/>
  <c r="K57" i="11"/>
  <c r="AB56" i="11"/>
  <c r="O56" i="11"/>
  <c r="Q56" i="11" s="1"/>
  <c r="L56" i="11"/>
  <c r="N56" i="11" s="1"/>
  <c r="I56" i="11"/>
  <c r="O55" i="11"/>
  <c r="Q55" i="11"/>
  <c r="L55" i="11"/>
  <c r="I55" i="11"/>
  <c r="K55" i="11" s="1"/>
  <c r="AB54" i="11"/>
  <c r="O54" i="11"/>
  <c r="Q54" i="11"/>
  <c r="L54" i="11"/>
  <c r="I54" i="11"/>
  <c r="K54" i="11" s="1"/>
  <c r="AB53" i="11"/>
  <c r="O53" i="11"/>
  <c r="Q53" i="11"/>
  <c r="L53" i="11"/>
  <c r="N53" i="11"/>
  <c r="I53" i="11"/>
  <c r="K53" i="11"/>
  <c r="O52" i="11"/>
  <c r="Q52" i="11"/>
  <c r="L52" i="11"/>
  <c r="N52" i="11"/>
  <c r="I52" i="11"/>
  <c r="AB51" i="11"/>
  <c r="AD51" i="11" s="1"/>
  <c r="I51" i="11"/>
  <c r="AC51" i="11"/>
  <c r="O51" i="11"/>
  <c r="Q51" i="11" s="1"/>
  <c r="L51" i="11"/>
  <c r="N51" i="11" s="1"/>
  <c r="K51" i="11"/>
  <c r="AB50" i="11"/>
  <c r="O50" i="11"/>
  <c r="Q50" i="11" s="1"/>
  <c r="L50" i="11"/>
  <c r="N50" i="11" s="1"/>
  <c r="I50" i="11"/>
  <c r="AB49" i="11"/>
  <c r="O49" i="11"/>
  <c r="Q49" i="11" s="1"/>
  <c r="L49" i="11"/>
  <c r="N49" i="11" s="1"/>
  <c r="I49" i="11"/>
  <c r="K49" i="11" s="1"/>
  <c r="AB48" i="11"/>
  <c r="O48" i="11"/>
  <c r="Q48" i="11"/>
  <c r="L48" i="11"/>
  <c r="N48" i="11"/>
  <c r="I48" i="11"/>
  <c r="AB47" i="11"/>
  <c r="AD47" i="11" s="1"/>
  <c r="I47" i="11"/>
  <c r="AC47" i="11"/>
  <c r="O47" i="11"/>
  <c r="Q47" i="11" s="1"/>
  <c r="L47" i="11"/>
  <c r="N47" i="11" s="1"/>
  <c r="K47" i="11"/>
  <c r="AB46" i="11"/>
  <c r="O46" i="11"/>
  <c r="Q46" i="11" s="1"/>
  <c r="L46" i="11"/>
  <c r="N46" i="11" s="1"/>
  <c r="I46" i="11"/>
  <c r="AB45" i="11"/>
  <c r="L45" i="11"/>
  <c r="N45" i="11" s="1"/>
  <c r="I45" i="11"/>
  <c r="AB44" i="11"/>
  <c r="O44" i="11"/>
  <c r="Q44" i="11" s="1"/>
  <c r="L44" i="11"/>
  <c r="N44" i="11" s="1"/>
  <c r="I44" i="11"/>
  <c r="K44" i="11" s="1"/>
  <c r="AB43" i="11"/>
  <c r="O43" i="11"/>
  <c r="Q43" i="11"/>
  <c r="L43" i="11"/>
  <c r="N43" i="11"/>
  <c r="I43" i="11"/>
  <c r="AB42" i="11"/>
  <c r="O42" i="11"/>
  <c r="Q42" i="11"/>
  <c r="L42" i="11"/>
  <c r="N42" i="11"/>
  <c r="I42" i="11"/>
  <c r="K42" i="11"/>
  <c r="AB41" i="11"/>
  <c r="O41" i="11"/>
  <c r="Q41" i="11" s="1"/>
  <c r="L41" i="11"/>
  <c r="N41" i="11" s="1"/>
  <c r="I41" i="11"/>
  <c r="AB40" i="11"/>
  <c r="O40" i="11"/>
  <c r="Q40" i="11" s="1"/>
  <c r="L40" i="11"/>
  <c r="N40" i="11" s="1"/>
  <c r="I40" i="11"/>
  <c r="K40" i="11" s="1"/>
  <c r="AB39" i="11"/>
  <c r="AD39" i="11" s="1"/>
  <c r="O39" i="11"/>
  <c r="Q39" i="11"/>
  <c r="L39" i="11"/>
  <c r="N39" i="11"/>
  <c r="I39" i="11"/>
  <c r="O38" i="11"/>
  <c r="Q38" i="11" s="1"/>
  <c r="L38" i="11"/>
  <c r="I38" i="11"/>
  <c r="J38" i="11"/>
  <c r="O37" i="11"/>
  <c r="Q37" i="11"/>
  <c r="L37" i="11"/>
  <c r="N37" i="11"/>
  <c r="I37" i="11"/>
  <c r="AB36" i="11"/>
  <c r="AD36" i="11" s="1"/>
  <c r="I36" i="11"/>
  <c r="AC36" i="11"/>
  <c r="O36" i="11"/>
  <c r="Q36" i="11" s="1"/>
  <c r="L36" i="11"/>
  <c r="N36" i="11" s="1"/>
  <c r="K36" i="11"/>
  <c r="AB35" i="11"/>
  <c r="O35" i="11"/>
  <c r="Q35" i="11" s="1"/>
  <c r="L35" i="11"/>
  <c r="I35" i="11"/>
  <c r="K35" i="11"/>
  <c r="AB34" i="11"/>
  <c r="O34" i="11"/>
  <c r="Q34" i="11" s="1"/>
  <c r="L34" i="11"/>
  <c r="N34" i="11" s="1"/>
  <c r="I34" i="11"/>
  <c r="K34" i="11" s="1"/>
  <c r="AB33" i="11"/>
  <c r="AD33" i="11" s="1"/>
  <c r="O33" i="11"/>
  <c r="Q33" i="11"/>
  <c r="L33" i="11"/>
  <c r="I33" i="11"/>
  <c r="K33" i="11" s="1"/>
  <c r="AB32" i="11"/>
  <c r="O32" i="11"/>
  <c r="Q32" i="11"/>
  <c r="L32" i="11"/>
  <c r="N32" i="11"/>
  <c r="I32" i="11"/>
  <c r="K32" i="11"/>
  <c r="AB31" i="11"/>
  <c r="O31" i="11"/>
  <c r="Q31" i="11" s="1"/>
  <c r="L31" i="11"/>
  <c r="I31" i="11"/>
  <c r="K31" i="11"/>
  <c r="AB30" i="11"/>
  <c r="O30" i="11"/>
  <c r="Q30" i="11" s="1"/>
  <c r="L30" i="11"/>
  <c r="N30" i="11" s="1"/>
  <c r="I30" i="11"/>
  <c r="K30" i="11" s="1"/>
  <c r="O29" i="11"/>
  <c r="Q29" i="11" s="1"/>
  <c r="L29" i="11"/>
  <c r="N29" i="11" s="1"/>
  <c r="I29" i="11"/>
  <c r="J29" i="11" s="1"/>
  <c r="Q28" i="11"/>
  <c r="P28" i="11"/>
  <c r="L28" i="11"/>
  <c r="M28" i="11" s="1"/>
  <c r="I28" i="11"/>
  <c r="J28" i="11" s="1"/>
  <c r="Q27" i="11"/>
  <c r="P27" i="11"/>
  <c r="L27" i="11"/>
  <c r="N27" i="11" s="1"/>
  <c r="I27" i="11"/>
  <c r="K27" i="11" s="1"/>
  <c r="Q26" i="11"/>
  <c r="L26" i="11"/>
  <c r="I26" i="11"/>
  <c r="Q25" i="11"/>
  <c r="P25" i="11"/>
  <c r="L25" i="11"/>
  <c r="I25" i="11"/>
  <c r="K25" i="11" s="1"/>
  <c r="AB24" i="11"/>
  <c r="AD24" i="11" s="1"/>
  <c r="Q24" i="11"/>
  <c r="P24" i="11"/>
  <c r="L24" i="11"/>
  <c r="N24" i="11"/>
  <c r="I24" i="11"/>
  <c r="K24" i="11"/>
  <c r="AB23" i="11"/>
  <c r="Q23" i="11"/>
  <c r="P23" i="11"/>
  <c r="L23" i="11"/>
  <c r="M23" i="11" s="1"/>
  <c r="I23" i="11"/>
  <c r="K23" i="11"/>
  <c r="AB22" i="11"/>
  <c r="Q22" i="11"/>
  <c r="P22" i="11"/>
  <c r="L22" i="11"/>
  <c r="I22" i="11"/>
  <c r="Q21" i="11"/>
  <c r="P21" i="11"/>
  <c r="L21" i="11"/>
  <c r="N21" i="11" s="1"/>
  <c r="I21" i="11"/>
  <c r="K21" i="11" s="1"/>
  <c r="AB20" i="11"/>
  <c r="Q20" i="11"/>
  <c r="P20" i="11"/>
  <c r="L20" i="11"/>
  <c r="M20" i="11"/>
  <c r="N20" i="11"/>
  <c r="I20" i="11"/>
  <c r="AC20" i="11" s="1"/>
  <c r="AB19" i="11"/>
  <c r="I19" i="11"/>
  <c r="K19" i="11" s="1"/>
  <c r="Q19" i="11"/>
  <c r="P19" i="11"/>
  <c r="L19" i="11"/>
  <c r="N19" i="11"/>
  <c r="AB18" i="11"/>
  <c r="AD18" i="11" s="1"/>
  <c r="Q18" i="11"/>
  <c r="P18" i="11"/>
  <c r="L18" i="11"/>
  <c r="N18" i="11"/>
  <c r="I18" i="11"/>
  <c r="Q17" i="11"/>
  <c r="P17" i="11"/>
  <c r="L17" i="11"/>
  <c r="M17" i="11" s="1"/>
  <c r="I17" i="11"/>
  <c r="K17" i="11"/>
  <c r="AB16" i="11"/>
  <c r="Q16" i="11"/>
  <c r="P16" i="11"/>
  <c r="L16" i="11"/>
  <c r="I16" i="11"/>
  <c r="K16" i="11"/>
  <c r="AB15" i="11"/>
  <c r="Q15" i="11"/>
  <c r="P15" i="11"/>
  <c r="L15" i="11"/>
  <c r="N15" i="11" s="1"/>
  <c r="I15" i="11"/>
  <c r="AC15" i="11" s="1"/>
  <c r="AD15" i="11" s="1"/>
  <c r="AB14" i="11"/>
  <c r="Q14" i="11"/>
  <c r="P14" i="11"/>
  <c r="L14" i="11"/>
  <c r="I14" i="11"/>
  <c r="J14" i="11" s="1"/>
  <c r="AB13" i="11"/>
  <c r="Q13" i="11"/>
  <c r="P13" i="11"/>
  <c r="L13" i="11"/>
  <c r="M13" i="11" s="1"/>
  <c r="N13" i="11"/>
  <c r="I13" i="11"/>
  <c r="Q12" i="11"/>
  <c r="P12" i="11"/>
  <c r="L12" i="11"/>
  <c r="I12" i="11"/>
  <c r="Q11" i="11"/>
  <c r="P11" i="11"/>
  <c r="L11" i="11"/>
  <c r="I11" i="11"/>
  <c r="K11" i="11"/>
  <c r="Q10" i="11"/>
  <c r="P10" i="11"/>
  <c r="L10" i="11"/>
  <c r="N10" i="11"/>
  <c r="I10" i="11"/>
  <c r="Q9" i="11"/>
  <c r="P9" i="11"/>
  <c r="L9" i="11"/>
  <c r="M9" i="11" s="1"/>
  <c r="N9" i="11"/>
  <c r="I9" i="11"/>
  <c r="K9" i="11"/>
  <c r="Q8" i="11"/>
  <c r="P8" i="11"/>
  <c r="L8" i="11"/>
  <c r="N8" i="11"/>
  <c r="I8" i="11"/>
  <c r="K8" i="11"/>
  <c r="Q7" i="11"/>
  <c r="P7" i="11"/>
  <c r="L7" i="11"/>
  <c r="N7" i="11"/>
  <c r="I7" i="11"/>
  <c r="K7" i="11"/>
  <c r="AB6" i="11"/>
  <c r="Q6" i="11"/>
  <c r="P6" i="11"/>
  <c r="L6" i="11"/>
  <c r="I6" i="11"/>
  <c r="K6" i="11" s="1"/>
  <c r="J6" i="11"/>
  <c r="AB5" i="11"/>
  <c r="Q5" i="11"/>
  <c r="P5" i="11"/>
  <c r="L5" i="11"/>
  <c r="I5" i="11"/>
  <c r="J5" i="11" s="1"/>
  <c r="AB4" i="11"/>
  <c r="I4" i="11"/>
  <c r="K4" i="11" s="1"/>
  <c r="Q4" i="11"/>
  <c r="P4" i="11"/>
  <c r="L4" i="11"/>
  <c r="N4" i="11"/>
  <c r="Q3" i="11"/>
  <c r="P3" i="11"/>
  <c r="L3" i="11"/>
  <c r="M3" i="11" s="1"/>
  <c r="I3" i="11"/>
  <c r="K3" i="11" s="1"/>
  <c r="M7" i="11"/>
  <c r="J16" i="11"/>
  <c r="J22" i="11"/>
  <c r="M30" i="11"/>
  <c r="J31" i="11"/>
  <c r="M32" i="11"/>
  <c r="M34" i="11"/>
  <c r="AC35" i="11"/>
  <c r="M36" i="11"/>
  <c r="J37" i="11"/>
  <c r="M40" i="11"/>
  <c r="M42" i="11"/>
  <c r="M44" i="11"/>
  <c r="M46" i="11"/>
  <c r="J47" i="11"/>
  <c r="M48" i="11"/>
  <c r="J49" i="11"/>
  <c r="M50" i="11"/>
  <c r="J51" i="11"/>
  <c r="M52" i="11"/>
  <c r="M53" i="11"/>
  <c r="J54" i="11"/>
  <c r="J57" i="11"/>
  <c r="M58" i="11"/>
  <c r="J59" i="11"/>
  <c r="AD77" i="11"/>
  <c r="J98" i="11"/>
  <c r="P100" i="11"/>
  <c r="M103" i="11"/>
  <c r="P111" i="11"/>
  <c r="J117" i="11"/>
  <c r="J124" i="11"/>
  <c r="J132" i="11"/>
  <c r="AC6" i="11"/>
  <c r="AD6" i="11" s="1"/>
  <c r="M8" i="11"/>
  <c r="M10" i="11"/>
  <c r="M15" i="11"/>
  <c r="AC16" i="11"/>
  <c r="AD16" i="11"/>
  <c r="M18" i="11"/>
  <c r="J21" i="11"/>
  <c r="J24" i="11"/>
  <c r="J27" i="11"/>
  <c r="AC33" i="11"/>
  <c r="AC39" i="11"/>
  <c r="AC43" i="11"/>
  <c r="AD43" i="11" s="1"/>
  <c r="AC49" i="11"/>
  <c r="AC57" i="11"/>
  <c r="AD74" i="11"/>
  <c r="AC24" i="11"/>
  <c r="AD49" i="11"/>
  <c r="J96" i="11"/>
  <c r="M97" i="11"/>
  <c r="J100" i="11"/>
  <c r="M101" i="11"/>
  <c r="P102" i="11"/>
  <c r="J105" i="11"/>
  <c r="M106" i="11"/>
  <c r="P107" i="11"/>
  <c r="J111" i="11"/>
  <c r="M112" i="11"/>
  <c r="P113" i="11"/>
  <c r="M116" i="11"/>
  <c r="P117" i="11"/>
  <c r="J123" i="11"/>
  <c r="J125" i="11"/>
  <c r="J127" i="11"/>
  <c r="J131" i="11"/>
  <c r="J133" i="11"/>
  <c r="M4" i="11"/>
  <c r="J7" i="11"/>
  <c r="J8" i="11"/>
  <c r="J9" i="11"/>
  <c r="J13" i="11"/>
  <c r="J15" i="11"/>
  <c r="J17" i="11"/>
  <c r="AC18" i="11"/>
  <c r="M19" i="11"/>
  <c r="J23" i="11"/>
  <c r="AC23" i="11"/>
  <c r="AD23" i="11"/>
  <c r="M24" i="11"/>
  <c r="J25" i="11"/>
  <c r="K28" i="11"/>
  <c r="AC32" i="11"/>
  <c r="J32" i="11"/>
  <c r="AD35" i="11"/>
  <c r="J36" i="11"/>
  <c r="AC30" i="11"/>
  <c r="AD30" i="11" s="1"/>
  <c r="J30" i="11"/>
  <c r="J34" i="11"/>
  <c r="K37" i="11"/>
  <c r="M37" i="11"/>
  <c r="K38" i="11"/>
  <c r="J40" i="11"/>
  <c r="AC40" i="11"/>
  <c r="M41" i="11"/>
  <c r="J42" i="11"/>
  <c r="AC42" i="11"/>
  <c r="J44" i="11"/>
  <c r="AC44" i="11"/>
  <c r="M45" i="11"/>
  <c r="AC46" i="11"/>
  <c r="AD46" i="11" s="1"/>
  <c r="M47" i="11"/>
  <c r="M49" i="11"/>
  <c r="AC50" i="11"/>
  <c r="AD50" i="11" s="1"/>
  <c r="M51" i="11"/>
  <c r="J52" i="11"/>
  <c r="J53" i="11"/>
  <c r="AC53" i="11"/>
  <c r="AD53" i="11"/>
  <c r="AC56" i="11"/>
  <c r="AD56" i="11"/>
  <c r="M57" i="11"/>
  <c r="AC58" i="11"/>
  <c r="AD58" i="11" s="1"/>
  <c r="M59" i="11"/>
  <c r="AC60" i="11"/>
  <c r="AD60" i="11"/>
  <c r="M96" i="11"/>
  <c r="P97" i="11"/>
  <c r="P99" i="11"/>
  <c r="M100" i="11"/>
  <c r="J101" i="11"/>
  <c r="P101" i="11"/>
  <c r="J103" i="11"/>
  <c r="K52" i="11"/>
  <c r="P108" i="11"/>
  <c r="J110" i="11"/>
  <c r="P110" i="11"/>
  <c r="M111" i="11"/>
  <c r="J112" i="11"/>
  <c r="P112" i="11"/>
  <c r="J114" i="11"/>
  <c r="M115" i="11"/>
  <c r="J116" i="11"/>
  <c r="P116" i="11"/>
  <c r="M117" i="11"/>
  <c r="J118" i="11"/>
  <c r="M119" i="11"/>
  <c r="M121" i="11"/>
  <c r="M122" i="11"/>
  <c r="M123" i="11"/>
  <c r="M124" i="11"/>
  <c r="M125" i="11"/>
  <c r="M127" i="11"/>
  <c r="M129" i="11"/>
  <c r="M130" i="11"/>
  <c r="M131" i="11"/>
  <c r="M132" i="11"/>
  <c r="M133" i="11"/>
  <c r="M135" i="11"/>
  <c r="M137" i="11"/>
  <c r="M138" i="11"/>
  <c r="AB41" i="9"/>
  <c r="AB46" i="9"/>
  <c r="AB47" i="9"/>
  <c r="AA47" i="9"/>
  <c r="AC47" i="9"/>
  <c r="AB52" i="9"/>
  <c r="AB54" i="9"/>
  <c r="AB58" i="9"/>
  <c r="AB62" i="9"/>
  <c r="AC62" i="9" s="1"/>
  <c r="AA62" i="9"/>
  <c r="AB66" i="9"/>
  <c r="AB69" i="9"/>
  <c r="AB71" i="9"/>
  <c r="AB72" i="9"/>
  <c r="AA72" i="9"/>
  <c r="AC72" i="9"/>
  <c r="AB73" i="9"/>
  <c r="AB74" i="9"/>
  <c r="AB76" i="9"/>
  <c r="AB77" i="9"/>
  <c r="AC77" i="9" s="1"/>
  <c r="AA77" i="9"/>
  <c r="AB85" i="9"/>
  <c r="AB86" i="9"/>
  <c r="AB87" i="9"/>
  <c r="AB88" i="9"/>
  <c r="AA88" i="9"/>
  <c r="AC88" i="9"/>
  <c r="AB90" i="9"/>
  <c r="AC90" i="9"/>
  <c r="AB92" i="9"/>
  <c r="AA5" i="9"/>
  <c r="AA6" i="9"/>
  <c r="AA13" i="9"/>
  <c r="AA14" i="9"/>
  <c r="AA15" i="9"/>
  <c r="AA16" i="9"/>
  <c r="AA18" i="9"/>
  <c r="AA19" i="9"/>
  <c r="AA20" i="9"/>
  <c r="AA22" i="9"/>
  <c r="AA23" i="9"/>
  <c r="AA24" i="9"/>
  <c r="AA35" i="9"/>
  <c r="AA36" i="9"/>
  <c r="AA37" i="9"/>
  <c r="AA38" i="9"/>
  <c r="AA39" i="9"/>
  <c r="AA40" i="9"/>
  <c r="AA45" i="9"/>
  <c r="AA50" i="9"/>
  <c r="AA56" i="9"/>
  <c r="AA57" i="9"/>
  <c r="AA59" i="9"/>
  <c r="AA60" i="9"/>
  <c r="AA61" i="9"/>
  <c r="AA63" i="9"/>
  <c r="AA64" i="9"/>
  <c r="AA65" i="9"/>
  <c r="AA67" i="9"/>
  <c r="AA68" i="9"/>
  <c r="AA70" i="9"/>
  <c r="AA75" i="9"/>
  <c r="AA80" i="9"/>
  <c r="AA81" i="9"/>
  <c r="AA83" i="9"/>
  <c r="AA84" i="9"/>
  <c r="AA89" i="9"/>
  <c r="AA94" i="9"/>
  <c r="AA96" i="9"/>
  <c r="AA41" i="9"/>
  <c r="AA46" i="9"/>
  <c r="AC46" i="9" s="1"/>
  <c r="AA52" i="9"/>
  <c r="AA54" i="9"/>
  <c r="AA58" i="9"/>
  <c r="AC58" i="9" s="1"/>
  <c r="AA66" i="9"/>
  <c r="AC66" i="9" s="1"/>
  <c r="AA69" i="9"/>
  <c r="AA71" i="9"/>
  <c r="AC71" i="9" s="1"/>
  <c r="AA73" i="9"/>
  <c r="AA74" i="9"/>
  <c r="AA76" i="9"/>
  <c r="AC76" i="9" s="1"/>
  <c r="AA85" i="9"/>
  <c r="AC85" i="9" s="1"/>
  <c r="AA86" i="9"/>
  <c r="AA87" i="9"/>
  <c r="AC87" i="9" s="1"/>
  <c r="AA92" i="9"/>
  <c r="AC92" i="9" s="1"/>
  <c r="AA4" i="9"/>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M32" i="10"/>
  <c r="M31" i="10"/>
  <c r="M30" i="10"/>
  <c r="M29" i="10"/>
  <c r="M28" i="10"/>
  <c r="M27" i="10"/>
  <c r="M26" i="10"/>
  <c r="M25" i="10"/>
  <c r="M24" i="10"/>
  <c r="M23" i="10"/>
  <c r="M22" i="10"/>
  <c r="M21" i="10"/>
  <c r="M20" i="10"/>
  <c r="M19" i="10"/>
  <c r="M18" i="10"/>
  <c r="M17" i="10"/>
  <c r="M16" i="10"/>
  <c r="M15" i="10"/>
  <c r="M14" i="10"/>
  <c r="M13" i="10"/>
  <c r="M12" i="10"/>
  <c r="M11" i="10"/>
  <c r="M10" i="10"/>
  <c r="M9" i="10"/>
  <c r="M8" i="10"/>
  <c r="M7" i="10"/>
  <c r="M6" i="10"/>
  <c r="M5" i="10"/>
  <c r="M4" i="10"/>
  <c r="M3" i="10"/>
  <c r="AC73" i="9"/>
  <c r="AC52" i="9"/>
  <c r="AC86" i="9"/>
  <c r="AC74" i="9"/>
  <c r="AC69" i="9"/>
  <c r="AC54" i="9"/>
  <c r="AC41" i="9"/>
  <c r="M35" i="9"/>
  <c r="M37" i="9"/>
  <c r="M39" i="9"/>
  <c r="M45" i="9"/>
  <c r="M4" i="9"/>
  <c r="M5" i="9"/>
  <c r="M6" i="9"/>
  <c r="M7" i="9"/>
  <c r="M8" i="9"/>
  <c r="M9" i="9"/>
  <c r="M10" i="9"/>
  <c r="M11" i="9"/>
  <c r="M12" i="9"/>
  <c r="M13" i="9"/>
  <c r="M14" i="9"/>
  <c r="M15" i="9"/>
  <c r="M16" i="9"/>
  <c r="M17" i="9"/>
  <c r="M18" i="9"/>
  <c r="M19" i="9"/>
  <c r="M20" i="9"/>
  <c r="M21" i="9"/>
  <c r="M22" i="9"/>
  <c r="M23" i="9"/>
  <c r="M24" i="9"/>
  <c r="M25" i="9"/>
  <c r="M26" i="9"/>
  <c r="M27" i="9"/>
  <c r="M28" i="9"/>
  <c r="M3" i="9"/>
  <c r="J27" i="9"/>
  <c r="J28" i="9"/>
  <c r="K38" i="9"/>
  <c r="J8" i="9"/>
  <c r="J10" i="9"/>
  <c r="J17" i="9"/>
  <c r="J21" i="9"/>
  <c r="J25" i="9"/>
  <c r="O125" i="9"/>
  <c r="Q125" i="9"/>
  <c r="L125" i="9"/>
  <c r="M125" i="9"/>
  <c r="I125" i="9"/>
  <c r="K125" i="9"/>
  <c r="O124" i="9"/>
  <c r="P124" i="9"/>
  <c r="L124" i="9"/>
  <c r="N124" i="9"/>
  <c r="I124" i="9"/>
  <c r="J124" i="9"/>
  <c r="O123" i="9"/>
  <c r="Q123" i="9"/>
  <c r="L123" i="9"/>
  <c r="M123" i="9"/>
  <c r="I123" i="9"/>
  <c r="K123" i="9"/>
  <c r="O122" i="9"/>
  <c r="P122" i="9"/>
  <c r="L122" i="9"/>
  <c r="N122" i="9"/>
  <c r="I122" i="9"/>
  <c r="J122" i="9"/>
  <c r="O121" i="9"/>
  <c r="L121" i="9"/>
  <c r="M121" i="9" s="1"/>
  <c r="I121" i="9"/>
  <c r="K121" i="9" s="1"/>
  <c r="O120" i="9"/>
  <c r="P120" i="9" s="1"/>
  <c r="L120" i="9"/>
  <c r="N120" i="9" s="1"/>
  <c r="I120" i="9"/>
  <c r="J120" i="9"/>
  <c r="O119" i="9"/>
  <c r="Q119" i="9"/>
  <c r="L119" i="9"/>
  <c r="M119" i="9"/>
  <c r="I119" i="9"/>
  <c r="O118" i="9"/>
  <c r="P118" i="9" s="1"/>
  <c r="L118" i="9"/>
  <c r="N118" i="9" s="1"/>
  <c r="I118" i="9"/>
  <c r="J118" i="9" s="1"/>
  <c r="O117" i="9"/>
  <c r="Q117" i="9" s="1"/>
  <c r="L117" i="9"/>
  <c r="M117" i="9" s="1"/>
  <c r="I117" i="9"/>
  <c r="K117" i="9" s="1"/>
  <c r="O116" i="9"/>
  <c r="Q116" i="9" s="1"/>
  <c r="L116" i="9"/>
  <c r="N116" i="9" s="1"/>
  <c r="I116" i="9"/>
  <c r="J116" i="9"/>
  <c r="O115" i="9"/>
  <c r="Q115" i="9"/>
  <c r="L115" i="9"/>
  <c r="M115" i="9"/>
  <c r="I115" i="9"/>
  <c r="K115" i="9"/>
  <c r="O114" i="9"/>
  <c r="P114" i="9"/>
  <c r="L114" i="9"/>
  <c r="N114" i="9"/>
  <c r="I114" i="9"/>
  <c r="J114" i="9"/>
  <c r="O113" i="9"/>
  <c r="L113" i="9"/>
  <c r="M113" i="9" s="1"/>
  <c r="I113" i="9"/>
  <c r="K113" i="9" s="1"/>
  <c r="O112" i="9"/>
  <c r="P112" i="9" s="1"/>
  <c r="L112" i="9"/>
  <c r="N112" i="9" s="1"/>
  <c r="I112" i="9"/>
  <c r="J112" i="9" s="1"/>
  <c r="O111" i="9"/>
  <c r="Q111" i="9" s="1"/>
  <c r="L111" i="9"/>
  <c r="M111" i="9" s="1"/>
  <c r="I111" i="9"/>
  <c r="K111" i="9" s="1"/>
  <c r="O110" i="9"/>
  <c r="Q110" i="9" s="1"/>
  <c r="L110" i="9"/>
  <c r="N110" i="9" s="1"/>
  <c r="I110" i="9"/>
  <c r="K110" i="9" s="1"/>
  <c r="O109" i="9"/>
  <c r="P109" i="9" s="1"/>
  <c r="L109" i="9"/>
  <c r="N109" i="9" s="1"/>
  <c r="I109" i="9"/>
  <c r="K109" i="9" s="1"/>
  <c r="O108" i="9"/>
  <c r="Q108" i="9" s="1"/>
  <c r="L108" i="9"/>
  <c r="M108" i="9" s="1"/>
  <c r="I108" i="9"/>
  <c r="K108" i="9" s="1"/>
  <c r="O107" i="9"/>
  <c r="Q107" i="9" s="1"/>
  <c r="L107" i="9"/>
  <c r="N107" i="9" s="1"/>
  <c r="I107" i="9"/>
  <c r="J107" i="9" s="1"/>
  <c r="O106" i="9"/>
  <c r="Q106" i="9" s="1"/>
  <c r="L106" i="9"/>
  <c r="N106" i="9" s="1"/>
  <c r="I106" i="9"/>
  <c r="K106" i="9" s="1"/>
  <c r="O105" i="9"/>
  <c r="P105" i="9" s="1"/>
  <c r="L105" i="9"/>
  <c r="N105" i="9" s="1"/>
  <c r="I105" i="9"/>
  <c r="K105" i="9" s="1"/>
  <c r="O104" i="9"/>
  <c r="Q104" i="9" s="1"/>
  <c r="L104" i="9"/>
  <c r="M104" i="9" s="1"/>
  <c r="I104" i="9"/>
  <c r="K104" i="9" s="1"/>
  <c r="O103" i="9"/>
  <c r="Q103" i="9" s="1"/>
  <c r="L103" i="9"/>
  <c r="N103" i="9" s="1"/>
  <c r="I103" i="9"/>
  <c r="J103" i="9" s="1"/>
  <c r="Q26" i="9"/>
  <c r="Q25" i="9"/>
  <c r="P25" i="9"/>
  <c r="Q24" i="9"/>
  <c r="P24" i="9"/>
  <c r="Q23" i="9"/>
  <c r="P23" i="9"/>
  <c r="Q22" i="9"/>
  <c r="P22" i="9"/>
  <c r="Q21" i="9"/>
  <c r="P21" i="9"/>
  <c r="Q20" i="9"/>
  <c r="P20" i="9"/>
  <c r="Q19" i="9"/>
  <c r="P19" i="9"/>
  <c r="Q18" i="9"/>
  <c r="P18" i="9"/>
  <c r="Q17" i="9"/>
  <c r="P17" i="9"/>
  <c r="Q16" i="9"/>
  <c r="P16" i="9"/>
  <c r="Q15" i="9"/>
  <c r="P15" i="9"/>
  <c r="Q14" i="9"/>
  <c r="P14" i="9"/>
  <c r="Q13" i="9"/>
  <c r="P13" i="9"/>
  <c r="Q12" i="9"/>
  <c r="P12" i="9"/>
  <c r="Q11" i="9"/>
  <c r="P11" i="9"/>
  <c r="Q10" i="9"/>
  <c r="P10" i="9"/>
  <c r="Q9" i="9"/>
  <c r="P9" i="9"/>
  <c r="Q8" i="9"/>
  <c r="P8" i="9"/>
  <c r="Q7" i="9"/>
  <c r="P7" i="9"/>
  <c r="Q6" i="9"/>
  <c r="P6" i="9"/>
  <c r="Q5" i="9"/>
  <c r="P5" i="9"/>
  <c r="Q4" i="9"/>
  <c r="P4" i="9"/>
  <c r="Q3" i="9"/>
  <c r="P3" i="9"/>
  <c r="N3" i="9"/>
  <c r="K3" i="9"/>
  <c r="N19" i="9"/>
  <c r="K11" i="9"/>
  <c r="N38" i="9"/>
  <c r="J24" i="9"/>
  <c r="AB24" i="9"/>
  <c r="AC24" i="9"/>
  <c r="J22" i="9"/>
  <c r="AB22" i="9"/>
  <c r="AC22" i="9" s="1"/>
  <c r="J20" i="9"/>
  <c r="AB20" i="9"/>
  <c r="AC20" i="9"/>
  <c r="J18" i="9"/>
  <c r="AB18" i="9"/>
  <c r="AC18" i="9" s="1"/>
  <c r="J16" i="9"/>
  <c r="AB16" i="9"/>
  <c r="AC16" i="9"/>
  <c r="J14" i="9"/>
  <c r="AB14" i="9"/>
  <c r="AC14" i="9" s="1"/>
  <c r="J5" i="9"/>
  <c r="AB5" i="9"/>
  <c r="AC5" i="9"/>
  <c r="AB96" i="9"/>
  <c r="AC96" i="9"/>
  <c r="AB89" i="9"/>
  <c r="AC89" i="9"/>
  <c r="AB84" i="9"/>
  <c r="AC84" i="9"/>
  <c r="AB80" i="9"/>
  <c r="AC80" i="9"/>
  <c r="AB75" i="9"/>
  <c r="AC75" i="9"/>
  <c r="AB67" i="9"/>
  <c r="AC67" i="9"/>
  <c r="AB64" i="9"/>
  <c r="AC64" i="9"/>
  <c r="AB61" i="9"/>
  <c r="AC61" i="9"/>
  <c r="AB59" i="9"/>
  <c r="AC59" i="9"/>
  <c r="AB57" i="9"/>
  <c r="AC57" i="9"/>
  <c r="AB50" i="9"/>
  <c r="AC50" i="9"/>
  <c r="J40" i="9"/>
  <c r="AB40" i="9"/>
  <c r="AC40" i="9" s="1"/>
  <c r="J37" i="9"/>
  <c r="AB37" i="9"/>
  <c r="AC37" i="9"/>
  <c r="J35" i="9"/>
  <c r="AB35" i="9"/>
  <c r="AC35" i="9" s="1"/>
  <c r="N30" i="9"/>
  <c r="K98" i="9"/>
  <c r="J23" i="9"/>
  <c r="AB23" i="9"/>
  <c r="AC23" i="9"/>
  <c r="J19" i="9"/>
  <c r="AB19" i="9"/>
  <c r="AC19" i="9" s="1"/>
  <c r="J15" i="9"/>
  <c r="AB15" i="9"/>
  <c r="AC15" i="9"/>
  <c r="J13" i="9"/>
  <c r="AB13" i="9"/>
  <c r="AC13" i="9" s="1"/>
  <c r="J6" i="9"/>
  <c r="AB6" i="9"/>
  <c r="AC6" i="9"/>
  <c r="J4" i="9"/>
  <c r="AB4" i="9"/>
  <c r="AC4" i="9" s="1"/>
  <c r="AB94" i="9"/>
  <c r="AC94" i="9" s="1"/>
  <c r="AB83" i="9"/>
  <c r="AC83" i="9" s="1"/>
  <c r="AB81" i="9"/>
  <c r="AC81" i="9" s="1"/>
  <c r="AB70" i="9"/>
  <c r="AC70" i="9" s="1"/>
  <c r="AB68" i="9"/>
  <c r="AC68" i="9" s="1"/>
  <c r="AB65" i="9"/>
  <c r="AC65" i="9" s="1"/>
  <c r="AB63" i="9"/>
  <c r="AC63" i="9" s="1"/>
  <c r="AB60" i="9"/>
  <c r="AC60" i="9" s="1"/>
  <c r="AB56" i="9"/>
  <c r="AC56" i="9" s="1"/>
  <c r="J45" i="9"/>
  <c r="AB45" i="9"/>
  <c r="AC45" i="9"/>
  <c r="J39" i="9"/>
  <c r="AB39" i="9"/>
  <c r="AC39" i="9" s="1"/>
  <c r="J38" i="9"/>
  <c r="AB38" i="9"/>
  <c r="AC38" i="9"/>
  <c r="J36" i="9"/>
  <c r="AB36" i="9"/>
  <c r="AC36" i="9" s="1"/>
  <c r="J30" i="9"/>
  <c r="K99" i="9"/>
  <c r="K30" i="9"/>
  <c r="N96" i="9"/>
  <c r="N94" i="9"/>
  <c r="N45" i="9"/>
  <c r="N40" i="9"/>
  <c r="N37" i="9"/>
  <c r="N36" i="9"/>
  <c r="M103" i="9"/>
  <c r="J104" i="9"/>
  <c r="P104" i="9"/>
  <c r="M105" i="9"/>
  <c r="J106" i="9"/>
  <c r="P106" i="9"/>
  <c r="M107" i="9"/>
  <c r="J108" i="9"/>
  <c r="P108" i="9"/>
  <c r="M109" i="9"/>
  <c r="J110" i="9"/>
  <c r="P123" i="9"/>
  <c r="K19" i="9"/>
  <c r="K96" i="9"/>
  <c r="K94" i="9"/>
  <c r="K45" i="9"/>
  <c r="K40" i="9"/>
  <c r="K37" i="9"/>
  <c r="K36" i="9"/>
  <c r="K28" i="9"/>
  <c r="K27" i="9"/>
  <c r="N27" i="9"/>
  <c r="N11" i="9"/>
  <c r="P115" i="9"/>
  <c r="J121" i="9"/>
  <c r="K23" i="9"/>
  <c r="K15" i="9"/>
  <c r="K7" i="9"/>
  <c r="N23" i="9"/>
  <c r="N15" i="9"/>
  <c r="N7" i="9"/>
  <c r="M114" i="9"/>
  <c r="J117" i="9"/>
  <c r="P119" i="9"/>
  <c r="M122" i="9"/>
  <c r="J125" i="9"/>
  <c r="K25" i="9"/>
  <c r="K22" i="9"/>
  <c r="K21" i="9"/>
  <c r="K18" i="9"/>
  <c r="K17" i="9"/>
  <c r="K14" i="9"/>
  <c r="K13" i="9"/>
  <c r="K10" i="9"/>
  <c r="K9" i="9"/>
  <c r="K6" i="9"/>
  <c r="K5" i="9"/>
  <c r="N26" i="9"/>
  <c r="N25" i="9"/>
  <c r="N22" i="9"/>
  <c r="N21" i="9"/>
  <c r="N18" i="9"/>
  <c r="N17" i="9"/>
  <c r="N14" i="9"/>
  <c r="N13" i="9"/>
  <c r="N10" i="9"/>
  <c r="N9" i="9"/>
  <c r="N6" i="9"/>
  <c r="N5" i="9"/>
  <c r="J113" i="9"/>
  <c r="Q113" i="9"/>
  <c r="P113" i="9"/>
  <c r="M116" i="9"/>
  <c r="K119" i="9"/>
  <c r="J119" i="9"/>
  <c r="Q121" i="9"/>
  <c r="P121" i="9"/>
  <c r="J115" i="9"/>
  <c r="P117" i="9"/>
  <c r="M120" i="9"/>
  <c r="J123" i="9"/>
  <c r="P125" i="9"/>
  <c r="K24" i="9"/>
  <c r="K20" i="9"/>
  <c r="K16" i="9"/>
  <c r="K12" i="9"/>
  <c r="K8" i="9"/>
  <c r="K4" i="9"/>
  <c r="K39" i="9"/>
  <c r="K35" i="9"/>
  <c r="K26" i="9"/>
  <c r="N28" i="9"/>
  <c r="N24" i="9"/>
  <c r="N20" i="9"/>
  <c r="N16" i="9"/>
  <c r="N12" i="9"/>
  <c r="N8" i="9"/>
  <c r="N4" i="9"/>
  <c r="N39" i="9"/>
  <c r="N35" i="9"/>
  <c r="N111" i="9"/>
  <c r="K114" i="9"/>
  <c r="Q114" i="9"/>
  <c r="N115" i="9"/>
  <c r="N117" i="9"/>
  <c r="Q118" i="9"/>
  <c r="N119" i="9"/>
  <c r="K120" i="9"/>
  <c r="K122" i="9"/>
  <c r="Q122" i="9"/>
  <c r="N123" i="9"/>
  <c r="K124" i="9"/>
  <c r="Q124" i="9"/>
  <c r="N125" i="9"/>
  <c r="P97" i="1"/>
  <c r="Q97" i="1" s="1"/>
  <c r="P98" i="1"/>
  <c r="P99" i="1"/>
  <c r="Q99" i="1" s="1"/>
  <c r="P100" i="1"/>
  <c r="Q100" i="1" s="1"/>
  <c r="P101" i="1"/>
  <c r="P102" i="1"/>
  <c r="Q102" i="1" s="1"/>
  <c r="P103" i="1"/>
  <c r="Q103" i="1" s="1"/>
  <c r="P104" i="1"/>
  <c r="Q104" i="1" s="1"/>
  <c r="P105" i="1"/>
  <c r="Q105" i="1" s="1"/>
  <c r="P106" i="1"/>
  <c r="P107" i="1"/>
  <c r="Q107" i="1" s="1"/>
  <c r="P108" i="1"/>
  <c r="P109" i="1"/>
  <c r="P110" i="1"/>
  <c r="Q110" i="1" s="1"/>
  <c r="P111" i="1"/>
  <c r="Q111" i="1" s="1"/>
  <c r="P112" i="1"/>
  <c r="Q112" i="1" s="1"/>
  <c r="P113" i="1"/>
  <c r="Q113" i="1" s="1"/>
  <c r="P114" i="1"/>
  <c r="P115" i="1"/>
  <c r="Q115" i="1" s="1"/>
  <c r="P116" i="1"/>
  <c r="Q116" i="1" s="1"/>
  <c r="P117" i="1"/>
  <c r="R117" i="1" s="1"/>
  <c r="P118" i="1"/>
  <c r="Q118" i="1" s="1"/>
  <c r="P96" i="1"/>
  <c r="R96" i="1" s="1"/>
  <c r="M97" i="1"/>
  <c r="O97" i="1" s="1"/>
  <c r="M98" i="1"/>
  <c r="M99" i="1"/>
  <c r="O99" i="1"/>
  <c r="M100" i="1"/>
  <c r="M101" i="1"/>
  <c r="O101" i="1" s="1"/>
  <c r="M102" i="1"/>
  <c r="M103" i="1"/>
  <c r="O103" i="1"/>
  <c r="M104" i="1"/>
  <c r="M105" i="1"/>
  <c r="O105" i="1" s="1"/>
  <c r="M106" i="1"/>
  <c r="M107" i="1"/>
  <c r="O107" i="1"/>
  <c r="M108" i="1"/>
  <c r="M109" i="1"/>
  <c r="O109" i="1" s="1"/>
  <c r="M110" i="1"/>
  <c r="M111" i="1"/>
  <c r="O111" i="1"/>
  <c r="M112" i="1"/>
  <c r="M113" i="1"/>
  <c r="O113" i="1" s="1"/>
  <c r="M114" i="1"/>
  <c r="M115" i="1"/>
  <c r="O115" i="1"/>
  <c r="M116" i="1"/>
  <c r="M117" i="1"/>
  <c r="O117" i="1" s="1"/>
  <c r="M118" i="1"/>
  <c r="M96" i="1"/>
  <c r="J97" i="1"/>
  <c r="J98" i="1"/>
  <c r="L98" i="1"/>
  <c r="J99" i="1"/>
  <c r="J100" i="1"/>
  <c r="L100" i="1" s="1"/>
  <c r="J101" i="1"/>
  <c r="J102" i="1"/>
  <c r="L102" i="1"/>
  <c r="J103" i="1"/>
  <c r="J104" i="1"/>
  <c r="L104" i="1" s="1"/>
  <c r="J105" i="1"/>
  <c r="J106" i="1"/>
  <c r="L106" i="1"/>
  <c r="J107" i="1"/>
  <c r="J108" i="1"/>
  <c r="L108" i="1" s="1"/>
  <c r="J109" i="1"/>
  <c r="J110" i="1"/>
  <c r="L110" i="1"/>
  <c r="J111" i="1"/>
  <c r="J112" i="1"/>
  <c r="L112" i="1" s="1"/>
  <c r="J113" i="1"/>
  <c r="J114" i="1"/>
  <c r="L114" i="1"/>
  <c r="J115" i="1"/>
  <c r="J116" i="1"/>
  <c r="L116" i="1" s="1"/>
  <c r="J117" i="1"/>
  <c r="J118" i="1"/>
  <c r="L118" i="1"/>
  <c r="J96" i="1"/>
  <c r="N24" i="8"/>
  <c r="P24" i="8" s="1"/>
  <c r="L24" i="8"/>
  <c r="K24" i="8" s="1"/>
  <c r="M24" i="8" s="1"/>
  <c r="I24" i="8"/>
  <c r="H24" i="8"/>
  <c r="J24" i="8" s="1"/>
  <c r="N16" i="8"/>
  <c r="P16" i="8" s="1"/>
  <c r="L16" i="8"/>
  <c r="K16" i="8" s="1"/>
  <c r="M16" i="8"/>
  <c r="I16" i="8"/>
  <c r="H16" i="8"/>
  <c r="J16" i="8" s="1"/>
  <c r="N15" i="8"/>
  <c r="P15" i="8" s="1"/>
  <c r="L15" i="8"/>
  <c r="K15" i="8" s="1"/>
  <c r="M15" i="8" s="1"/>
  <c r="I15" i="8"/>
  <c r="H15" i="8"/>
  <c r="J15" i="8" s="1"/>
  <c r="R110" i="1"/>
  <c r="R102" i="1"/>
  <c r="R111" i="1"/>
  <c r="R113" i="1"/>
  <c r="N4" i="1"/>
  <c r="M4" i="1" s="1"/>
  <c r="O4" i="1" s="1"/>
  <c r="N5" i="1"/>
  <c r="M5" i="1"/>
  <c r="O5" i="1" s="1"/>
  <c r="N6" i="1"/>
  <c r="M6" i="1" s="1"/>
  <c r="O6" i="1" s="1"/>
  <c r="N7" i="1"/>
  <c r="M7" i="1"/>
  <c r="N8" i="1"/>
  <c r="M8" i="1"/>
  <c r="O8" i="1" s="1"/>
  <c r="N9" i="1"/>
  <c r="M9" i="1" s="1"/>
  <c r="O9" i="1" s="1"/>
  <c r="N10" i="1"/>
  <c r="M10" i="1"/>
  <c r="O10" i="1" s="1"/>
  <c r="N11" i="1"/>
  <c r="M11" i="1" s="1"/>
  <c r="N12" i="1"/>
  <c r="M12" i="1" s="1"/>
  <c r="O12" i="1"/>
  <c r="N13" i="1"/>
  <c r="M13" i="1"/>
  <c r="O13" i="1" s="1"/>
  <c r="N14" i="1"/>
  <c r="M14" i="1" s="1"/>
  <c r="O14" i="1"/>
  <c r="N15" i="1"/>
  <c r="M15" i="1"/>
  <c r="N16" i="1"/>
  <c r="M16" i="1"/>
  <c r="O16" i="1" s="1"/>
  <c r="N17" i="1"/>
  <c r="M17" i="1" s="1"/>
  <c r="O17" i="1"/>
  <c r="N18" i="1"/>
  <c r="M18" i="1"/>
  <c r="O18" i="1" s="1"/>
  <c r="N19" i="1"/>
  <c r="M19" i="1" s="1"/>
  <c r="N20" i="1"/>
  <c r="M20" i="1" s="1"/>
  <c r="O20" i="1" s="1"/>
  <c r="N21" i="1"/>
  <c r="M21" i="1"/>
  <c r="O21" i="1" s="1"/>
  <c r="N22" i="1"/>
  <c r="M22" i="1" s="1"/>
  <c r="O22" i="1" s="1"/>
  <c r="N23" i="1"/>
  <c r="M23" i="1"/>
  <c r="N24" i="1"/>
  <c r="M24" i="1"/>
  <c r="O24" i="1" s="1"/>
  <c r="N25" i="1"/>
  <c r="M25" i="1" s="1"/>
  <c r="O25" i="1" s="1"/>
  <c r="N26" i="1"/>
  <c r="M26" i="1"/>
  <c r="O26" i="1" s="1"/>
  <c r="N27" i="1"/>
  <c r="M27" i="1" s="1"/>
  <c r="O27" i="1" s="1"/>
  <c r="N28" i="1"/>
  <c r="M28" i="1"/>
  <c r="N29" i="1"/>
  <c r="M29" i="1"/>
  <c r="O29" i="1" s="1"/>
  <c r="N30" i="1"/>
  <c r="M30" i="1" s="1"/>
  <c r="O30" i="1" s="1"/>
  <c r="N31" i="1"/>
  <c r="M31" i="1"/>
  <c r="O31" i="1" s="1"/>
  <c r="N32" i="1"/>
  <c r="M32" i="1" s="1"/>
  <c r="O32" i="1" s="1"/>
  <c r="N33" i="1"/>
  <c r="M33" i="1"/>
  <c r="O33" i="1" s="1"/>
  <c r="N34" i="1"/>
  <c r="M34" i="1" s="1"/>
  <c r="O34" i="1" s="1"/>
  <c r="N35" i="1"/>
  <c r="M35" i="1"/>
  <c r="O35" i="1" s="1"/>
  <c r="N36" i="1"/>
  <c r="M36" i="1" s="1"/>
  <c r="N37" i="1"/>
  <c r="M37" i="1" s="1"/>
  <c r="O37" i="1"/>
  <c r="N38" i="1"/>
  <c r="M38" i="1"/>
  <c r="O38" i="1" s="1"/>
  <c r="N39" i="1"/>
  <c r="M39" i="1" s="1"/>
  <c r="O39" i="1"/>
  <c r="N40" i="1"/>
  <c r="M40" i="1"/>
  <c r="O40" i="1" s="1"/>
  <c r="N41" i="1"/>
  <c r="M41" i="1" s="1"/>
  <c r="O41" i="1"/>
  <c r="N42" i="1"/>
  <c r="M42" i="1"/>
  <c r="O42" i="1" s="1"/>
  <c r="N43" i="1"/>
  <c r="M43" i="1" s="1"/>
  <c r="O43" i="1"/>
  <c r="N44" i="1"/>
  <c r="M44" i="1"/>
  <c r="O44" i="1" s="1"/>
  <c r="N45" i="1"/>
  <c r="M45" i="1" s="1"/>
  <c r="O45" i="1"/>
  <c r="N46" i="1"/>
  <c r="M46" i="1"/>
  <c r="O46" i="1" s="1"/>
  <c r="N47" i="1"/>
  <c r="M47" i="1" s="1"/>
  <c r="O47" i="1"/>
  <c r="N48" i="1"/>
  <c r="M48" i="1"/>
  <c r="O48" i="1" s="1"/>
  <c r="N49" i="1"/>
  <c r="M49" i="1" s="1"/>
  <c r="O49" i="1"/>
  <c r="N50" i="1"/>
  <c r="M50" i="1"/>
  <c r="O50" i="1" s="1"/>
  <c r="N51" i="1"/>
  <c r="M51" i="1" s="1"/>
  <c r="O51" i="1"/>
  <c r="N53" i="1"/>
  <c r="M53" i="1"/>
  <c r="O53" i="1" s="1"/>
  <c r="N54" i="1"/>
  <c r="M54" i="1" s="1"/>
  <c r="O54" i="1"/>
  <c r="N55" i="1"/>
  <c r="M55" i="1"/>
  <c r="O55" i="1" s="1"/>
  <c r="N56" i="1"/>
  <c r="M56" i="1" s="1"/>
  <c r="O56" i="1"/>
  <c r="N57" i="1"/>
  <c r="M57" i="1"/>
  <c r="O57" i="1" s="1"/>
  <c r="N58" i="1"/>
  <c r="M58" i="1"/>
  <c r="O58" i="1" s="1"/>
  <c r="N60" i="1"/>
  <c r="M60" i="1"/>
  <c r="O60" i="1"/>
  <c r="N61" i="1"/>
  <c r="M61" i="1" s="1"/>
  <c r="O61" i="1"/>
  <c r="N65" i="1"/>
  <c r="M65" i="1"/>
  <c r="O65" i="1" s="1"/>
  <c r="N66" i="1"/>
  <c r="M66" i="1"/>
  <c r="O66" i="1" s="1"/>
  <c r="N67" i="1"/>
  <c r="M67" i="1"/>
  <c r="O67" i="1"/>
  <c r="K4" i="1"/>
  <c r="J4" i="1" s="1"/>
  <c r="L4" i="1"/>
  <c r="K5" i="1"/>
  <c r="J5" i="1"/>
  <c r="L5" i="1" s="1"/>
  <c r="K6" i="1"/>
  <c r="J6" i="1"/>
  <c r="L6" i="1" s="1"/>
  <c r="K7" i="1"/>
  <c r="J7" i="1"/>
  <c r="L7" i="1"/>
  <c r="K8" i="1"/>
  <c r="J8" i="1" s="1"/>
  <c r="L8" i="1"/>
  <c r="K9" i="1"/>
  <c r="J9" i="1"/>
  <c r="L9" i="1" s="1"/>
  <c r="K10" i="1"/>
  <c r="J10" i="1"/>
  <c r="K11" i="1"/>
  <c r="J11" i="1" s="1"/>
  <c r="L11" i="1"/>
  <c r="K12" i="1"/>
  <c r="J12" i="1"/>
  <c r="L12" i="1" s="1"/>
  <c r="K13" i="1"/>
  <c r="J13" i="1"/>
  <c r="L13" i="1" s="1"/>
  <c r="K14" i="1"/>
  <c r="J14" i="1"/>
  <c r="L14" i="1"/>
  <c r="K15" i="1"/>
  <c r="J15" i="1" s="1"/>
  <c r="L15" i="1"/>
  <c r="K16" i="1"/>
  <c r="J16" i="1"/>
  <c r="L16" i="1" s="1"/>
  <c r="K17" i="1"/>
  <c r="J17" i="1"/>
  <c r="L17" i="1" s="1"/>
  <c r="K18" i="1"/>
  <c r="J18" i="1"/>
  <c r="K19" i="1"/>
  <c r="J19" i="1" s="1"/>
  <c r="L19" i="1" s="1"/>
  <c r="K20" i="1"/>
  <c r="J20" i="1" s="1"/>
  <c r="L20" i="1" s="1"/>
  <c r="K21" i="1"/>
  <c r="J21" i="1"/>
  <c r="L21" i="1" s="1"/>
  <c r="K22" i="1"/>
  <c r="J22" i="1" s="1"/>
  <c r="L22" i="1" s="1"/>
  <c r="K23" i="1"/>
  <c r="J23" i="1" s="1"/>
  <c r="L23" i="1" s="1"/>
  <c r="K24" i="1"/>
  <c r="J24" i="1" s="1"/>
  <c r="L24" i="1" s="1"/>
  <c r="K25" i="1"/>
  <c r="J25" i="1"/>
  <c r="L25" i="1" s="1"/>
  <c r="K29" i="1"/>
  <c r="J29" i="1" s="1"/>
  <c r="L29" i="1" s="1"/>
  <c r="K30" i="1"/>
  <c r="J30" i="1"/>
  <c r="K31" i="1"/>
  <c r="J31" i="1" s="1"/>
  <c r="L31" i="1"/>
  <c r="K32" i="1"/>
  <c r="J32" i="1"/>
  <c r="L32" i="1" s="1"/>
  <c r="K33" i="1"/>
  <c r="J33" i="1"/>
  <c r="L33" i="1" s="1"/>
  <c r="K34" i="1"/>
  <c r="J34" i="1"/>
  <c r="K35" i="1"/>
  <c r="J35" i="1" s="1"/>
  <c r="L35" i="1" s="1"/>
  <c r="K36" i="1"/>
  <c r="J36" i="1" s="1"/>
  <c r="L36" i="1" s="1"/>
  <c r="K37" i="1"/>
  <c r="J37" i="1"/>
  <c r="K38" i="1"/>
  <c r="J38" i="1"/>
  <c r="L38" i="1" s="1"/>
  <c r="K39" i="1"/>
  <c r="J39" i="1"/>
  <c r="K40" i="1"/>
  <c r="J40" i="1"/>
  <c r="L40" i="1" s="1"/>
  <c r="K41" i="1"/>
  <c r="J41" i="1"/>
  <c r="L41" i="1" s="1"/>
  <c r="K42" i="1"/>
  <c r="J42" i="1"/>
  <c r="L42" i="1"/>
  <c r="K43" i="1"/>
  <c r="J43" i="1" s="1"/>
  <c r="L43" i="1"/>
  <c r="K44" i="1"/>
  <c r="J44" i="1"/>
  <c r="L44" i="1" s="1"/>
  <c r="K45" i="1"/>
  <c r="J45" i="1"/>
  <c r="L45" i="1" s="1"/>
  <c r="K46" i="1"/>
  <c r="J46" i="1"/>
  <c r="L46" i="1"/>
  <c r="K47" i="1"/>
  <c r="J47" i="1" s="1"/>
  <c r="L47" i="1"/>
  <c r="K48" i="1"/>
  <c r="J48" i="1"/>
  <c r="L48" i="1" s="1"/>
  <c r="K49" i="1"/>
  <c r="J49" i="1" s="1"/>
  <c r="L49" i="1" s="1"/>
  <c r="K50" i="1"/>
  <c r="J50" i="1"/>
  <c r="L50" i="1" s="1"/>
  <c r="K51" i="1"/>
  <c r="J51" i="1" s="1"/>
  <c r="L51" i="1" s="1"/>
  <c r="K53" i="1"/>
  <c r="J53" i="1"/>
  <c r="L53" i="1" s="1"/>
  <c r="K57" i="1"/>
  <c r="J57" i="1" s="1"/>
  <c r="L57" i="1" s="1"/>
  <c r="K58" i="1"/>
  <c r="J58" i="1"/>
  <c r="L58" i="1" s="1"/>
  <c r="K65" i="1"/>
  <c r="J65" i="1" s="1"/>
  <c r="L65" i="1" s="1"/>
  <c r="K66" i="1"/>
  <c r="J66" i="1"/>
  <c r="L66" i="1" s="1"/>
  <c r="K67" i="1"/>
  <c r="J67" i="1" s="1"/>
  <c r="L67" i="1" s="1"/>
  <c r="N3" i="1"/>
  <c r="M3" i="1" s="1"/>
  <c r="O3" i="1" s="1"/>
  <c r="K3" i="1"/>
  <c r="J3" i="1"/>
  <c r="L3" i="1" s="1"/>
  <c r="P67" i="1"/>
  <c r="R67" i="1" s="1"/>
  <c r="P66" i="1"/>
  <c r="R66" i="1" s="1"/>
  <c r="P65" i="1"/>
  <c r="R65" i="1" s="1"/>
  <c r="R64" i="1"/>
  <c r="R63" i="1"/>
  <c r="P61" i="1"/>
  <c r="R61" i="1" s="1"/>
  <c r="P54" i="1"/>
  <c r="R54" i="1"/>
  <c r="P55" i="1"/>
  <c r="R55" i="1"/>
  <c r="P57" i="1"/>
  <c r="R57" i="1"/>
  <c r="P58" i="1"/>
  <c r="R58" i="1"/>
  <c r="P60" i="1"/>
  <c r="R60" i="1"/>
  <c r="P53" i="1"/>
  <c r="R53" i="1"/>
  <c r="P51" i="1"/>
  <c r="R51" i="1"/>
  <c r="P46" i="1"/>
  <c r="P45" i="1"/>
  <c r="R45" i="1" s="1"/>
  <c r="P44" i="1"/>
  <c r="P36" i="1"/>
  <c r="R36" i="1" s="1"/>
  <c r="P37" i="1"/>
  <c r="R37" i="1" s="1"/>
  <c r="P38" i="1"/>
  <c r="R38" i="1" s="1"/>
  <c r="P39" i="1"/>
  <c r="R39" i="1" s="1"/>
  <c r="P40" i="1"/>
  <c r="R40" i="1" s="1"/>
  <c r="P41" i="1"/>
  <c r="R41" i="1" s="1"/>
  <c r="P35" i="1"/>
  <c r="R35" i="1" s="1"/>
  <c r="P31" i="1"/>
  <c r="R31" i="1"/>
  <c r="P32" i="1"/>
  <c r="R32" i="1"/>
  <c r="P33" i="1"/>
  <c r="R33" i="1"/>
  <c r="P34" i="1"/>
  <c r="R34" i="1"/>
  <c r="P30" i="1"/>
  <c r="R30" i="1"/>
  <c r="P29" i="1"/>
  <c r="R29" i="1"/>
  <c r="J120" i="1"/>
  <c r="J121" i="1"/>
  <c r="K121" i="1" s="1"/>
  <c r="J122" i="1"/>
  <c r="J123" i="1"/>
  <c r="L123" i="1" s="1"/>
  <c r="J124" i="1"/>
  <c r="J125" i="1"/>
  <c r="L125" i="1" s="1"/>
  <c r="J126" i="1"/>
  <c r="J127" i="1"/>
  <c r="L127" i="1" s="1"/>
  <c r="J128" i="1"/>
  <c r="J129" i="1"/>
  <c r="K129" i="1" s="1"/>
  <c r="J130" i="1"/>
  <c r="J131" i="1"/>
  <c r="K131" i="1" s="1"/>
  <c r="J132" i="1"/>
  <c r="K132" i="1" s="1"/>
  <c r="J133" i="1"/>
  <c r="J134" i="1"/>
  <c r="J135" i="1"/>
  <c r="K135" i="1"/>
  <c r="J136" i="1"/>
  <c r="J137" i="1"/>
  <c r="K137" i="1" s="1"/>
  <c r="J138" i="1"/>
  <c r="J119" i="1"/>
  <c r="L119" i="1" s="1"/>
  <c r="L10" i="1"/>
  <c r="L18" i="1"/>
  <c r="L96" i="1"/>
  <c r="L97" i="1"/>
  <c r="L99" i="1"/>
  <c r="L101" i="1"/>
  <c r="L103" i="1"/>
  <c r="L105" i="1"/>
  <c r="L107" i="1"/>
  <c r="L109" i="1"/>
  <c r="L111" i="1"/>
  <c r="L113" i="1"/>
  <c r="L115" i="1"/>
  <c r="L117" i="1"/>
  <c r="O96" i="1"/>
  <c r="O98" i="1"/>
  <c r="O100" i="1"/>
  <c r="O102" i="1"/>
  <c r="O104" i="1"/>
  <c r="O106" i="1"/>
  <c r="O108" i="1"/>
  <c r="O110" i="1"/>
  <c r="O112" i="1"/>
  <c r="O114" i="1"/>
  <c r="O116" i="1"/>
  <c r="O118" i="1"/>
  <c r="R44" i="1"/>
  <c r="O62" i="1"/>
  <c r="L63" i="1"/>
  <c r="L64" i="1"/>
  <c r="L37" i="1"/>
  <c r="L39" i="1"/>
  <c r="O28" i="1"/>
  <c r="O36" i="1"/>
  <c r="L34" i="1"/>
  <c r="M120" i="1"/>
  <c r="N120" i="1" s="1"/>
  <c r="M121" i="1"/>
  <c r="N121" i="1" s="1"/>
  <c r="M122" i="1"/>
  <c r="O122" i="1" s="1"/>
  <c r="M123" i="1"/>
  <c r="N123" i="1" s="1"/>
  <c r="M124" i="1"/>
  <c r="N124" i="1" s="1"/>
  <c r="M125" i="1"/>
  <c r="N125" i="1" s="1"/>
  <c r="M126" i="1"/>
  <c r="N126" i="1" s="1"/>
  <c r="M127" i="1"/>
  <c r="N127" i="1" s="1"/>
  <c r="M128" i="1"/>
  <c r="N128" i="1" s="1"/>
  <c r="M129" i="1"/>
  <c r="N129" i="1" s="1"/>
  <c r="M130" i="1"/>
  <c r="O130" i="1" s="1"/>
  <c r="M131" i="1"/>
  <c r="N131" i="1" s="1"/>
  <c r="M132" i="1"/>
  <c r="N132" i="1" s="1"/>
  <c r="M133" i="1"/>
  <c r="N133" i="1" s="1"/>
  <c r="M134" i="1"/>
  <c r="N134" i="1" s="1"/>
  <c r="M135" i="1"/>
  <c r="N135" i="1" s="1"/>
  <c r="M136" i="1"/>
  <c r="N136" i="1" s="1"/>
  <c r="M137" i="1"/>
  <c r="N137" i="1" s="1"/>
  <c r="M138" i="1"/>
  <c r="O138" i="1" s="1"/>
  <c r="M119" i="1"/>
  <c r="N119" i="1" s="1"/>
  <c r="L120" i="1"/>
  <c r="L122" i="1"/>
  <c r="L124" i="1"/>
  <c r="L126" i="1"/>
  <c r="L128" i="1"/>
  <c r="L130" i="1"/>
  <c r="L132" i="1"/>
  <c r="L133" i="1"/>
  <c r="L134" i="1"/>
  <c r="L135" i="1"/>
  <c r="L136" i="1"/>
  <c r="L138" i="1"/>
  <c r="R28" i="1"/>
  <c r="Q28" i="1"/>
  <c r="R27" i="1"/>
  <c r="Q27" i="1"/>
  <c r="R26" i="1"/>
  <c r="Q4" i="1"/>
  <c r="Q5" i="1"/>
  <c r="Q6" i="1"/>
  <c r="Q7" i="1"/>
  <c r="Q8" i="1"/>
  <c r="Q9" i="1"/>
  <c r="Q10" i="1"/>
  <c r="Q11" i="1"/>
  <c r="Q12" i="1"/>
  <c r="Q13" i="1"/>
  <c r="Q14" i="1"/>
  <c r="Q15" i="1"/>
  <c r="Q16" i="1"/>
  <c r="Q17" i="1"/>
  <c r="Q18" i="1"/>
  <c r="Q19" i="1"/>
  <c r="Q20" i="1"/>
  <c r="Q21" i="1"/>
  <c r="Q22" i="1"/>
  <c r="Q23" i="1"/>
  <c r="Q24" i="1"/>
  <c r="Q25" i="1"/>
  <c r="Q3" i="1"/>
  <c r="R4" i="1"/>
  <c r="R5" i="1"/>
  <c r="R6" i="1"/>
  <c r="R7" i="1"/>
  <c r="R8" i="1"/>
  <c r="R9" i="1"/>
  <c r="R10" i="1"/>
  <c r="R11" i="1"/>
  <c r="R12" i="1"/>
  <c r="R13" i="1"/>
  <c r="R14" i="1"/>
  <c r="R15" i="1"/>
  <c r="R16" i="1"/>
  <c r="R17" i="1"/>
  <c r="R18" i="1"/>
  <c r="R19" i="1"/>
  <c r="R20" i="1"/>
  <c r="R21" i="1"/>
  <c r="R22" i="1"/>
  <c r="R23" i="1"/>
  <c r="R24" i="1"/>
  <c r="R25" i="1"/>
  <c r="R3" i="1"/>
  <c r="O7" i="1"/>
  <c r="O11" i="1"/>
  <c r="O15" i="1"/>
  <c r="O19" i="1"/>
  <c r="O23" i="1"/>
  <c r="N117" i="1"/>
  <c r="L30" i="1"/>
  <c r="N113" i="1"/>
  <c r="N116" i="1"/>
  <c r="N112" i="1"/>
  <c r="N110" i="1"/>
  <c r="N106" i="1"/>
  <c r="N102" i="1"/>
  <c r="N98" i="1"/>
  <c r="N118" i="1"/>
  <c r="N114" i="1"/>
  <c r="N108" i="1"/>
  <c r="N104" i="1"/>
  <c r="N100" i="1"/>
  <c r="N96" i="1"/>
  <c r="K117" i="1"/>
  <c r="K115" i="1"/>
  <c r="K113" i="1"/>
  <c r="K111" i="1"/>
  <c r="K109" i="1"/>
  <c r="K107" i="1"/>
  <c r="K105" i="1"/>
  <c r="K103" i="1"/>
  <c r="K101" i="1"/>
  <c r="K99" i="1"/>
  <c r="K97" i="1"/>
  <c r="K96" i="1"/>
  <c r="K119" i="1"/>
  <c r="K123" i="1"/>
  <c r="K138" i="1"/>
  <c r="K134" i="1"/>
  <c r="K133" i="1"/>
  <c r="K130" i="1"/>
  <c r="K126" i="1"/>
  <c r="K122" i="1"/>
  <c r="K136" i="1"/>
  <c r="K128" i="1"/>
  <c r="K124" i="1"/>
  <c r="K120" i="1"/>
  <c r="O137" i="1"/>
  <c r="O133" i="1"/>
  <c r="O129" i="1"/>
  <c r="O125" i="1"/>
  <c r="O121" i="1"/>
  <c r="O136" i="1"/>
  <c r="O132" i="1"/>
  <c r="O128" i="1"/>
  <c r="O124" i="1"/>
  <c r="O120" i="1"/>
  <c r="P42" i="1"/>
  <c r="R42" i="1"/>
  <c r="P43" i="1"/>
  <c r="R43" i="1"/>
  <c r="R46" i="1"/>
  <c r="P47" i="1"/>
  <c r="R47" i="1"/>
  <c r="P48" i="1"/>
  <c r="R48" i="1"/>
  <c r="P49" i="1"/>
  <c r="R49" i="1"/>
  <c r="P50" i="1"/>
  <c r="R50" i="1"/>
  <c r="P56" i="1"/>
  <c r="R56" i="1"/>
  <c r="K27" i="1"/>
  <c r="J27" i="1" s="1"/>
  <c r="L27" i="1" s="1"/>
  <c r="K26" i="1"/>
  <c r="J26" i="1"/>
  <c r="L26" i="1" s="1"/>
  <c r="K28" i="1"/>
  <c r="J28" i="1" s="1"/>
  <c r="L28" i="1" s="1"/>
  <c r="K55" i="1"/>
  <c r="J55" i="1"/>
  <c r="L55" i="1" s="1"/>
  <c r="K54" i="1"/>
  <c r="J54" i="1" s="1"/>
  <c r="L54" i="1" s="1"/>
  <c r="K56" i="1"/>
  <c r="J56" i="1"/>
  <c r="L56" i="1" s="1"/>
  <c r="K60" i="1"/>
  <c r="J60" i="1" s="1"/>
  <c r="L60" i="1" s="1"/>
  <c r="K61" i="1"/>
  <c r="J61" i="1"/>
  <c r="L61" i="1" s="1"/>
  <c r="L62" i="1"/>
  <c r="O63" i="1"/>
  <c r="O64" i="1"/>
  <c r="X226" i="17"/>
  <c r="AL63" i="17"/>
  <c r="AM63" i="17" s="1"/>
  <c r="AL98" i="17"/>
  <c r="AM98" i="17" s="1"/>
  <c r="AG330" i="17"/>
  <c r="AG346" i="17"/>
  <c r="N5" i="11"/>
  <c r="M5" i="11"/>
  <c r="N6" i="11"/>
  <c r="M6" i="11"/>
  <c r="K10" i="11"/>
  <c r="J10" i="11"/>
  <c r="K12" i="11"/>
  <c r="J12" i="11"/>
  <c r="K13" i="11"/>
  <c r="AC13" i="11"/>
  <c r="AD13" i="11" s="1"/>
  <c r="N14" i="11"/>
  <c r="M14" i="11"/>
  <c r="N16" i="11"/>
  <c r="M16" i="11"/>
  <c r="K18" i="11"/>
  <c r="J18" i="11"/>
  <c r="K20" i="11"/>
  <c r="J20" i="11"/>
  <c r="AD20" i="11"/>
  <c r="N22" i="11"/>
  <c r="M22" i="11"/>
  <c r="K26" i="11"/>
  <c r="J26" i="11"/>
  <c r="AD32" i="11"/>
  <c r="M33" i="11"/>
  <c r="N33" i="11"/>
  <c r="K41" i="11"/>
  <c r="J41" i="11"/>
  <c r="AD42" i="11"/>
  <c r="K45" i="11"/>
  <c r="J45" i="11"/>
  <c r="K48" i="11"/>
  <c r="J48" i="11"/>
  <c r="K58" i="11"/>
  <c r="J58" i="11"/>
  <c r="K97" i="11"/>
  <c r="J97" i="11"/>
  <c r="N98" i="11"/>
  <c r="M98" i="11"/>
  <c r="N102" i="11"/>
  <c r="M102" i="11"/>
  <c r="Q103" i="11"/>
  <c r="P103" i="11"/>
  <c r="K109" i="11"/>
  <c r="J109" i="11"/>
  <c r="Q109" i="11"/>
  <c r="P109" i="11"/>
  <c r="N114" i="11"/>
  <c r="M114" i="11"/>
  <c r="K115" i="11"/>
  <c r="J115" i="11"/>
  <c r="K120" i="11"/>
  <c r="J120" i="11"/>
  <c r="K121" i="11"/>
  <c r="J121" i="11"/>
  <c r="K128" i="11"/>
  <c r="J128" i="11"/>
  <c r="K129" i="11"/>
  <c r="J129" i="11"/>
  <c r="K136" i="11"/>
  <c r="J136" i="11"/>
  <c r="K137" i="11"/>
  <c r="J137" i="11"/>
  <c r="J140" i="9"/>
  <c r="K140" i="9"/>
  <c r="K98" i="1"/>
  <c r="K100" i="1"/>
  <c r="K102" i="1"/>
  <c r="K104" i="1"/>
  <c r="K106" i="1"/>
  <c r="K108" i="1"/>
  <c r="K110" i="1"/>
  <c r="K112" i="1"/>
  <c r="K114" i="1"/>
  <c r="K116" i="1"/>
  <c r="K118" i="1"/>
  <c r="N97" i="1"/>
  <c r="N101" i="1"/>
  <c r="N105" i="1"/>
  <c r="N109" i="1"/>
  <c r="N111" i="1"/>
  <c r="N115" i="1"/>
  <c r="N103" i="1"/>
  <c r="N107" i="1"/>
  <c r="N99" i="1"/>
  <c r="Q117" i="1"/>
  <c r="R97" i="1"/>
  <c r="R105" i="1"/>
  <c r="Q96" i="1"/>
  <c r="R115" i="1"/>
  <c r="R118" i="1"/>
  <c r="R99" i="1"/>
  <c r="R103" i="1"/>
  <c r="R107" i="1"/>
  <c r="R100" i="1"/>
  <c r="R104" i="1"/>
  <c r="N121" i="9"/>
  <c r="K116" i="9"/>
  <c r="N113" i="9"/>
  <c r="K112" i="9"/>
  <c r="J111" i="9"/>
  <c r="M124" i="9"/>
  <c r="P111" i="9"/>
  <c r="M112" i="9"/>
  <c r="M118" i="9"/>
  <c r="J99" i="11"/>
  <c r="J55" i="11"/>
  <c r="AC48" i="11"/>
  <c r="AD48" i="11"/>
  <c r="M43" i="11"/>
  <c r="M39" i="11"/>
  <c r="M21" i="11"/>
  <c r="J11" i="11"/>
  <c r="J135" i="11"/>
  <c r="J119" i="11"/>
  <c r="M108" i="11"/>
  <c r="J107" i="11"/>
  <c r="P105" i="11"/>
  <c r="M104" i="11"/>
  <c r="AC54" i="11"/>
  <c r="AD54" i="11"/>
  <c r="AC45" i="11"/>
  <c r="AD45" i="11"/>
  <c r="AC41" i="11"/>
  <c r="AD41" i="11"/>
  <c r="M60" i="11"/>
  <c r="M56" i="11"/>
  <c r="J35" i="11"/>
  <c r="AC31" i="11"/>
  <c r="AD31" i="11" s="1"/>
  <c r="K5" i="11"/>
  <c r="AC5" i="11"/>
  <c r="AD5" i="11"/>
  <c r="N11" i="11"/>
  <c r="M11" i="11"/>
  <c r="N12" i="11"/>
  <c r="M12" i="11"/>
  <c r="K14" i="11"/>
  <c r="AC14" i="11"/>
  <c r="AD14" i="11" s="1"/>
  <c r="K22" i="11"/>
  <c r="AC22" i="11"/>
  <c r="AD22" i="11"/>
  <c r="N25" i="11"/>
  <c r="M25" i="11"/>
  <c r="N26" i="11"/>
  <c r="M26" i="11"/>
  <c r="M31" i="11"/>
  <c r="N31" i="11"/>
  <c r="M35" i="11"/>
  <c r="N35" i="11"/>
  <c r="N38" i="11"/>
  <c r="M38" i="11"/>
  <c r="K39" i="11"/>
  <c r="J39" i="11"/>
  <c r="AD40" i="11"/>
  <c r="K43" i="11"/>
  <c r="J43" i="11"/>
  <c r="AD44" i="11"/>
  <c r="K46" i="11"/>
  <c r="J46" i="11"/>
  <c r="K50" i="11"/>
  <c r="J50" i="11"/>
  <c r="N54" i="11"/>
  <c r="M54" i="11"/>
  <c r="N55" i="11"/>
  <c r="M55" i="11"/>
  <c r="K56" i="11"/>
  <c r="J56" i="11"/>
  <c r="AD57" i="11"/>
  <c r="K60" i="11"/>
  <c r="J60" i="11"/>
  <c r="Q98" i="11"/>
  <c r="P98" i="11"/>
  <c r="J104" i="11"/>
  <c r="K104" i="11"/>
  <c r="P104" i="11"/>
  <c r="Q104" i="11"/>
  <c r="M105" i="11"/>
  <c r="N105" i="11"/>
  <c r="J106" i="11"/>
  <c r="K106" i="11"/>
  <c r="P106" i="11"/>
  <c r="Q106" i="11"/>
  <c r="M107" i="11"/>
  <c r="N107" i="11"/>
  <c r="J108" i="11"/>
  <c r="K108" i="11"/>
  <c r="N109" i="11"/>
  <c r="M109" i="11"/>
  <c r="K113" i="11"/>
  <c r="N113" i="11"/>
  <c r="M113" i="11"/>
  <c r="Q114" i="11"/>
  <c r="P114" i="11"/>
  <c r="N118" i="11"/>
  <c r="Q118" i="11"/>
  <c r="P118" i="11"/>
  <c r="N120" i="11"/>
  <c r="M120" i="11"/>
  <c r="K126" i="11"/>
  <c r="N126" i="11"/>
  <c r="M126" i="11"/>
  <c r="N128" i="11"/>
  <c r="M128" i="11"/>
  <c r="K134" i="11"/>
  <c r="N134" i="11"/>
  <c r="M134" i="11"/>
  <c r="N136" i="11"/>
  <c r="M136" i="11"/>
  <c r="K136" i="9"/>
  <c r="AB136" i="9"/>
  <c r="AC136" i="9" s="1"/>
  <c r="AB140" i="9"/>
  <c r="AC140" i="9" s="1"/>
  <c r="AB145" i="9"/>
  <c r="AC145" i="9" s="1"/>
  <c r="M77" i="9"/>
  <c r="S77" i="9" s="1"/>
  <c r="N77" i="9"/>
  <c r="J75" i="9"/>
  <c r="K75" i="9"/>
  <c r="P73" i="9"/>
  <c r="Q73" i="9"/>
  <c r="M70" i="9"/>
  <c r="N70" i="9"/>
  <c r="J68" i="9"/>
  <c r="K68" i="9"/>
  <c r="P66" i="9"/>
  <c r="Q66" i="9"/>
  <c r="M65" i="9"/>
  <c r="N65" i="9"/>
  <c r="J64" i="9"/>
  <c r="K64" i="9"/>
  <c r="P61" i="9"/>
  <c r="Q61" i="9"/>
  <c r="M60" i="9"/>
  <c r="N60" i="9"/>
  <c r="J59" i="9"/>
  <c r="K59" i="9"/>
  <c r="J69" i="9"/>
  <c r="K69" i="9"/>
  <c r="P29" i="9"/>
  <c r="Q29" i="9"/>
  <c r="M72" i="9"/>
  <c r="N72" i="9"/>
  <c r="P54" i="9"/>
  <c r="Q54" i="9"/>
  <c r="N41" i="9"/>
  <c r="M41" i="9"/>
  <c r="J76" i="9"/>
  <c r="K76" i="9"/>
  <c r="N95" i="9"/>
  <c r="M95" i="9"/>
  <c r="K97" i="9"/>
  <c r="AB97" i="9"/>
  <c r="AC97" i="9" s="1"/>
  <c r="M43" i="9"/>
  <c r="N43" i="9"/>
  <c r="L52" i="1"/>
  <c r="N52" i="1"/>
  <c r="T52" i="1"/>
  <c r="K34" i="9"/>
  <c r="Q47" i="9"/>
  <c r="N50" i="9"/>
  <c r="N57" i="9"/>
  <c r="K61" i="9"/>
  <c r="Q64" i="9"/>
  <c r="N67" i="9"/>
  <c r="K73" i="9"/>
  <c r="Q75" i="9"/>
  <c r="K47" i="9"/>
  <c r="N48" i="9"/>
  <c r="Q49" i="9"/>
  <c r="K51" i="9"/>
  <c r="N55" i="9"/>
  <c r="Q56" i="9"/>
  <c r="M75" i="9"/>
  <c r="N75" i="9"/>
  <c r="M68" i="9"/>
  <c r="N68" i="9"/>
  <c r="J67" i="9"/>
  <c r="K67" i="9"/>
  <c r="P65" i="9"/>
  <c r="Q65" i="9"/>
  <c r="P60" i="9"/>
  <c r="Q60" i="9"/>
  <c r="M59" i="9"/>
  <c r="N59" i="9"/>
  <c r="P55" i="9"/>
  <c r="Q55" i="9"/>
  <c r="M51" i="9"/>
  <c r="N51" i="9"/>
  <c r="Q76" i="9"/>
  <c r="J97" i="9"/>
  <c r="N97" i="9"/>
  <c r="J72" i="9"/>
  <c r="K72" i="9"/>
  <c r="Q41" i="9"/>
  <c r="P41" i="9"/>
  <c r="AB95" i="9"/>
  <c r="AC95" i="9"/>
  <c r="J95" i="9"/>
  <c r="Q95" i="9"/>
  <c r="P95" i="9"/>
  <c r="P97" i="9"/>
  <c r="Q97" i="9"/>
  <c r="K44" i="9"/>
  <c r="P44" i="9"/>
  <c r="K148" i="9"/>
  <c r="K158" i="9"/>
  <c r="K156" i="9"/>
  <c r="K151" i="9"/>
  <c r="K152" i="9"/>
  <c r="K190" i="9"/>
  <c r="K173" i="9"/>
  <c r="K188" i="9"/>
  <c r="K189" i="9"/>
  <c r="K163" i="9"/>
  <c r="K181" i="9"/>
  <c r="K182" i="9"/>
  <c r="AB187" i="9"/>
  <c r="AC187" i="9" s="1"/>
  <c r="J188" i="9"/>
  <c r="J207" i="9"/>
  <c r="K207" i="9"/>
  <c r="J213" i="9"/>
  <c r="K213" i="9"/>
  <c r="L40" i="8"/>
  <c r="M40" i="8"/>
  <c r="Q226" i="9"/>
  <c r="P226" i="9"/>
  <c r="P210" i="9"/>
  <c r="Q210" i="9"/>
  <c r="P203" i="9"/>
  <c r="Q203" i="9"/>
  <c r="P199" i="9"/>
  <c r="Q199" i="9"/>
  <c r="P194" i="9"/>
  <c r="Q194" i="9"/>
  <c r="P190" i="9"/>
  <c r="Q190" i="9"/>
  <c r="P186" i="9"/>
  <c r="Q186" i="9"/>
  <c r="P182" i="9"/>
  <c r="Q182" i="9"/>
  <c r="P178" i="9"/>
  <c r="Q178" i="9"/>
  <c r="P174" i="9"/>
  <c r="Q174" i="9"/>
  <c r="P170" i="9"/>
  <c r="Q170" i="9"/>
  <c r="P166" i="9"/>
  <c r="Q166" i="9"/>
  <c r="P162" i="9"/>
  <c r="Q162" i="9"/>
  <c r="P158" i="9"/>
  <c r="Q158" i="9"/>
  <c r="P154" i="9"/>
  <c r="Q154" i="9"/>
  <c r="P150" i="9"/>
  <c r="Q150" i="9"/>
  <c r="P146" i="9"/>
  <c r="Q146" i="9"/>
  <c r="P142" i="9"/>
  <c r="Q142" i="9"/>
  <c r="P138" i="9"/>
  <c r="Q138" i="9"/>
  <c r="P134" i="9"/>
  <c r="Q134" i="9"/>
  <c r="P130" i="9"/>
  <c r="Q130" i="9"/>
  <c r="P126" i="9"/>
  <c r="Q126" i="9"/>
  <c r="K210" i="9"/>
  <c r="J155" i="9"/>
  <c r="J222" i="9"/>
  <c r="K194" i="9"/>
  <c r="J193" i="9"/>
  <c r="J180" i="9"/>
  <c r="K147" i="9"/>
  <c r="P6" i="16"/>
  <c r="J191" i="9"/>
  <c r="M41" i="8"/>
  <c r="J39" i="8"/>
  <c r="I39" i="8"/>
  <c r="J41" i="8"/>
  <c r="I41" i="8"/>
  <c r="Q228" i="9"/>
  <c r="N224" i="9"/>
  <c r="N222" i="9"/>
  <c r="N220" i="9"/>
  <c r="N218" i="9"/>
  <c r="N216" i="9"/>
  <c r="N214" i="9"/>
  <c r="N212" i="9"/>
  <c r="N208" i="9"/>
  <c r="N206" i="9"/>
  <c r="P205" i="9"/>
  <c r="Q205" i="9"/>
  <c r="P201" i="9"/>
  <c r="Q201" i="9"/>
  <c r="P197" i="9"/>
  <c r="Q197" i="9"/>
  <c r="P192" i="9"/>
  <c r="Q192" i="9"/>
  <c r="P188" i="9"/>
  <c r="Q188" i="9"/>
  <c r="P184" i="9"/>
  <c r="Q184" i="9"/>
  <c r="P180" i="9"/>
  <c r="Q180" i="9"/>
  <c r="P176" i="9"/>
  <c r="Q176" i="9"/>
  <c r="P172" i="9"/>
  <c r="Q172" i="9"/>
  <c r="P168" i="9"/>
  <c r="Q168" i="9"/>
  <c r="P164" i="9"/>
  <c r="Q164" i="9"/>
  <c r="P160" i="9"/>
  <c r="Q160" i="9"/>
  <c r="P156" i="9"/>
  <c r="Q156" i="9"/>
  <c r="P152" i="9"/>
  <c r="Q152" i="9"/>
  <c r="P148" i="9"/>
  <c r="Q148" i="9"/>
  <c r="P144" i="9"/>
  <c r="Q144" i="9"/>
  <c r="P140" i="9"/>
  <c r="Q140" i="9"/>
  <c r="P136" i="9"/>
  <c r="Q136" i="9"/>
  <c r="P132" i="9"/>
  <c r="Q132" i="9"/>
  <c r="P128" i="9"/>
  <c r="Q128" i="9"/>
  <c r="X377" i="17"/>
  <c r="X375" i="17"/>
  <c r="Y372" i="17"/>
  <c r="X371" i="17"/>
  <c r="Y376" i="17"/>
  <c r="X373" i="17"/>
  <c r="Y370" i="17"/>
  <c r="Y374" i="17"/>
  <c r="Y373" i="17"/>
  <c r="Y371" i="17"/>
  <c r="Y375" i="17"/>
  <c r="X370" i="17"/>
  <c r="X374" i="17"/>
  <c r="X378" i="17"/>
  <c r="Y377" i="17"/>
  <c r="X372" i="17"/>
  <c r="X376" i="17"/>
  <c r="AG343" i="17"/>
  <c r="J202" i="9"/>
  <c r="AB202" i="9"/>
  <c r="AC202" i="9" s="1"/>
  <c r="J198" i="9"/>
  <c r="AB198" i="9"/>
  <c r="AC198" i="9"/>
  <c r="K222" i="9"/>
  <c r="J166" i="9"/>
  <c r="K166" i="9"/>
  <c r="P3" i="16"/>
  <c r="O3" i="16"/>
  <c r="L5" i="16"/>
  <c r="M5" i="16"/>
  <c r="N29" i="9"/>
  <c r="J41" i="9"/>
  <c r="N54" i="9"/>
  <c r="K149" i="9"/>
  <c r="K157" i="9"/>
  <c r="J152" i="9"/>
  <c r="AB168" i="9"/>
  <c r="AC168" i="9" s="1"/>
  <c r="J200" i="9"/>
  <c r="AB200" i="9"/>
  <c r="AC200" i="9"/>
  <c r="O7" i="16"/>
  <c r="P7" i="16"/>
  <c r="J6" i="16"/>
  <c r="I5" i="16"/>
  <c r="J5" i="16"/>
  <c r="M39" i="8"/>
  <c r="AE24" i="17"/>
  <c r="AE12" i="17"/>
  <c r="Y240" i="17"/>
  <c r="S248" i="17"/>
  <c r="S286" i="17"/>
  <c r="S223" i="17"/>
  <c r="U202" i="17"/>
  <c r="U285" i="17"/>
  <c r="U355" i="17"/>
  <c r="U227" i="17"/>
  <c r="Y272" i="17"/>
  <c r="U220" i="17"/>
  <c r="U277" i="17"/>
  <c r="V252" i="17"/>
  <c r="V349" i="17"/>
  <c r="S4" i="17"/>
  <c r="U201" i="17"/>
  <c r="U281" i="17"/>
  <c r="S257" i="17"/>
  <c r="U253" i="17"/>
  <c r="U192" i="17"/>
  <c r="U211" i="17"/>
  <c r="U260" i="17"/>
  <c r="J177" i="9"/>
  <c r="K177" i="9"/>
  <c r="J162" i="9"/>
  <c r="K162" i="9"/>
  <c r="J159" i="9"/>
  <c r="K159" i="9"/>
  <c r="AB201" i="9"/>
  <c r="AC201" i="9" s="1"/>
  <c r="J201" i="9"/>
  <c r="K201" i="9"/>
  <c r="J186" i="9"/>
  <c r="K186" i="9"/>
  <c r="AB185" i="9"/>
  <c r="AC185" i="9" s="1"/>
  <c r="K185" i="9"/>
  <c r="J224" i="9"/>
  <c r="K224" i="9"/>
  <c r="R52" i="1"/>
  <c r="Q90" i="9"/>
  <c r="N73" i="9"/>
  <c r="Q70" i="9"/>
  <c r="K63" i="9"/>
  <c r="Q69" i="9"/>
  <c r="K54" i="9"/>
  <c r="K153" i="9"/>
  <c r="K154" i="9"/>
  <c r="J154" i="9"/>
  <c r="J167" i="9"/>
  <c r="J179" i="9"/>
  <c r="K179" i="9"/>
  <c r="J175" i="9"/>
  <c r="K175" i="9"/>
  <c r="J171" i="9"/>
  <c r="K171" i="9"/>
  <c r="J168" i="9"/>
  <c r="K168" i="9"/>
  <c r="J164" i="9"/>
  <c r="K164" i="9"/>
  <c r="J204" i="9"/>
  <c r="K204" i="9"/>
  <c r="J212" i="9"/>
  <c r="K212" i="9"/>
  <c r="J218" i="9"/>
  <c r="K218" i="9"/>
  <c r="J7" i="16"/>
  <c r="R164" i="17" l="1"/>
  <c r="U217" i="17"/>
  <c r="V305" i="17"/>
  <c r="V353" i="17"/>
  <c r="U272" i="17"/>
  <c r="U240" i="17"/>
  <c r="U294" i="17"/>
  <c r="U226" i="17"/>
  <c r="U280" i="17"/>
  <c r="U218" i="17"/>
  <c r="U215" i="17"/>
  <c r="S143" i="17"/>
  <c r="R129" i="17"/>
  <c r="R143" i="17"/>
  <c r="U205" i="17"/>
  <c r="Y258" i="17"/>
  <c r="S215" i="17"/>
  <c r="U271" i="17"/>
  <c r="U194" i="17"/>
  <c r="S211" i="17"/>
  <c r="S137" i="17"/>
  <c r="R137" i="17"/>
  <c r="U248" i="17"/>
  <c r="U256" i="17"/>
  <c r="U190" i="17"/>
  <c r="U268" i="17"/>
  <c r="U210" i="17"/>
  <c r="S205" i="17"/>
  <c r="S85" i="17"/>
  <c r="S178" i="17"/>
  <c r="S119" i="17"/>
  <c r="U230" i="17"/>
  <c r="V358" i="17"/>
  <c r="U276" i="17"/>
  <c r="U284" i="17"/>
  <c r="U234" i="17"/>
  <c r="U244" i="17"/>
  <c r="V11" i="17"/>
  <c r="U222" i="17"/>
  <c r="U288" i="17"/>
  <c r="V15" i="17"/>
  <c r="S164" i="17"/>
  <c r="V19" i="17"/>
  <c r="V4" i="17"/>
  <c r="V23" i="17"/>
  <c r="U212" i="17"/>
  <c r="Y223" i="17"/>
  <c r="R183" i="17"/>
  <c r="S251" i="17"/>
  <c r="R77" i="17"/>
  <c r="R296" i="17"/>
  <c r="R300" i="17"/>
  <c r="AH283" i="17"/>
  <c r="AI283" i="17" s="1"/>
  <c r="U282" i="17"/>
  <c r="U250" i="17"/>
  <c r="R235" i="17"/>
  <c r="AH279" i="17"/>
  <c r="AI279" i="17" s="1"/>
  <c r="R221" i="17"/>
  <c r="R250" i="17"/>
  <c r="S92" i="17"/>
  <c r="R231" i="17"/>
  <c r="R251" i="17"/>
  <c r="X222" i="17"/>
  <c r="S21" i="17"/>
  <c r="S106" i="17"/>
  <c r="Y13" i="17"/>
  <c r="V17" i="17"/>
  <c r="R180" i="17"/>
  <c r="S76" i="17"/>
  <c r="S19" i="17"/>
  <c r="Y23" i="17"/>
  <c r="S121" i="17"/>
  <c r="R154" i="17"/>
  <c r="S108" i="17"/>
  <c r="S11" i="17"/>
  <c r="Y15" i="17"/>
  <c r="U66" i="17"/>
  <c r="S180" i="17"/>
  <c r="S7" i="17"/>
  <c r="R178" i="17"/>
  <c r="AH146" i="17"/>
  <c r="AI146" i="17" s="1"/>
  <c r="R73" i="17"/>
  <c r="S80" i="17"/>
  <c r="R114" i="17"/>
  <c r="AH150" i="17"/>
  <c r="AI150" i="17" s="1"/>
  <c r="R140" i="17"/>
  <c r="U262" i="17"/>
  <c r="S272" i="17"/>
  <c r="U286" i="17"/>
  <c r="Y271" i="17"/>
  <c r="X235" i="17"/>
  <c r="R246" i="17"/>
  <c r="S263" i="17"/>
  <c r="Y275" i="17"/>
  <c r="X231" i="17"/>
  <c r="R256" i="17"/>
  <c r="X291" i="17"/>
  <c r="R263" i="17"/>
  <c r="U232" i="17"/>
  <c r="X260" i="17"/>
  <c r="R222" i="17"/>
  <c r="AH219" i="17"/>
  <c r="AI219" i="17" s="1"/>
  <c r="X265" i="17"/>
  <c r="S171" i="17"/>
  <c r="U65" i="17"/>
  <c r="S83" i="17"/>
  <c r="R162" i="17"/>
  <c r="AH151" i="17"/>
  <c r="AI151" i="17" s="1"/>
  <c r="AH147" i="17"/>
  <c r="AI147" i="17" s="1"/>
  <c r="R141" i="17"/>
  <c r="R82" i="17"/>
  <c r="S123" i="17"/>
  <c r="S14" i="17"/>
  <c r="S126" i="17"/>
  <c r="R115" i="17"/>
  <c r="S129" i="17"/>
  <c r="R110" i="17"/>
  <c r="S115" i="17"/>
  <c r="R133" i="17"/>
  <c r="R151" i="17"/>
  <c r="R147" i="17"/>
  <c r="R97" i="17"/>
  <c r="S110" i="17"/>
  <c r="S133" i="17"/>
  <c r="S156" i="17"/>
  <c r="S100" i="17"/>
  <c r="V9" i="17"/>
  <c r="R218" i="17"/>
  <c r="U228" i="17"/>
  <c r="S213" i="17"/>
  <c r="U242" i="17"/>
  <c r="U196" i="17"/>
  <c r="S168" i="17"/>
  <c r="U206" i="17"/>
  <c r="S247" i="17"/>
  <c r="U329" i="17"/>
  <c r="R112" i="17"/>
  <c r="X253" i="17"/>
  <c r="R172" i="17"/>
  <c r="X249" i="17"/>
  <c r="S187" i="17"/>
  <c r="X65" i="17"/>
  <c r="X252" i="17"/>
  <c r="R88" i="17"/>
  <c r="Y270" i="17"/>
  <c r="R181" i="17"/>
  <c r="R87" i="17"/>
  <c r="X234" i="17"/>
  <c r="U330" i="17"/>
  <c r="U356" i="17"/>
  <c r="Y269" i="17"/>
  <c r="U224" i="17"/>
  <c r="U67" i="17"/>
  <c r="U214" i="17"/>
  <c r="S209" i="17"/>
  <c r="S271" i="17"/>
  <c r="S113" i="17"/>
  <c r="S117" i="17"/>
  <c r="S135" i="17"/>
  <c r="S81" i="17"/>
  <c r="R64" i="17"/>
  <c r="R113" i="17"/>
  <c r="S229" i="17"/>
  <c r="U198" i="17"/>
  <c r="R158" i="17"/>
  <c r="Y279" i="17"/>
  <c r="S181" i="17"/>
  <c r="X285" i="17"/>
  <c r="AH247" i="17"/>
  <c r="AI247" i="17" s="1"/>
  <c r="S72" i="17"/>
  <c r="S95" i="17"/>
  <c r="R104" i="17"/>
  <c r="U258" i="17"/>
  <c r="AH271" i="17"/>
  <c r="U236" i="17"/>
  <c r="AH154" i="17"/>
  <c r="AI154" i="17" s="1"/>
  <c r="Y283" i="17"/>
  <c r="Y254" i="17"/>
  <c r="S166" i="17"/>
  <c r="R182" i="17"/>
  <c r="U344" i="17"/>
  <c r="U204" i="17"/>
  <c r="U269" i="17"/>
  <c r="S240" i="17"/>
  <c r="U289" i="17"/>
  <c r="U209" i="17"/>
  <c r="S89" i="17"/>
  <c r="S167" i="17"/>
  <c r="AH192" i="17"/>
  <c r="AI192" i="17" s="1"/>
  <c r="AH167" i="17"/>
  <c r="AI167" i="17" s="1"/>
  <c r="R249" i="17"/>
  <c r="AH202" i="17"/>
  <c r="AI202" i="17" s="1"/>
  <c r="AH159" i="17"/>
  <c r="AI159" i="17" s="1"/>
  <c r="S296" i="17"/>
  <c r="S260" i="17"/>
  <c r="S297" i="17"/>
  <c r="S250" i="17"/>
  <c r="S249" i="17"/>
  <c r="S101" i="17"/>
  <c r="AH114" i="17"/>
  <c r="AI114" i="17" s="1"/>
  <c r="R127" i="17"/>
  <c r="S20" i="17"/>
  <c r="V314" i="17"/>
  <c r="V310" i="17"/>
  <c r="U261" i="17"/>
  <c r="AH272" i="17"/>
  <c r="U273" i="17"/>
  <c r="U231" i="17"/>
  <c r="U257" i="17"/>
  <c r="U235" i="17"/>
  <c r="U223" i="17"/>
  <c r="U195" i="17"/>
  <c r="S153" i="17"/>
  <c r="S253" i="17"/>
  <c r="X244" i="17"/>
  <c r="R192" i="17"/>
  <c r="R202" i="17"/>
  <c r="R159" i="17"/>
  <c r="S291" i="17"/>
  <c r="AH268" i="17"/>
  <c r="AI268" i="17" s="1"/>
  <c r="X232" i="17"/>
  <c r="R260" i="17"/>
  <c r="R297" i="17"/>
  <c r="X290" i="17"/>
  <c r="R242" i="17"/>
  <c r="AH253" i="17"/>
  <c r="AI253" i="17" s="1"/>
  <c r="AH257" i="17"/>
  <c r="AI257" i="17" s="1"/>
  <c r="S86" i="17"/>
  <c r="AH101" i="17"/>
  <c r="AI101" i="17" s="1"/>
  <c r="S118" i="17"/>
  <c r="AH127" i="17"/>
  <c r="AI127" i="17" s="1"/>
  <c r="S146" i="17"/>
  <c r="S177" i="17"/>
  <c r="U295" i="17"/>
  <c r="U241" i="17"/>
  <c r="S163" i="17"/>
  <c r="S144" i="17"/>
  <c r="U331" i="17"/>
  <c r="U191" i="17"/>
  <c r="Y287" i="17"/>
  <c r="U249" i="17"/>
  <c r="U199" i="17"/>
  <c r="AH256" i="17"/>
  <c r="R224" i="17"/>
  <c r="X230" i="17"/>
  <c r="S242" i="17"/>
  <c r="AH140" i="17"/>
  <c r="AI140" i="17" s="1"/>
  <c r="AH77" i="17"/>
  <c r="AI77" i="17" s="1"/>
  <c r="AH73" i="17"/>
  <c r="AI73" i="17" s="1"/>
  <c r="S268" i="17"/>
  <c r="X228" i="17"/>
  <c r="X295" i="17"/>
  <c r="AI241" i="17"/>
  <c r="AI254" i="17"/>
  <c r="AI267" i="17"/>
  <c r="S150" i="17"/>
  <c r="Y17" i="17"/>
  <c r="V21" i="17"/>
  <c r="S25" i="17"/>
  <c r="V297" i="17"/>
  <c r="U275" i="17"/>
  <c r="X237" i="17"/>
  <c r="X243" i="17"/>
  <c r="AH148" i="17"/>
  <c r="AI148" i="17" s="1"/>
  <c r="S274" i="17"/>
  <c r="X296" i="17"/>
  <c r="X263" i="17"/>
  <c r="X259" i="17"/>
  <c r="S130" i="17"/>
  <c r="S9" i="17"/>
  <c r="V5" i="17"/>
  <c r="U279" i="17"/>
  <c r="S13" i="17"/>
  <c r="V25" i="17"/>
  <c r="U350" i="17"/>
  <c r="R91" i="17"/>
  <c r="X251" i="17"/>
  <c r="S283" i="17"/>
  <c r="S279" i="17"/>
  <c r="X261" i="17"/>
  <c r="X246" i="17"/>
  <c r="AI262" i="17"/>
  <c r="AI284" i="17"/>
  <c r="S124" i="17"/>
  <c r="U283" i="17"/>
  <c r="V225" i="17"/>
  <c r="U291" i="17"/>
  <c r="R161" i="17"/>
  <c r="U321" i="17"/>
  <c r="U267" i="17"/>
  <c r="U317" i="17"/>
  <c r="U221" i="17"/>
  <c r="U287" i="17"/>
  <c r="R196" i="17"/>
  <c r="AH196" i="17"/>
  <c r="AI196" i="17" s="1"/>
  <c r="S285" i="17"/>
  <c r="R244" i="17"/>
  <c r="R285" i="17"/>
  <c r="X278" i="17"/>
  <c r="S134" i="17"/>
  <c r="S5" i="17"/>
  <c r="Y248" i="17"/>
  <c r="U197" i="17"/>
  <c r="AH269" i="17"/>
  <c r="U290" i="17"/>
  <c r="U274" i="17"/>
  <c r="U270" i="17"/>
  <c r="U263" i="17"/>
  <c r="U346" i="17"/>
  <c r="U216" i="17"/>
  <c r="U200" i="17"/>
  <c r="R195" i="17"/>
  <c r="S91" i="17"/>
  <c r="AH165" i="17"/>
  <c r="AI165" i="17" s="1"/>
  <c r="R170" i="17"/>
  <c r="AH204" i="17"/>
  <c r="AI204" i="17" s="1"/>
  <c r="X189" i="17"/>
  <c r="R233" i="17"/>
  <c r="S231" i="17"/>
  <c r="R148" i="17"/>
  <c r="S277" i="17"/>
  <c r="AH270" i="17"/>
  <c r="AI270" i="17" s="1"/>
  <c r="AH289" i="17"/>
  <c r="AI289" i="17" s="1"/>
  <c r="R281" i="17"/>
  <c r="R236" i="17"/>
  <c r="R94" i="17"/>
  <c r="S98" i="17"/>
  <c r="S111" i="17"/>
  <c r="R116" i="17"/>
  <c r="S120" i="17"/>
  <c r="R130" i="17"/>
  <c r="V24" i="17"/>
  <c r="AH191" i="17"/>
  <c r="AI191" i="17" s="1"/>
  <c r="R226" i="17"/>
  <c r="S233" i="17"/>
  <c r="R142" i="17"/>
  <c r="R138" i="17"/>
  <c r="X256" i="17"/>
  <c r="S254" i="17"/>
  <c r="R289" i="17"/>
  <c r="X276" i="17"/>
  <c r="R262" i="17"/>
  <c r="R291" i="17"/>
  <c r="AI230" i="17"/>
  <c r="AI233" i="17"/>
  <c r="AI273" i="17"/>
  <c r="AH98" i="17"/>
  <c r="AI98" i="17" s="1"/>
  <c r="S107" i="17"/>
  <c r="AH116" i="17"/>
  <c r="AI116" i="17" s="1"/>
  <c r="S161" i="17"/>
  <c r="V20" i="17"/>
  <c r="U328" i="17"/>
  <c r="U247" i="17"/>
  <c r="U359" i="17"/>
  <c r="U342" i="17"/>
  <c r="U278" i="17"/>
  <c r="R165" i="17"/>
  <c r="AH170" i="17"/>
  <c r="AI170" i="17" s="1"/>
  <c r="X245" i="17"/>
  <c r="X67" i="17"/>
  <c r="AH195" i="17"/>
  <c r="AI195" i="17" s="1"/>
  <c r="S99" i="17"/>
  <c r="U296" i="17"/>
  <c r="R199" i="17"/>
  <c r="S269" i="17"/>
  <c r="Y286" i="17"/>
  <c r="R254" i="17"/>
  <c r="R191" i="17"/>
  <c r="R220" i="17"/>
  <c r="R204" i="17"/>
  <c r="AH220" i="17"/>
  <c r="AI220" i="17" s="1"/>
  <c r="R229" i="17"/>
  <c r="AH274" i="17"/>
  <c r="AI274" i="17" s="1"/>
  <c r="S270" i="17"/>
  <c r="X266" i="17"/>
  <c r="X294" i="17"/>
  <c r="R84" i="17"/>
  <c r="R103" i="17"/>
  <c r="U266" i="17"/>
  <c r="U306" i="17"/>
  <c r="U339" i="17"/>
  <c r="S24" i="17"/>
  <c r="AH298" i="17"/>
  <c r="S68" i="17"/>
  <c r="AI237" i="17"/>
  <c r="AI242" i="17"/>
  <c r="V319" i="17"/>
  <c r="V354" i="17"/>
  <c r="U298" i="17"/>
  <c r="R298" i="17"/>
  <c r="X239" i="17"/>
  <c r="S203" i="17"/>
  <c r="R67" i="17"/>
  <c r="R219" i="17"/>
  <c r="R216" i="17"/>
  <c r="S228" i="17"/>
  <c r="AI249" i="17"/>
  <c r="AI250" i="17"/>
  <c r="AI286" i="17"/>
  <c r="U320" i="17"/>
  <c r="V208" i="17"/>
  <c r="V207" i="17"/>
  <c r="V307" i="17"/>
  <c r="S210" i="17"/>
  <c r="R210" i="17"/>
  <c r="S214" i="17"/>
  <c r="R214" i="17"/>
  <c r="AH227" i="17"/>
  <c r="AI227" i="17" s="1"/>
  <c r="R227" i="17"/>
  <c r="S227" i="17"/>
  <c r="S243" i="17"/>
  <c r="R243" i="17"/>
  <c r="X268" i="17"/>
  <c r="Y268" i="17"/>
  <c r="X280" i="17"/>
  <c r="Y280" i="17"/>
  <c r="Y281" i="17"/>
  <c r="X281" i="17"/>
  <c r="X284" i="17"/>
  <c r="Y284" i="17"/>
  <c r="AH295" i="17"/>
  <c r="AI295" i="17" s="1"/>
  <c r="R295" i="17"/>
  <c r="S145" i="17"/>
  <c r="AH145" i="17"/>
  <c r="AI145" i="17" s="1"/>
  <c r="S287" i="17"/>
  <c r="R287" i="17"/>
  <c r="S179" i="17"/>
  <c r="X229" i="17"/>
  <c r="R237" i="17"/>
  <c r="R190" i="17"/>
  <c r="Y282" i="17"/>
  <c r="AH189" i="17"/>
  <c r="AI189" i="17" s="1"/>
  <c r="R189" i="17"/>
  <c r="AH259" i="17"/>
  <c r="AI259" i="17" s="1"/>
  <c r="S259" i="17"/>
  <c r="S75" i="17"/>
  <c r="R75" i="17"/>
  <c r="V316" i="17"/>
  <c r="U316" i="17"/>
  <c r="S258" i="17"/>
  <c r="AH169" i="17"/>
  <c r="AI169" i="17" s="1"/>
  <c r="U341" i="17"/>
  <c r="V229" i="17"/>
  <c r="U203" i="17"/>
  <c r="U255" i="17"/>
  <c r="U233" i="17"/>
  <c r="S201" i="17"/>
  <c r="U237" i="17"/>
  <c r="U189" i="17"/>
  <c r="S125" i="17"/>
  <c r="S131" i="17"/>
  <c r="R135" i="17"/>
  <c r="R66" i="17"/>
  <c r="R184" i="17"/>
  <c r="X242" i="17"/>
  <c r="X236" i="17"/>
  <c r="S230" i="17"/>
  <c r="AH193" i="17"/>
  <c r="AI193" i="17" s="1"/>
  <c r="AH221" i="17"/>
  <c r="AI221" i="17" s="1"/>
  <c r="R193" i="17"/>
  <c r="R206" i="17"/>
  <c r="R228" i="17"/>
  <c r="R145" i="17"/>
  <c r="S295" i="17"/>
  <c r="Y273" i="17"/>
  <c r="Y66" i="17"/>
  <c r="X66" i="17"/>
  <c r="AH245" i="17"/>
  <c r="AI245" i="17" s="1"/>
  <c r="S245" i="17"/>
  <c r="AH252" i="17"/>
  <c r="AI252" i="17" s="1"/>
  <c r="S252" i="17"/>
  <c r="R252" i="17"/>
  <c r="X255" i="17"/>
  <c r="Y255" i="17"/>
  <c r="AH261" i="17"/>
  <c r="AI261" i="17" s="1"/>
  <c r="R261" i="17"/>
  <c r="S102" i="17"/>
  <c r="R102" i="17"/>
  <c r="R93" i="17"/>
  <c r="S93" i="17"/>
  <c r="S90" i="17"/>
  <c r="AH90" i="17"/>
  <c r="AI90" i="17" s="1"/>
  <c r="R78" i="17"/>
  <c r="AH78" i="17"/>
  <c r="AI78" i="17" s="1"/>
  <c r="S74" i="17"/>
  <c r="R74" i="17"/>
  <c r="V265" i="17"/>
  <c r="U265" i="17"/>
  <c r="V7" i="17"/>
  <c r="Y22" i="17"/>
  <c r="S22" i="17"/>
  <c r="V239" i="17"/>
  <c r="U410" i="17"/>
  <c r="T410" i="17" s="1"/>
  <c r="X410" i="17"/>
  <c r="W410" i="17" s="1"/>
  <c r="AH264" i="17"/>
  <c r="AI264" i="17" s="1"/>
  <c r="R264" i="17"/>
  <c r="S264" i="17"/>
  <c r="AH266" i="17"/>
  <c r="AI266" i="17" s="1"/>
  <c r="R266" i="17"/>
  <c r="R273" i="17"/>
  <c r="S273" i="17"/>
  <c r="R275" i="17"/>
  <c r="AH275" i="17"/>
  <c r="AI275" i="17" s="1"/>
  <c r="AH276" i="17"/>
  <c r="AI276" i="17" s="1"/>
  <c r="S276" i="17"/>
  <c r="Y288" i="17"/>
  <c r="X288" i="17"/>
  <c r="S290" i="17"/>
  <c r="AH290" i="17"/>
  <c r="AI290" i="17" s="1"/>
  <c r="AH294" i="17"/>
  <c r="AI294" i="17" s="1"/>
  <c r="R294" i="17"/>
  <c r="S294" i="17"/>
  <c r="R160" i="17"/>
  <c r="S160" i="17"/>
  <c r="R155" i="17"/>
  <c r="S155" i="17"/>
  <c r="S149" i="17"/>
  <c r="AH149" i="17"/>
  <c r="AI149" i="17" s="1"/>
  <c r="S139" i="17"/>
  <c r="R139" i="17"/>
  <c r="V193" i="17"/>
  <c r="U193" i="17"/>
  <c r="Y16" i="17"/>
  <c r="V16" i="17"/>
  <c r="U213" i="17"/>
  <c r="U259" i="17"/>
  <c r="U243" i="17"/>
  <c r="AH234" i="17"/>
  <c r="AH197" i="17"/>
  <c r="AI197" i="17" s="1"/>
  <c r="AH200" i="17"/>
  <c r="AI200" i="17" s="1"/>
  <c r="R217" i="17"/>
  <c r="Y227" i="17"/>
  <c r="X227" i="17"/>
  <c r="AH232" i="17"/>
  <c r="AI232" i="17" s="1"/>
  <c r="R232" i="17"/>
  <c r="R255" i="17"/>
  <c r="AH255" i="17"/>
  <c r="AI255" i="17" s="1"/>
  <c r="S255" i="17"/>
  <c r="Y264" i="17"/>
  <c r="X264" i="17"/>
  <c r="AH265" i="17"/>
  <c r="AI265" i="17" s="1"/>
  <c r="R265" i="17"/>
  <c r="S169" i="17"/>
  <c r="U251" i="17"/>
  <c r="U338" i="17"/>
  <c r="AH190" i="17"/>
  <c r="AI190" i="17" s="1"/>
  <c r="R188" i="17"/>
  <c r="S189" i="17"/>
  <c r="R208" i="17"/>
  <c r="S128" i="17"/>
  <c r="S184" i="17"/>
  <c r="X233" i="17"/>
  <c r="S237" i="17"/>
  <c r="R65" i="17"/>
  <c r="R200" i="17"/>
  <c r="R194" i="17"/>
  <c r="R212" i="17"/>
  <c r="S262" i="17"/>
  <c r="R79" i="17"/>
  <c r="S232" i="17"/>
  <c r="R230" i="17"/>
  <c r="S172" i="17"/>
  <c r="X262" i="17"/>
  <c r="X297" i="17"/>
  <c r="R198" i="17"/>
  <c r="S198" i="17"/>
  <c r="S197" i="17"/>
  <c r="Y250" i="17"/>
  <c r="X250" i="17"/>
  <c r="X274" i="17"/>
  <c r="Y274" i="17"/>
  <c r="S278" i="17"/>
  <c r="R280" i="17"/>
  <c r="AH280" i="17"/>
  <c r="AI280" i="17" s="1"/>
  <c r="R282" i="17"/>
  <c r="AH282" i="17"/>
  <c r="AI282" i="17" s="1"/>
  <c r="R284" i="17"/>
  <c r="S284" i="17"/>
  <c r="AH287" i="17"/>
  <c r="AI287" i="17" s="1"/>
  <c r="AH288" i="17"/>
  <c r="AI288" i="17" s="1"/>
  <c r="S288" i="17"/>
  <c r="S299" i="17"/>
  <c r="S157" i="17"/>
  <c r="R157" i="17"/>
  <c r="S152" i="17"/>
  <c r="R136" i="17"/>
  <c r="S136" i="17"/>
  <c r="AH132" i="17"/>
  <c r="AI132" i="17" s="1"/>
  <c r="R132" i="17"/>
  <c r="R122" i="17"/>
  <c r="S122" i="17"/>
  <c r="S109" i="17"/>
  <c r="R109" i="17"/>
  <c r="R105" i="17"/>
  <c r="AH105" i="17"/>
  <c r="AI105" i="17" s="1"/>
  <c r="S105" i="17"/>
  <c r="R96" i="17"/>
  <c r="AH96" i="17"/>
  <c r="AI96" i="17" s="1"/>
  <c r="S234" i="17"/>
  <c r="U343" i="17"/>
  <c r="V22" i="17"/>
  <c r="AI231" i="17"/>
  <c r="AI260" i="17"/>
  <c r="AI297" i="17"/>
  <c r="V14" i="17"/>
  <c r="AI228" i="17"/>
  <c r="AI292" i="17"/>
  <c r="AI256" i="17"/>
  <c r="AI263" i="17"/>
  <c r="O126" i="1"/>
  <c r="O134" i="1"/>
  <c r="O123" i="1"/>
  <c r="O131" i="1"/>
  <c r="O119" i="1"/>
  <c r="K125" i="1"/>
  <c r="K127" i="1"/>
  <c r="L137" i="1"/>
  <c r="L129" i="1"/>
  <c r="L121" i="1"/>
  <c r="N138" i="1"/>
  <c r="N130" i="1"/>
  <c r="N122" i="1"/>
  <c r="R112" i="1"/>
  <c r="R109" i="1"/>
  <c r="Q109" i="1"/>
  <c r="R101" i="1"/>
  <c r="Q101" i="1"/>
  <c r="Q108" i="1"/>
  <c r="R108" i="1"/>
  <c r="O127" i="1"/>
  <c r="O135" i="1"/>
  <c r="L131" i="1"/>
  <c r="R116" i="1"/>
  <c r="Q114" i="1"/>
  <c r="R114" i="1"/>
  <c r="Q106" i="1"/>
  <c r="R106" i="1"/>
  <c r="Q98" i="1"/>
  <c r="R98" i="1"/>
  <c r="J3" i="11"/>
  <c r="N17" i="11"/>
  <c r="N23" i="11"/>
  <c r="Q120" i="9"/>
  <c r="K118" i="9"/>
  <c r="M110" i="9"/>
  <c r="Q109" i="9"/>
  <c r="N108" i="9"/>
  <c r="K107" i="9"/>
  <c r="Q105" i="9"/>
  <c r="N104" i="9"/>
  <c r="K103" i="9"/>
  <c r="P103" i="9"/>
  <c r="J105" i="9"/>
  <c r="M106" i="9"/>
  <c r="P107" i="9"/>
  <c r="J109" i="9"/>
  <c r="P116" i="9"/>
  <c r="AC34" i="11"/>
  <c r="AD34" i="11" s="1"/>
  <c r="K29" i="11"/>
  <c r="J19" i="11"/>
  <c r="AC4" i="11"/>
  <c r="AD4" i="11" s="1"/>
  <c r="K15" i="11"/>
  <c r="AC19" i="11"/>
  <c r="AD19" i="11" s="1"/>
  <c r="N28" i="11"/>
  <c r="K59" i="11"/>
  <c r="J138" i="9"/>
  <c r="K138" i="9"/>
  <c r="N99" i="11"/>
  <c r="N110" i="11"/>
  <c r="K138" i="11"/>
  <c r="J141" i="9"/>
  <c r="K141" i="9"/>
  <c r="J137" i="9"/>
  <c r="K137" i="9"/>
  <c r="Q112" i="9"/>
  <c r="P110" i="9"/>
  <c r="M27" i="11"/>
  <c r="N3" i="11"/>
  <c r="J4" i="11"/>
  <c r="J33" i="11"/>
  <c r="M29" i="11"/>
  <c r="K139" i="9"/>
  <c r="R59" i="1"/>
  <c r="K29" i="9"/>
  <c r="K211" i="9"/>
  <c r="K172" i="9"/>
  <c r="J197" i="9"/>
  <c r="I3" i="16"/>
  <c r="M7" i="16"/>
  <c r="J4" i="16"/>
  <c r="P41" i="8"/>
  <c r="Q224" i="9"/>
  <c r="Q229" i="9"/>
  <c r="N228" i="9"/>
  <c r="Q225" i="9"/>
  <c r="N223" i="9"/>
  <c r="Q218" i="9"/>
  <c r="N217" i="9"/>
  <c r="Q215" i="9"/>
  <c r="Q209" i="9"/>
  <c r="Q206" i="9"/>
  <c r="N204" i="9"/>
  <c r="N203" i="9"/>
  <c r="N200" i="9"/>
  <c r="N199" i="9"/>
  <c r="N195" i="9"/>
  <c r="N194" i="9"/>
  <c r="P187" i="9"/>
  <c r="M186" i="9"/>
  <c r="N186" i="9"/>
  <c r="M179" i="9"/>
  <c r="N179" i="9"/>
  <c r="P171" i="9"/>
  <c r="M170" i="9"/>
  <c r="N170" i="9"/>
  <c r="M163" i="9"/>
  <c r="N163" i="9"/>
  <c r="P155" i="9"/>
  <c r="M154" i="9"/>
  <c r="N154" i="9"/>
  <c r="M147" i="9"/>
  <c r="N147" i="9"/>
  <c r="P139" i="9"/>
  <c r="M138" i="9"/>
  <c r="N138" i="9"/>
  <c r="M131" i="9"/>
  <c r="N131" i="9"/>
  <c r="J90" i="9"/>
  <c r="K49" i="9"/>
  <c r="N89" i="9"/>
  <c r="K91" i="9"/>
  <c r="Q50" i="9"/>
  <c r="N47" i="9"/>
  <c r="P85" i="9"/>
  <c r="P63" i="9"/>
  <c r="Q72" i="9"/>
  <c r="P93" i="9"/>
  <c r="Q78" i="9"/>
  <c r="N93" i="9"/>
  <c r="N44" i="9"/>
  <c r="K160" i="9"/>
  <c r="K192" i="9"/>
  <c r="K174" i="9"/>
  <c r="K229" i="9"/>
  <c r="K215" i="9"/>
  <c r="J220" i="9"/>
  <c r="AB189" i="9"/>
  <c r="AC189" i="9" s="1"/>
  <c r="J199" i="9"/>
  <c r="AB165" i="9"/>
  <c r="AC165" i="9" s="1"/>
  <c r="J161" i="9"/>
  <c r="AB160" i="9"/>
  <c r="AC160" i="9" s="1"/>
  <c r="J192" i="9"/>
  <c r="K180" i="9"/>
  <c r="I40" i="8"/>
  <c r="P40" i="8"/>
  <c r="Q208" i="9"/>
  <c r="N227" i="9"/>
  <c r="N226" i="9"/>
  <c r="Q220" i="9"/>
  <c r="N219" i="9"/>
  <c r="Q217" i="9"/>
  <c r="Q212" i="9"/>
  <c r="N211" i="9"/>
  <c r="N210" i="9"/>
  <c r="N207" i="9"/>
  <c r="Q204" i="9"/>
  <c r="Q200" i="9"/>
  <c r="Q195" i="9"/>
  <c r="P191" i="9"/>
  <c r="M190" i="9"/>
  <c r="N190" i="9"/>
  <c r="M183" i="9"/>
  <c r="N183" i="9"/>
  <c r="P175" i="9"/>
  <c r="M174" i="9"/>
  <c r="N174" i="9"/>
  <c r="M167" i="9"/>
  <c r="N167" i="9"/>
  <c r="P159" i="9"/>
  <c r="M158" i="9"/>
  <c r="N158" i="9"/>
  <c r="M151" i="9"/>
  <c r="N151" i="9"/>
  <c r="P143" i="9"/>
  <c r="M142" i="9"/>
  <c r="N142" i="9"/>
  <c r="M135" i="9"/>
  <c r="N135" i="9"/>
  <c r="P127" i="9"/>
  <c r="M126" i="9"/>
  <c r="N126" i="9"/>
  <c r="M4" i="16"/>
  <c r="M187" i="9"/>
  <c r="N187" i="9"/>
  <c r="P179" i="9"/>
  <c r="M178" i="9"/>
  <c r="N178" i="9"/>
  <c r="M171" i="9"/>
  <c r="N171" i="9"/>
  <c r="P163" i="9"/>
  <c r="M162" i="9"/>
  <c r="N162" i="9"/>
  <c r="M155" i="9"/>
  <c r="N155" i="9"/>
  <c r="P147" i="9"/>
  <c r="M146" i="9"/>
  <c r="N146" i="9"/>
  <c r="M139" i="9"/>
  <c r="N139" i="9"/>
  <c r="P131" i="9"/>
  <c r="M130" i="9"/>
  <c r="N130" i="9"/>
  <c r="J91" i="9"/>
  <c r="K48" i="9"/>
  <c r="K208" i="9"/>
  <c r="K203" i="9"/>
  <c r="K183" i="9"/>
  <c r="AB217" i="9"/>
  <c r="AC217" i="9" s="1"/>
  <c r="J182" i="9"/>
  <c r="J203" i="9"/>
  <c r="M191" i="9"/>
  <c r="N191" i="9"/>
  <c r="M182" i="9"/>
  <c r="N182" i="9"/>
  <c r="M175" i="9"/>
  <c r="N175" i="9"/>
  <c r="M166" i="9"/>
  <c r="N166" i="9"/>
  <c r="M159" i="9"/>
  <c r="N159" i="9"/>
  <c r="M150" i="9"/>
  <c r="N150" i="9"/>
  <c r="M143" i="9"/>
  <c r="N143" i="9"/>
  <c r="M134" i="9"/>
  <c r="N134" i="9"/>
  <c r="M127" i="9"/>
  <c r="N127" i="9"/>
  <c r="V254" i="17"/>
  <c r="U254" i="17"/>
  <c r="V345" i="17"/>
  <c r="U345" i="17"/>
  <c r="R186" i="17"/>
  <c r="S186" i="17"/>
  <c r="AI229" i="17"/>
  <c r="AI251" i="17"/>
  <c r="AI285" i="17"/>
  <c r="AI296" i="17"/>
  <c r="Y247" i="17"/>
  <c r="V340" i="17"/>
  <c r="U340" i="17"/>
  <c r="Y12" i="17"/>
  <c r="V12" i="17"/>
  <c r="Y8" i="17"/>
  <c r="S8" i="17"/>
  <c r="V8" i="17"/>
  <c r="R239" i="17"/>
  <c r="S239" i="17"/>
  <c r="AI291" i="17"/>
  <c r="V347" i="17"/>
  <c r="U347" i="17"/>
  <c r="J196" i="9"/>
  <c r="K196" i="9"/>
  <c r="Y18" i="17"/>
  <c r="V18" i="17"/>
  <c r="S18" i="17"/>
  <c r="R69" i="17"/>
  <c r="S69" i="17"/>
  <c r="Y257" i="17"/>
  <c r="V219" i="17"/>
  <c r="U219" i="17"/>
  <c r="V245" i="17"/>
  <c r="U245" i="17"/>
  <c r="V357" i="17"/>
  <c r="U357" i="17"/>
  <c r="R207" i="17"/>
  <c r="S207" i="17"/>
  <c r="X298" i="17"/>
  <c r="Y298" i="17"/>
  <c r="U246" i="17"/>
  <c r="U264" i="17"/>
  <c r="U318" i="17"/>
  <c r="U325" i="17"/>
  <c r="U332" i="17"/>
  <c r="U348" i="17"/>
  <c r="S26" i="17"/>
  <c r="S10" i="17"/>
  <c r="S6" i="17"/>
  <c r="V313" i="17"/>
  <c r="V309" i="17"/>
  <c r="V312" i="17"/>
  <c r="V308" i="17"/>
  <c r="V26" i="17"/>
  <c r="V10" i="17"/>
  <c r="V6" i="17"/>
  <c r="V315" i="17"/>
  <c r="V311" i="17"/>
</calcChain>
</file>

<file path=xl/sharedStrings.xml><?xml version="1.0" encoding="utf-8"?>
<sst xmlns="http://schemas.openxmlformats.org/spreadsheetml/2006/main" count="8269" uniqueCount="2169">
  <si>
    <t>SU-J6101</t>
  </si>
  <si>
    <t>STANDARD 30X30CM</t>
  </si>
  <si>
    <t>BX</t>
  </si>
  <si>
    <t>No List Price in SAP</t>
  </si>
  <si>
    <t>SU-J6102</t>
  </si>
  <si>
    <t>STANDARD 43X43CM</t>
  </si>
  <si>
    <t>SU-J6103</t>
  </si>
  <si>
    <t>STANDARD 61X61CM</t>
  </si>
  <si>
    <t>SU-J6104</t>
  </si>
  <si>
    <t>STANDARD 71X71CM</t>
  </si>
  <si>
    <t>SU-J6105</t>
  </si>
  <si>
    <t>STANDARD 91.5X91.5CM</t>
  </si>
  <si>
    <t>SU-J6106</t>
  </si>
  <si>
    <t>STANDARD 100X106CM</t>
  </si>
  <si>
    <t>SU-J6107</t>
  </si>
  <si>
    <t>STANDARD 100X140CM</t>
  </si>
  <si>
    <t>SU-J6108</t>
  </si>
  <si>
    <t>STANDARD 121X121CM</t>
  </si>
  <si>
    <t>SU-J6109</t>
  </si>
  <si>
    <t>STANDARD 130X152.5CM</t>
  </si>
  <si>
    <t>SU-J6110</t>
  </si>
  <si>
    <t>STANDARD 183X137CM</t>
  </si>
  <si>
    <t>SU-J6111</t>
  </si>
  <si>
    <t>STANDARD 213.5X213.5CM</t>
  </si>
  <si>
    <t>SU-J6121</t>
  </si>
  <si>
    <t>HEAVY DUTY 71X71CM</t>
  </si>
  <si>
    <t>SU-J6122</t>
  </si>
  <si>
    <t>HEAVY DUTY 91.5X91.5CM</t>
  </si>
  <si>
    <t>SU-J6123</t>
  </si>
  <si>
    <t>HEAVY DUTY 106X120CM</t>
  </si>
  <si>
    <t>SU-J6124</t>
  </si>
  <si>
    <t>HEAVY DUTY 106X140CM</t>
  </si>
  <si>
    <t>SU-J6125</t>
  </si>
  <si>
    <t>HEAVY DUTY 121.5X121.5CM</t>
  </si>
  <si>
    <t>SU-J6126</t>
  </si>
  <si>
    <t>HEAVY DUTY 130X152.5CM</t>
  </si>
  <si>
    <t>SU-J6127</t>
  </si>
  <si>
    <t>HEAVY DUTY 137X183CM</t>
  </si>
  <si>
    <t>SU-J6130</t>
  </si>
  <si>
    <t>ULTRA HEAVY DUTY 106X120CM</t>
  </si>
  <si>
    <t>SU-J6131</t>
  </si>
  <si>
    <t>ULTRA HEAVY DUTY 106X140CM</t>
  </si>
  <si>
    <t>SU-J6132</t>
  </si>
  <si>
    <t>ULTRA HEAVY DUTY 106X160CM</t>
  </si>
  <si>
    <t>SU-J6133</t>
  </si>
  <si>
    <t>ULTRA HEAVY DUTY 121.5X121.5CM</t>
  </si>
  <si>
    <t>SU-J6134</t>
  </si>
  <si>
    <t>ULTRA HEAVY DUTY 137X183CM</t>
  </si>
  <si>
    <t>SU-S60010</t>
  </si>
  <si>
    <t>CLINICOVER LRG 100X225CM 100X225CM</t>
  </si>
  <si>
    <t>SU-S60011</t>
  </si>
  <si>
    <t>CLINICOVER MED 100X110CM 100X110CM</t>
  </si>
  <si>
    <t>SU-S60021</t>
  </si>
  <si>
    <t>CLINICOVER SML 100X70CM 100X70CM</t>
  </si>
  <si>
    <t>SU-S61102</t>
  </si>
  <si>
    <t>SS50 GOWN NON-STERILE MED</t>
  </si>
  <si>
    <t>SU-S61103</t>
  </si>
  <si>
    <t>SS50 GOWN NON-STERILE LRG</t>
  </si>
  <si>
    <t>SU-S61104</t>
  </si>
  <si>
    <t>SS50 GOWN NON-STERILE X-LRG</t>
  </si>
  <si>
    <t>SU-S61105</t>
  </si>
  <si>
    <t>SS50 GOWN NON-STERIEL XX-LRG</t>
  </si>
  <si>
    <t>SU-S61302</t>
  </si>
  <si>
    <t>SS50 POLY GOWN NON-STERILE MED</t>
  </si>
  <si>
    <t>SU-S61303</t>
  </si>
  <si>
    <t>SS50 POLY GOWN NON-STERILE LRG</t>
  </si>
  <si>
    <t>SU-S61304</t>
  </si>
  <si>
    <t>SS50 POLY GOWN NON-STERILE X-LRG</t>
  </si>
  <si>
    <t>SU-S61305</t>
  </si>
  <si>
    <t>SS50 POLY GOWN NON-STERILE XX-LRG</t>
  </si>
  <si>
    <t>SU-S61602</t>
  </si>
  <si>
    <t>SS35 GOWN NON-STERILE MED</t>
  </si>
  <si>
    <t>SU-S61603</t>
  </si>
  <si>
    <t>SS35 GOWN NON-STERILE LRG</t>
  </si>
  <si>
    <t>SU-S61604</t>
  </si>
  <si>
    <t>SS35 GOWN NON-STERILE X-LRG</t>
  </si>
  <si>
    <t>SU-S61605</t>
  </si>
  <si>
    <t>SS35 GOWN NON-STERILE XX-LRG</t>
  </si>
  <si>
    <t>SU-S61702</t>
  </si>
  <si>
    <t>SS35 POLY GOWN NON-STERILE MED</t>
  </si>
  <si>
    <t>SU-S61703</t>
  </si>
  <si>
    <t>SS35 POLY GOWN NON-STERILE LRG</t>
  </si>
  <si>
    <t>SU-S61704</t>
  </si>
  <si>
    <t>SS35 POLY GOWN NON-STERILE X-LRG</t>
  </si>
  <si>
    <t>SU-S61705</t>
  </si>
  <si>
    <t>SS35 POLY GOWN NON-STERILE XX-LRG</t>
  </si>
  <si>
    <t>SU-S61902</t>
  </si>
  <si>
    <t>SS68 IMPERVIOUS BREATHBLE GWN N-STERIL M</t>
  </si>
  <si>
    <t>SU-S61903</t>
  </si>
  <si>
    <t>SS68 IMPERVIOUS BREATHBLE GWN N-STERIL L</t>
  </si>
  <si>
    <t>SU-S61904</t>
  </si>
  <si>
    <t>SS68 IMPERVIUS BREATHBLE GWN N-STERIL XL</t>
  </si>
  <si>
    <t>SU-S61905</t>
  </si>
  <si>
    <t>SS68 IMPERVIUS BREATHBL GWN N-STERIL XXL</t>
  </si>
  <si>
    <t>SU-S70001</t>
  </si>
  <si>
    <t>DISP COTTN OPERATING TOWEL 1'S 43X68CM</t>
  </si>
  <si>
    <t>SU-S70005</t>
  </si>
  <si>
    <t>DISP COTTN OPERATING TOWEL 2'S 43X68CM</t>
  </si>
  <si>
    <t>SU-S70008</t>
  </si>
  <si>
    <t>DISP COTTN OPERATING TOWEL 4'S 43X68CM</t>
  </si>
  <si>
    <t>SU-S71152</t>
  </si>
  <si>
    <t>SS50 1 GOWN 1 COTTN TOWEL STERILE MED</t>
  </si>
  <si>
    <t>SU-S71153</t>
  </si>
  <si>
    <t>SS50 1 GOWN 1 COTTN TOWEL STERILE LRG</t>
  </si>
  <si>
    <t>SU-S71154</t>
  </si>
  <si>
    <t>SS50 1 GOWN 1 COTTN TOWEL STERILE X-LRG</t>
  </si>
  <si>
    <t>SU-S71155</t>
  </si>
  <si>
    <t>SS50 1 GOWN 1 COTTN TOWEL STERILE XX-LRG</t>
  </si>
  <si>
    <t>SU-S71352</t>
  </si>
  <si>
    <t>SS50 1 POLY GOWN 1 COTTN TOWEL STERILE M</t>
  </si>
  <si>
    <t>SU-S71353</t>
  </si>
  <si>
    <t>SS50 1 POLY GOWN 1 COTTN TOWEL STERILE L</t>
  </si>
  <si>
    <t>SU-S71354</t>
  </si>
  <si>
    <t>SS50 1 POLY GOWN 1 COTTN TOWEL STERIL XL</t>
  </si>
  <si>
    <t>SU-S71355</t>
  </si>
  <si>
    <t>SS50 1 POLY GWN 1 COTTN TOWEL STERIL XXL</t>
  </si>
  <si>
    <t>SU-S71652</t>
  </si>
  <si>
    <t>SS35 1 GOWN 1 COTTN TOWEL STERILE MED</t>
  </si>
  <si>
    <t>SU-S71653</t>
  </si>
  <si>
    <t>SS35 1 GOWN 1 COTTN TOWEL STERILE LRG</t>
  </si>
  <si>
    <t>SU-S71654</t>
  </si>
  <si>
    <t>SS35 1 GOWN 1 COTTN TOWEL STERILE X-LRG</t>
  </si>
  <si>
    <t>SU-S71655</t>
  </si>
  <si>
    <t>SS35 1 GOWN 1 COTTN TOWEL STERILE XX-LRG</t>
  </si>
  <si>
    <t>SU-S71663</t>
  </si>
  <si>
    <t>SU-S71752</t>
  </si>
  <si>
    <t>SS35 1 POLY GOWN 1 COTTN TOWEL STERILE M</t>
  </si>
  <si>
    <t>SU-S71753</t>
  </si>
  <si>
    <t>SS35 1 POLY GOWN 1 COTTN TOWEL STERILE L</t>
  </si>
  <si>
    <t>SU-S71754</t>
  </si>
  <si>
    <t>SS35 1 POLY GWN 1 COTTN TOWEL STERILE XL</t>
  </si>
  <si>
    <t>SU-S71755</t>
  </si>
  <si>
    <t>SS35 1 POLY GWN 1 COTTN TOWEL STERIL XXL</t>
  </si>
  <si>
    <t>SU-S71763</t>
  </si>
  <si>
    <t>SS35 2 POLY GWN 2 COTTN TOWELS STERILE L</t>
  </si>
  <si>
    <t>SU-S71801</t>
  </si>
  <si>
    <t>ANESTHETIC GWN SNGLE WTH 1 TOWEL 43X34CM</t>
  </si>
  <si>
    <t>SU-S71952</t>
  </si>
  <si>
    <t>SS68 1 GOWN 1 COTTN HAND TOWEL STERILE M</t>
  </si>
  <si>
    <t>SU-S71953</t>
  </si>
  <si>
    <t>SS68 1 GOWN 1 COTTN HAND TOWEL STERILE L</t>
  </si>
  <si>
    <t>SU-S71954</t>
  </si>
  <si>
    <t>SS68 1 GWN 1 COTTN HAND TOWEL STERIL XL</t>
  </si>
  <si>
    <t>SU-S71955</t>
  </si>
  <si>
    <t>SS68 1 GWN 1 COTTN HAND TOWEL STERIL XXL</t>
  </si>
  <si>
    <t>SU-S72201</t>
  </si>
  <si>
    <t>PLAIN DRAPE 45X75CM</t>
  </si>
  <si>
    <t>SU-S72202</t>
  </si>
  <si>
    <t>PLAIN DRAPE 60X60CM</t>
  </si>
  <si>
    <t>SU-S72203</t>
  </si>
  <si>
    <t>PLAIN DRAPE 90X90CM</t>
  </si>
  <si>
    <t>SU-S72204</t>
  </si>
  <si>
    <t>PLAIN DRAPE 2'S 90X90CM</t>
  </si>
  <si>
    <t>SU-S72206</t>
  </si>
  <si>
    <t>PLAIN DRAPE 75X145CM</t>
  </si>
  <si>
    <t>SU-S72207</t>
  </si>
  <si>
    <t>HALF DRAPE 112X152CM</t>
  </si>
  <si>
    <t>SU-S72208</t>
  </si>
  <si>
    <t>MED DRAPE 112X193CM</t>
  </si>
  <si>
    <t>SU-S72209</t>
  </si>
  <si>
    <t>THREE QUARTER DRAPE 150X193CM</t>
  </si>
  <si>
    <t>SU-S72210</t>
  </si>
  <si>
    <t>LRG DRAPE 182X215CM</t>
  </si>
  <si>
    <t>SU-S72212</t>
  </si>
  <si>
    <t>X-LRG DRAPE 195X247CM</t>
  </si>
  <si>
    <t>SU-S72215</t>
  </si>
  <si>
    <t>SQUARE DRAPE 100X100CM</t>
  </si>
  <si>
    <t>SU-S72221</t>
  </si>
  <si>
    <t>FENESTRATED DPE (6X7.5CM) 45X60CM</t>
  </si>
  <si>
    <t>SU-S72222</t>
  </si>
  <si>
    <t>FENESTRATED DPE (6X7.5CM) 45X75CM</t>
  </si>
  <si>
    <t>SU-S72223</t>
  </si>
  <si>
    <t>FENESTRATED DPE (6X7.5CM) 60X60CM</t>
  </si>
  <si>
    <t>SU-S72226</t>
  </si>
  <si>
    <t>FENESTRATED DPE (6X7.5CM) 90X90CM</t>
  </si>
  <si>
    <t>SU-S72230</t>
  </si>
  <si>
    <t>FENESTRATED DPE (10X15CM) 112X150CM</t>
  </si>
  <si>
    <t>SU-S72250</t>
  </si>
  <si>
    <t>SML REINFRCD SIDE DRAPE 100X100CM</t>
  </si>
  <si>
    <t>SU-S72251</t>
  </si>
  <si>
    <t>REINFRCD SIDE DRAPE 100X95CM</t>
  </si>
  <si>
    <t>SU-S72252</t>
  </si>
  <si>
    <t>REINFRCD TOP DRAPE 270X150CM</t>
  </si>
  <si>
    <t>SU-S72253</t>
  </si>
  <si>
    <t>REINFRCD BOTTOM DRAPE 195X175CM</t>
  </si>
  <si>
    <t>SU-S72255</t>
  </si>
  <si>
    <t>SML SIDE DRAPE 100X100CM</t>
  </si>
  <si>
    <t>SU-S72256</t>
  </si>
  <si>
    <t>LRG TOP DRAPE 300X200CM</t>
  </si>
  <si>
    <t>SU-S72257</t>
  </si>
  <si>
    <t>SIDE DRAPE 100X95CM</t>
  </si>
  <si>
    <t>SU-S72258</t>
  </si>
  <si>
    <t>TOP DRAPE 270X150CM</t>
  </si>
  <si>
    <t>SU-S72259</t>
  </si>
  <si>
    <t>BOTTOM DRAPE 195X175CM</t>
  </si>
  <si>
    <t>SU-S72261</t>
  </si>
  <si>
    <t>ADHESIVE DRPE 6X7.5CM FENESTRATN 60X60CM</t>
  </si>
  <si>
    <t>SU-S72262</t>
  </si>
  <si>
    <t>ADHESIVE DRPE 6X7.5CM FENESTRATN 75X75CM</t>
  </si>
  <si>
    <t>SU-S72263</t>
  </si>
  <si>
    <t>ADHESIVE APERTURE DRAPE 90X90CM</t>
  </si>
  <si>
    <t>SU-S72265</t>
  </si>
  <si>
    <t>ADHESIV DRPE 10X15CM FENSTRATN 112X150CM</t>
  </si>
  <si>
    <t>SU-S72267</t>
  </si>
  <si>
    <t>ADHESIVE DRPE 8X16CM FENSTRATN 120X150CM</t>
  </si>
  <si>
    <t>SU-S72268</t>
  </si>
  <si>
    <t>ADHESIV DRPE 15X15CM FENSTRATN 193X315CM</t>
  </si>
  <si>
    <t>SU-S72269</t>
  </si>
  <si>
    <t>ADHESIV DRPE 5X15CM FENSTRATN  150X180CM</t>
  </si>
  <si>
    <t>SU-S72510</t>
  </si>
  <si>
    <t>LAPAROTOMY DRAPE 254X306CM</t>
  </si>
  <si>
    <t>SU-S72511</t>
  </si>
  <si>
    <t>LAPAROTOMY DRAPE 254X315CM</t>
  </si>
  <si>
    <t>SU-S72521</t>
  </si>
  <si>
    <t>IMPERVIOUS U-DRAPE 152X183CM</t>
  </si>
  <si>
    <t>SU-S72523</t>
  </si>
  <si>
    <t>IMPERVIOUS U-DRAPE 152X213CM</t>
  </si>
  <si>
    <t>SU-S72527</t>
  </si>
  <si>
    <t>PEDIATRIC DRAPE 196X274CM</t>
  </si>
  <si>
    <t>SU-S72528</t>
  </si>
  <si>
    <t>IMPERVIOUS STOCKINETT 18X97CM</t>
  </si>
  <si>
    <t>SU-S72529</t>
  </si>
  <si>
    <t>IMPERVIOUS STOCKINETT 23X97CM</t>
  </si>
  <si>
    <t>SU-S72530</t>
  </si>
  <si>
    <t>IMPERVIOUS STOCKINETT 23X122CM</t>
  </si>
  <si>
    <t>SU-S72532</t>
  </si>
  <si>
    <t>IMPERVIOUS STOCKINETT 33X122CM</t>
  </si>
  <si>
    <t>SU-S72537</t>
  </si>
  <si>
    <t>LEGGINGS 84X130CM</t>
  </si>
  <si>
    <t>SU-S72538</t>
  </si>
  <si>
    <t>PEDIATRIC T-DRAPE 259X307CM</t>
  </si>
  <si>
    <t>SU-S72602</t>
  </si>
  <si>
    <t>HAND AND FOOT DRAPE 195X300CM</t>
  </si>
  <si>
    <t>SU-S72603</t>
  </si>
  <si>
    <t>HAND DRAPE 196X371CM</t>
  </si>
  <si>
    <t>SU-S72605</t>
  </si>
  <si>
    <t>EXTREMITY DRAPE 218X321CM</t>
  </si>
  <si>
    <t>SU-S72606</t>
  </si>
  <si>
    <t>EXTRMITY DRPE WTH ARMBOARD CVR 292X320CM</t>
  </si>
  <si>
    <t>SU-S72607</t>
  </si>
  <si>
    <t>MINOR EXTREMITY DRAPE 178X239CM</t>
  </si>
  <si>
    <t>SU-S72609</t>
  </si>
  <si>
    <t>BILATERAL EXTREMITY DRAPE 273X351CM</t>
  </si>
  <si>
    <t>SU-S72612</t>
  </si>
  <si>
    <t>HIP DRAPE     292X332CM</t>
  </si>
  <si>
    <t>SU-S72615</t>
  </si>
  <si>
    <t>HIP DRAPE WITH POUCHES 285X335CM</t>
  </si>
  <si>
    <t>SU-S72617</t>
  </si>
  <si>
    <t>UNIVERSAL SPINE DRAPE 285X351CM</t>
  </si>
  <si>
    <t>SU-S72620</t>
  </si>
  <si>
    <t>KNEE ARTHO DRPE PCH&amp;AMBRD CVR 292X364CM</t>
  </si>
  <si>
    <t>SU-S72621</t>
  </si>
  <si>
    <t>KNEE ARTHRO DRAPE WITH POUCH 226X334CM</t>
  </si>
  <si>
    <t>SU-S72622</t>
  </si>
  <si>
    <t>BODY SPLIT DRAPE 196X290CM</t>
  </si>
  <si>
    <t>SU-S72623</t>
  </si>
  <si>
    <t>BODY SPLIT DRAPE 224X295CM</t>
  </si>
  <si>
    <t>SU-S72624</t>
  </si>
  <si>
    <t>SHOULDER ARTHROSCOPY DRAPE 254X157CM</t>
  </si>
  <si>
    <t>SU-S72626</t>
  </si>
  <si>
    <t>BEACH CHAIR SHOULDER DRAPE 259X406CM</t>
  </si>
  <si>
    <t>SU-S72710</t>
  </si>
  <si>
    <t>CESEREAN DRPE SQ FENESTRTD FLM 254X307CM</t>
  </si>
  <si>
    <t>SU-S72711</t>
  </si>
  <si>
    <t>CESEREAN DRP TRI FENESTRTD FLM 254X307CM</t>
  </si>
  <si>
    <t>SU-S72720</t>
  </si>
  <si>
    <t>LITHOTOMY T DRAPE 152X221CM</t>
  </si>
  <si>
    <t>SU-S72722</t>
  </si>
  <si>
    <t>LITHOTOMY DRAPE 160X300CM</t>
  </si>
  <si>
    <t>SU-S72723</t>
  </si>
  <si>
    <t>LAPAROSCOPY T DRAPE 249X252CM</t>
  </si>
  <si>
    <t>SU-S72724</t>
  </si>
  <si>
    <t>LAPAROSCPY DRAPE-LITHTOMY PSTN 241X228CM</t>
  </si>
  <si>
    <t>SU-S72726</t>
  </si>
  <si>
    <t>CYCTOSCOPY T DRAPE 163X230CM</t>
  </si>
  <si>
    <t>SU-S72728</t>
  </si>
  <si>
    <t>TUR DRAPE 266X186CM</t>
  </si>
  <si>
    <t>SU-S72802</t>
  </si>
  <si>
    <t>HEAD TURBAN DRAPE 104X82CM</t>
  </si>
  <si>
    <t>SU-S72803</t>
  </si>
  <si>
    <t>HEAD BAR DRAPE 102X69CM</t>
  </si>
  <si>
    <t>SU-S72809</t>
  </si>
  <si>
    <t>EENT SPLIT DRAPE 193X315CM</t>
  </si>
  <si>
    <t>SU-S72812</t>
  </si>
  <si>
    <t>OPHTHALMIC DPE WITH POUCH FILM 165X254CM</t>
  </si>
  <si>
    <t>SU-S72813</t>
  </si>
  <si>
    <t>OPHTHALMIC DPE WTH POUCH FILM 165X279CM</t>
  </si>
  <si>
    <t>SU-S72815</t>
  </si>
  <si>
    <t>OPHTHALMIC DPE WITH POUCH FILM 158X182CM</t>
  </si>
  <si>
    <t>SU-S72816</t>
  </si>
  <si>
    <t>BASIC EYE DRAPE 113X142CM</t>
  </si>
  <si>
    <t>SU-S72901</t>
  </si>
  <si>
    <t>MAYO STAND COVER 61X135CM</t>
  </si>
  <si>
    <t>SU-S72902</t>
  </si>
  <si>
    <t>MAYO STAND COVER 80X145CM</t>
  </si>
  <si>
    <t>SU-S72903</t>
  </si>
  <si>
    <t>MAYO STAND COVERS 80X175CM</t>
  </si>
  <si>
    <t>SU-S72905</t>
  </si>
  <si>
    <t>STANDARD BACK TABLE COVER 112X228CM</t>
  </si>
  <si>
    <t>SU-S72907</t>
  </si>
  <si>
    <t>STANDARD BACK TABLE COVER 127X228CM</t>
  </si>
  <si>
    <t>SU-S72908</t>
  </si>
  <si>
    <t>STANDARD BACK TABLE COVER 152X228CM</t>
  </si>
  <si>
    <t>SU-S72917</t>
  </si>
  <si>
    <t>HD BACK TABLE COVER 127X228CM</t>
  </si>
  <si>
    <t>SU-S72918</t>
  </si>
  <si>
    <t>HD BACK TABLE COVER 152X228CM</t>
  </si>
  <si>
    <t>SU-S72919</t>
  </si>
  <si>
    <t>HD BACK TABLE COVER 196X228CM</t>
  </si>
  <si>
    <t>SU-S72940</t>
  </si>
  <si>
    <t>UNDERBUTTOCK DPE 91X150CM</t>
  </si>
  <si>
    <t>SU-S72941</t>
  </si>
  <si>
    <t>UNDERBUT DPE WTH FLUID CTRL PCH 97X114CM</t>
  </si>
  <si>
    <t>SU-S72942</t>
  </si>
  <si>
    <t>UNDERBUT DPE WTH FLUID CTRL PCH 97X122CM</t>
  </si>
  <si>
    <t>SU-S73102</t>
  </si>
  <si>
    <t>EXTRA LONG CRANIOTOMY DRAPE 254X340CM</t>
  </si>
  <si>
    <t>SU-S73902</t>
  </si>
  <si>
    <t>SU-S73910</t>
  </si>
  <si>
    <t>PERI GROIN DRAPE 208X191CM</t>
  </si>
  <si>
    <t>SU-S73915</t>
  </si>
  <si>
    <t>CV SIDE DRAPE 97X193CM</t>
  </si>
  <si>
    <t>SU-S73920</t>
  </si>
  <si>
    <t>EXTRA LONG ANGIOGRAPHY DRAPE 221X343CM</t>
  </si>
  <si>
    <t>SU-S75251</t>
  </si>
  <si>
    <t>UTILITY DRAPE 40X65CM</t>
  </si>
  <si>
    <t>SU-S75251A</t>
  </si>
  <si>
    <t>UTILITY DRAPE 2'S 40X65CM</t>
  </si>
  <si>
    <t>SU-S79201</t>
  </si>
  <si>
    <t>PLASTIC WATERPROOF SHEET BLUE 120X140CM</t>
  </si>
  <si>
    <t>SU-S80010J</t>
  </si>
  <si>
    <t>MAJOR REINFRCD UNIVERSAL SETS</t>
  </si>
  <si>
    <t>SU-S82601</t>
  </si>
  <si>
    <t>SHOULDER ARTHROSCOPY 2 PIECE PACKS SETS</t>
  </si>
  <si>
    <t>SU-SC82101</t>
  </si>
  <si>
    <t>ABDO PACK POWP</t>
  </si>
  <si>
    <t>SU-SC82805</t>
  </si>
  <si>
    <t>HEAD PACK POWP</t>
  </si>
  <si>
    <t>SU-SC88001</t>
  </si>
  <si>
    <t>COMBO PACK RVEEH</t>
  </si>
  <si>
    <t>SU-SC88002</t>
  </si>
  <si>
    <t>BASIC PACK RVEEH</t>
  </si>
  <si>
    <t>SU-SC89001</t>
  </si>
  <si>
    <t>CARDIAC DRAPE PK SAN</t>
  </si>
  <si>
    <t>Material</t>
  </si>
  <si>
    <t>Material Description</t>
  </si>
  <si>
    <t>BUn</t>
  </si>
  <si>
    <t>Dist Chnl 10</t>
  </si>
  <si>
    <t>Dist Chnl 20</t>
  </si>
  <si>
    <t>Current SAP List Price</t>
  </si>
  <si>
    <t>Product</t>
  </si>
  <si>
    <t>Wrap</t>
  </si>
  <si>
    <t>Gown</t>
  </si>
  <si>
    <t>Drape</t>
  </si>
  <si>
    <t>Gown BNS</t>
  </si>
  <si>
    <t>Towel</t>
  </si>
  <si>
    <t>GHS Cost</t>
  </si>
  <si>
    <t>Bx/pallet</t>
  </si>
  <si>
    <t>EA/box</t>
  </si>
  <si>
    <t>GP%</t>
  </si>
  <si>
    <t>List Price Each</t>
  </si>
  <si>
    <t>List Price Box</t>
  </si>
  <si>
    <t>Dist Price Each</t>
  </si>
  <si>
    <t>Dist Price Box</t>
  </si>
  <si>
    <t>Contract Price Box</t>
  </si>
  <si>
    <t>Contract Price each</t>
  </si>
  <si>
    <t>SS35 2 GOWN 2 COTTN TOWELS STERILE LRG</t>
  </si>
  <si>
    <t>Cover</t>
  </si>
  <si>
    <t>Sub-product</t>
  </si>
  <si>
    <t>Contract Price</t>
  </si>
  <si>
    <t>Drape Custom</t>
  </si>
  <si>
    <t>Epworth Gowns</t>
  </si>
  <si>
    <t>HPV Drapes</t>
  </si>
  <si>
    <t>WA Drapes</t>
  </si>
  <si>
    <t>SJOG Drapes</t>
  </si>
  <si>
    <t>SAN Gowns</t>
  </si>
  <si>
    <t>ARTG Number</t>
  </si>
  <si>
    <t>DISCONTINUED</t>
  </si>
  <si>
    <t>CFN Code</t>
  </si>
  <si>
    <t>CFN Price</t>
  </si>
  <si>
    <t>LWE3506CE</t>
  </si>
  <si>
    <t>LWE3545CE</t>
  </si>
  <si>
    <t>LWE3516CE</t>
  </si>
  <si>
    <t>LWS9505CE</t>
  </si>
  <si>
    <t>LWS9506CE</t>
  </si>
  <si>
    <t>LWS9507CE</t>
  </si>
  <si>
    <t>LWS9526CE</t>
  </si>
  <si>
    <t>LW9011CE</t>
  </si>
  <si>
    <t>LW9041CE</t>
  </si>
  <si>
    <t>LW9071CE</t>
  </si>
  <si>
    <t>LW89015CE</t>
  </si>
  <si>
    <t>LW89045CE</t>
  </si>
  <si>
    <t>LW32474CE</t>
  </si>
  <si>
    <t>LW39079CE</t>
  </si>
  <si>
    <t>8337CE</t>
  </si>
  <si>
    <t>8339CE</t>
  </si>
  <si>
    <t>8371CEA</t>
  </si>
  <si>
    <t>8378CEA</t>
  </si>
  <si>
    <t>8186CEA</t>
  </si>
  <si>
    <t>8380CEA</t>
  </si>
  <si>
    <t>29560CE</t>
  </si>
  <si>
    <t>TB9556CE</t>
  </si>
  <si>
    <t>TB9358CE</t>
  </si>
  <si>
    <t>TB9355CE</t>
  </si>
  <si>
    <t>TB9446CE</t>
  </si>
  <si>
    <t>TB9444CE</t>
  </si>
  <si>
    <t>TB9461CE</t>
  </si>
  <si>
    <t>TB9462CE</t>
  </si>
  <si>
    <t>TB29458CE</t>
  </si>
  <si>
    <t>TB29494CE</t>
  </si>
  <si>
    <t>TB29492CE</t>
  </si>
  <si>
    <t>TB29107CE</t>
  </si>
  <si>
    <t>TB29510CE</t>
  </si>
  <si>
    <t>TB9458CE</t>
  </si>
  <si>
    <t>TB9448CE</t>
  </si>
  <si>
    <t>TB29449CE</t>
  </si>
  <si>
    <t>TB29448CE</t>
  </si>
  <si>
    <t>TB29474CE</t>
  </si>
  <si>
    <t>TB29455CE</t>
  </si>
  <si>
    <t>TB29082CE</t>
  </si>
  <si>
    <t>8483CE</t>
  </si>
  <si>
    <t>8484CE</t>
  </si>
  <si>
    <t>8420CEB</t>
  </si>
  <si>
    <t>TB9562CE</t>
  </si>
  <si>
    <t>TB29419CE</t>
  </si>
  <si>
    <t>TB29415CE</t>
  </si>
  <si>
    <t>TB29405CE</t>
  </si>
  <si>
    <t>TB29417CE</t>
  </si>
  <si>
    <t>TB29429CE</t>
  </si>
  <si>
    <t>TB9423CE</t>
  </si>
  <si>
    <t>TB29369CE</t>
  </si>
  <si>
    <t>TB29436CE</t>
  </si>
  <si>
    <t>8476CE</t>
  </si>
  <si>
    <t>8475CE</t>
  </si>
  <si>
    <t>1586CE</t>
  </si>
  <si>
    <t>1587CE</t>
  </si>
  <si>
    <t>TB29367CE</t>
  </si>
  <si>
    <t>TB31350CE</t>
  </si>
  <si>
    <t>TB29479CE</t>
  </si>
  <si>
    <t>3523CE</t>
  </si>
  <si>
    <t>TB29493CE</t>
  </si>
  <si>
    <t>GITN</t>
  </si>
  <si>
    <t>CODE</t>
  </si>
  <si>
    <t>DESCRIPTION 1</t>
  </si>
  <si>
    <t>UNSPIC</t>
  </si>
  <si>
    <t>Each</t>
  </si>
  <si>
    <t xml:space="preserve">Box </t>
  </si>
  <si>
    <t>Case</t>
  </si>
  <si>
    <t>Category</t>
  </si>
  <si>
    <t>Category Name</t>
  </si>
  <si>
    <t>Sub Category Name</t>
  </si>
  <si>
    <t>UOM</t>
  </si>
  <si>
    <t>Price</t>
  </si>
  <si>
    <t>UOM Price</t>
  </si>
  <si>
    <t>X</t>
  </si>
  <si>
    <t>GOWN ESSENTIAL LARGE</t>
  </si>
  <si>
    <t>00380470245683</t>
  </si>
  <si>
    <t>50380470245688</t>
  </si>
  <si>
    <t>Single Use Surgical Gowns</t>
  </si>
  <si>
    <t>Long sleeved, sterile, tie back or wraparound, fluid repellent (single pack)</t>
  </si>
  <si>
    <t>GOWN ESSENTIAL XL</t>
  </si>
  <si>
    <t>00380470245706</t>
  </si>
  <si>
    <t>50380470245701</t>
  </si>
  <si>
    <t>GOWN ESSENTIAL XLL</t>
  </si>
  <si>
    <t>00380470245690</t>
  </si>
  <si>
    <t>50380470245695</t>
  </si>
  <si>
    <t>GOWN SMART SP S/M</t>
  </si>
  <si>
    <t>00380470238180</t>
  </si>
  <si>
    <t>50380470238185</t>
  </si>
  <si>
    <t>GOWN SMART SP LARGE</t>
  </si>
  <si>
    <t>00380470238197</t>
  </si>
  <si>
    <t>50380470238192</t>
  </si>
  <si>
    <t>GOWN SMART SP XL</t>
  </si>
  <si>
    <t>00380470238203</t>
  </si>
  <si>
    <t>50380470238208</t>
  </si>
  <si>
    <t>LWS9516CE</t>
  </si>
  <si>
    <t>GOWN SMART SP XLL</t>
  </si>
  <si>
    <t>00380470238241</t>
  </si>
  <si>
    <t>50380470238246</t>
  </si>
  <si>
    <t>GOWN SMART SP 2XLL</t>
  </si>
  <si>
    <t>00380470238265</t>
  </si>
  <si>
    <t>50380470238260</t>
  </si>
  <si>
    <t>LWS9525CE</t>
  </si>
  <si>
    <t>GOWN SMART SP LARGE 2PK</t>
  </si>
  <si>
    <t>00380470238258</t>
  </si>
  <si>
    <t>50380470238253</t>
  </si>
  <si>
    <t>Long sleeved, sterile, tie back or wraparound, fluid repellent (double pack)</t>
  </si>
  <si>
    <t>GOWN SMARTSLEEVE LARGE</t>
  </si>
  <si>
    <t>00380470198620</t>
  </si>
  <si>
    <t>50380470198625</t>
  </si>
  <si>
    <t>Long sleeved, sterile, tie back or wraparound, impervious (single pack)</t>
  </si>
  <si>
    <t>GOWN SMARTSLEEVE XL</t>
  </si>
  <si>
    <t>00380470217673</t>
  </si>
  <si>
    <t>50380470217678</t>
  </si>
  <si>
    <t>LW9041ELCE</t>
  </si>
  <si>
    <t>GOWN SMARTSLEEVE XLL</t>
  </si>
  <si>
    <t>00380470229782</t>
  </si>
  <si>
    <t>50380470229787</t>
  </si>
  <si>
    <t>GOWN SMARTSLEEVE 2XLL</t>
  </si>
  <si>
    <t>00380470217680</t>
  </si>
  <si>
    <t>50380470217685</t>
  </si>
  <si>
    <t>LW9560CE</t>
  </si>
  <si>
    <t>GOWN SMARTSLEEVE 3XLL</t>
  </si>
  <si>
    <t>00380470198644</t>
  </si>
  <si>
    <t>50380470198649</t>
  </si>
  <si>
    <t>GOWN SMART IQ LARGE</t>
  </si>
  <si>
    <t>00380470198613</t>
  </si>
  <si>
    <t>50380470198618</t>
  </si>
  <si>
    <t>GOWN SMART IQ XL</t>
  </si>
  <si>
    <t>00380470226224</t>
  </si>
  <si>
    <t>50380470226229</t>
  </si>
  <si>
    <t>GOWN SMART IQ XLL</t>
  </si>
  <si>
    <t>00380470198606</t>
  </si>
  <si>
    <t>50380470198601</t>
  </si>
  <si>
    <t>GOWN SMART IQ 2XLL</t>
  </si>
  <si>
    <t>00380470198637</t>
  </si>
  <si>
    <t>50380470198632</t>
  </si>
  <si>
    <t>LWS9508CE</t>
  </si>
  <si>
    <t>00380470238210</t>
  </si>
  <si>
    <t>50380470238215</t>
  </si>
  <si>
    <t>Long sleeved, sterile, tie back or wraparound, with areas of additional protection (single pack)</t>
  </si>
  <si>
    <t>LWS9509CE</t>
  </si>
  <si>
    <t>00380470238227</t>
  </si>
  <si>
    <t>50380470238222</t>
  </si>
  <si>
    <t>LWS9512CE</t>
  </si>
  <si>
    <t>00380470238234</t>
  </si>
  <si>
    <t>50380470238239</t>
  </si>
  <si>
    <t>D1040</t>
  </si>
  <si>
    <t>DRAPE INCISE SMALL</t>
  </si>
  <si>
    <t>NA</t>
  </si>
  <si>
    <t>Adhesive Incise Drapes</t>
  </si>
  <si>
    <t>Incise Drapes</t>
  </si>
  <si>
    <t>D1050</t>
  </si>
  <si>
    <t>DRAPE INCISE MEDIUM</t>
  </si>
  <si>
    <t>00630140942818</t>
  </si>
  <si>
    <t>10630140942815</t>
  </si>
  <si>
    <t>DRAPE HALF SHEET</t>
  </si>
  <si>
    <t>00380470197845</t>
  </si>
  <si>
    <t>50380470197840</t>
  </si>
  <si>
    <t>General Purpose Drapes</t>
  </si>
  <si>
    <t>General Purpose</t>
  </si>
  <si>
    <t>DRAPE MEDIUM SHEET</t>
  </si>
  <si>
    <t>00380470197838</t>
  </si>
  <si>
    <t>50380470197833</t>
  </si>
  <si>
    <t>TB9349CEA</t>
  </si>
  <si>
    <t>DRAPE 3/4 SHEET</t>
  </si>
  <si>
    <t>00380470250748</t>
  </si>
  <si>
    <t>50380470250743</t>
  </si>
  <si>
    <t>DRAPE LARGE SHEET</t>
  </si>
  <si>
    <t>00380470194394</t>
  </si>
  <si>
    <t>50380470194399</t>
  </si>
  <si>
    <t>DRAPE XLARGE SHEET</t>
  </si>
  <si>
    <t>00380470194547</t>
  </si>
  <si>
    <t>50380470194542</t>
  </si>
  <si>
    <t>DRAPE SQUARE FOLD SHEET</t>
  </si>
  <si>
    <t>00380470194332</t>
  </si>
  <si>
    <t>50380470194337</t>
  </si>
  <si>
    <t>3520CE</t>
  </si>
  <si>
    <t xml:space="preserve">DRAPE TOWEL </t>
  </si>
  <si>
    <t>00630140035763</t>
  </si>
  <si>
    <t>20630140035767</t>
  </si>
  <si>
    <t>50630140035768</t>
  </si>
  <si>
    <t>TB7554CE</t>
  </si>
  <si>
    <t>DRAPE TOWEL W/ADHESIVE</t>
  </si>
  <si>
    <t>00380470227764</t>
  </si>
  <si>
    <t>50380470227769</t>
  </si>
  <si>
    <t>DRAPE SHEET W/ADHESIVE</t>
  </si>
  <si>
    <t>00380470199030</t>
  </si>
  <si>
    <t>50380470199035</t>
  </si>
  <si>
    <t>00380470190419</t>
  </si>
  <si>
    <t>50380470190414</t>
  </si>
  <si>
    <t>DRAPE UTILITY SHEET</t>
  </si>
  <si>
    <t>00380470227771</t>
  </si>
  <si>
    <t>50380470227776</t>
  </si>
  <si>
    <t>General Purpose with fenestartion</t>
  </si>
  <si>
    <t>D1092</t>
  </si>
  <si>
    <t>DRAPE MINOR PROCEDURE</t>
  </si>
  <si>
    <t>00380470227870</t>
  </si>
  <si>
    <t>50380470227875</t>
  </si>
  <si>
    <t>DRAPE TOWEL FENESTRATED</t>
  </si>
  <si>
    <t>00630140035770</t>
  </si>
  <si>
    <t>50630140035775</t>
  </si>
  <si>
    <t>TB29433CE</t>
  </si>
  <si>
    <t>DRAPE SPLIT SHEET</t>
  </si>
  <si>
    <t>General Purpose split</t>
  </si>
  <si>
    <t>TB29434CE</t>
  </si>
  <si>
    <t>00380470227887</t>
  </si>
  <si>
    <t>50380470227882</t>
  </si>
  <si>
    <t>00380470194370</t>
  </si>
  <si>
    <t>50380470194375</t>
  </si>
  <si>
    <t>DRAPE LEGGINGS</t>
  </si>
  <si>
    <t>00380470236025</t>
  </si>
  <si>
    <t>50380470236020</t>
  </si>
  <si>
    <t>Leggings</t>
  </si>
  <si>
    <t>DRAPE MAYO COVER</t>
  </si>
  <si>
    <t>00630140031598</t>
  </si>
  <si>
    <t>50630140031593</t>
  </si>
  <si>
    <t>OR furniture</t>
  </si>
  <si>
    <t>DRAPE MAYO COVER XL</t>
  </si>
  <si>
    <t>00630140019510</t>
  </si>
  <si>
    <t>50630140019515</t>
  </si>
  <si>
    <t>DRAPE BTC SMALL</t>
  </si>
  <si>
    <t>00380470188430</t>
  </si>
  <si>
    <t>50380470188435</t>
  </si>
  <si>
    <t>DRAPE BTC MEDIUM</t>
  </si>
  <si>
    <t>00380470196732</t>
  </si>
  <si>
    <t>50380470196737</t>
  </si>
  <si>
    <t>DRAPE BTC LARGE HD</t>
  </si>
  <si>
    <t>00380470196701</t>
  </si>
  <si>
    <t>50380470196706</t>
  </si>
  <si>
    <t>DRAPE BTC XLARGE HD</t>
  </si>
  <si>
    <t>00380470196749</t>
  </si>
  <si>
    <t>50380470196744</t>
  </si>
  <si>
    <t>D1013</t>
  </si>
  <si>
    <t>DRAPE C-ARM COVER</t>
  </si>
  <si>
    <t>DRAPE ANGIOGRAPHY</t>
  </si>
  <si>
    <t>00380470196954</t>
  </si>
  <si>
    <t>50380470196959</t>
  </si>
  <si>
    <t>Specialty Drapes</t>
  </si>
  <si>
    <t>Angiography</t>
  </si>
  <si>
    <t>00380470038117</t>
  </si>
  <si>
    <t>50380470038112</t>
  </si>
  <si>
    <t>SCVSYBX01B</t>
  </si>
  <si>
    <t>DRAPE CARDIAC</t>
  </si>
  <si>
    <t>42295414</t>
  </si>
  <si>
    <t>09336654012696</t>
  </si>
  <si>
    <t>59336654012691</t>
  </si>
  <si>
    <t xml:space="preserve">Cardiothoracic </t>
  </si>
  <si>
    <t>9154</t>
  </si>
  <si>
    <t xml:space="preserve">DRAPE CV PERI-GROIN </t>
  </si>
  <si>
    <t>00630140030782</t>
  </si>
  <si>
    <t>50630140917590</t>
  </si>
  <si>
    <t>TB9155CE</t>
  </si>
  <si>
    <t>DRAPE CV SPLIT</t>
  </si>
  <si>
    <t>00380470227757</t>
  </si>
  <si>
    <t>50380470227752</t>
  </si>
  <si>
    <t>TB29154CE</t>
  </si>
  <si>
    <t>00380470227740</t>
  </si>
  <si>
    <t>50380470227745</t>
  </si>
  <si>
    <t>TB29420CE</t>
  </si>
  <si>
    <t>DRAPE CHEST/BREAST</t>
  </si>
  <si>
    <t>00380470227788</t>
  </si>
  <si>
    <t>50380470227783</t>
  </si>
  <si>
    <t>General</t>
  </si>
  <si>
    <t>TB29422CE</t>
  </si>
  <si>
    <t>DRAPE THROID</t>
  </si>
  <si>
    <t>00380470231297</t>
  </si>
  <si>
    <t>50380470231292</t>
  </si>
  <si>
    <t>DRAPE LAPAROTOMY INCISE</t>
  </si>
  <si>
    <t>00380470194561</t>
  </si>
  <si>
    <t>50380470194566</t>
  </si>
  <si>
    <t>DRAPE ENDOSCOPY</t>
  </si>
  <si>
    <t>00380470227733</t>
  </si>
  <si>
    <t>50380470227738</t>
  </si>
  <si>
    <t>DRAPE HEAD/BAR</t>
  </si>
  <si>
    <t>00380470194592</t>
  </si>
  <si>
    <t>50380470194597</t>
  </si>
  <si>
    <t>head &amp; neck</t>
  </si>
  <si>
    <t>TB9133CE</t>
  </si>
  <si>
    <t>DRAPE NEONATAL</t>
  </si>
  <si>
    <t>00380470227726</t>
  </si>
  <si>
    <t>50380470227721</t>
  </si>
  <si>
    <t>Neonatal &amp; Paediatric</t>
  </si>
  <si>
    <t>DRAPE PAEDIATRIC</t>
  </si>
  <si>
    <t>00380470194417</t>
  </si>
  <si>
    <t>50380470194412</t>
  </si>
  <si>
    <t>00380470194387</t>
  </si>
  <si>
    <t>50380470194382</t>
  </si>
  <si>
    <t>00380470227832</t>
  </si>
  <si>
    <t>50380470227837</t>
  </si>
  <si>
    <t>TB9777CE</t>
  </si>
  <si>
    <t>DRAPE PAED DIRECT INCISE</t>
  </si>
  <si>
    <t>00380470194554</t>
  </si>
  <si>
    <t>50380470194559</t>
  </si>
  <si>
    <t>DRAPE NEUROLOGICAL</t>
  </si>
  <si>
    <t>00380470227795</t>
  </si>
  <si>
    <t>50380470227790</t>
  </si>
  <si>
    <t>Neurosurgery</t>
  </si>
  <si>
    <t>29418</t>
  </si>
  <si>
    <t>DRAPE UNIVERSAL SPINE</t>
  </si>
  <si>
    <t>00630140030843</t>
  </si>
  <si>
    <t>50630140030848</t>
  </si>
  <si>
    <t>DRAPE LITHOTOMY W/POUCH</t>
  </si>
  <si>
    <t>00380470227825</t>
  </si>
  <si>
    <t>50380470227820</t>
  </si>
  <si>
    <t>O&amp;G</t>
  </si>
  <si>
    <t>DRAPE LAVH</t>
  </si>
  <si>
    <t>00380470231303</t>
  </si>
  <si>
    <t>50380470231308</t>
  </si>
  <si>
    <t>DRAPE CAESAREAN</t>
  </si>
  <si>
    <t>00380470194585</t>
  </si>
  <si>
    <t>50380470194580</t>
  </si>
  <si>
    <t>00380470227863</t>
  </si>
  <si>
    <t>50380470227868</t>
  </si>
  <si>
    <t>TB29452CE</t>
  </si>
  <si>
    <t>00380470194363</t>
  </si>
  <si>
    <t>50380470194368</t>
  </si>
  <si>
    <t>TB29450CE</t>
  </si>
  <si>
    <t>DRAPE LITHOTOMY</t>
  </si>
  <si>
    <t>00380470196817</t>
  </si>
  <si>
    <t>50380470196812</t>
  </si>
  <si>
    <t>DRAPE UNDER-BUTTOCKS</t>
  </si>
  <si>
    <t>00630140031727</t>
  </si>
  <si>
    <t>50630140031722</t>
  </si>
  <si>
    <t>00630140031734</t>
  </si>
  <si>
    <t>50630140031739</t>
  </si>
  <si>
    <t>DRAPE OPHTHALMIC</t>
  </si>
  <si>
    <t>00380470194448</t>
  </si>
  <si>
    <t>50380470194443</t>
  </si>
  <si>
    <t>Ophthalmology</t>
  </si>
  <si>
    <t>8441CE</t>
  </si>
  <si>
    <t>00630140031673</t>
  </si>
  <si>
    <t>50630140031678</t>
  </si>
  <si>
    <t>D1020</t>
  </si>
  <si>
    <t>DRAPE APERTURE</t>
  </si>
  <si>
    <t>00630140942764</t>
  </si>
  <si>
    <t>10630140942761</t>
  </si>
  <si>
    <t>D1024</t>
  </si>
  <si>
    <t>DRAPE OPHTHAL APERTURE</t>
  </si>
  <si>
    <t>00630140942788</t>
  </si>
  <si>
    <t>10630140942785</t>
  </si>
  <si>
    <t>D1061</t>
  </si>
  <si>
    <t>DRAPE OPHTHAL INCISE</t>
  </si>
  <si>
    <t>D1072</t>
  </si>
  <si>
    <t>DRAPE APERTURE POUCH</t>
  </si>
  <si>
    <t>DRAPE HAND</t>
  </si>
  <si>
    <t>00380470189949</t>
  </si>
  <si>
    <t>50380470189944</t>
  </si>
  <si>
    <t>Orthopedics</t>
  </si>
  <si>
    <t>DRAPE BEACH CHAIR</t>
  </si>
  <si>
    <t>00380470194608</t>
  </si>
  <si>
    <t>50380470194603</t>
  </si>
  <si>
    <t>TB29430CE</t>
  </si>
  <si>
    <t>DRAPE HIP</t>
  </si>
  <si>
    <t>00380470194615</t>
  </si>
  <si>
    <t>50380470194610</t>
  </si>
  <si>
    <t>DRAPE HIP WITH POUCH</t>
  </si>
  <si>
    <t>00380470194431</t>
  </si>
  <si>
    <t>50380470194436</t>
  </si>
  <si>
    <t>DRAPE EXTREMITY</t>
  </si>
  <si>
    <t>00380470194325</t>
  </si>
  <si>
    <t>50380470194320</t>
  </si>
  <si>
    <t>DRAPE ARTHROSCOPY</t>
  </si>
  <si>
    <t>00380470194400</t>
  </si>
  <si>
    <t>50380470194405</t>
  </si>
  <si>
    <t>00380470191072</t>
  </si>
  <si>
    <t>50380470191077</t>
  </si>
  <si>
    <t>29416</t>
  </si>
  <si>
    <t>DRAPE BILATERAL LIMB</t>
  </si>
  <si>
    <t>00630140029489</t>
  </si>
  <si>
    <t>50630140029484</t>
  </si>
  <si>
    <t>DRAPE BILAT EXTREMITY</t>
  </si>
  <si>
    <t>00380470227849</t>
  </si>
  <si>
    <t>50380470227844</t>
  </si>
  <si>
    <t>D1014</t>
  </si>
  <si>
    <t>DRAPE ISOLATION</t>
  </si>
  <si>
    <t>00630140942702</t>
  </si>
  <si>
    <t>10630140942709</t>
  </si>
  <si>
    <t>D1017</t>
  </si>
  <si>
    <t>DRAPE ISOLATION POUCHED</t>
  </si>
  <si>
    <t>00630140942733</t>
  </si>
  <si>
    <t>10630140942730</t>
  </si>
  <si>
    <t>DRAPE POLY U-DRAPE</t>
  </si>
  <si>
    <t>00630140031697</t>
  </si>
  <si>
    <t>50630140031692</t>
  </si>
  <si>
    <t>00630140031703</t>
  </si>
  <si>
    <t>50630140031708</t>
  </si>
  <si>
    <t>D1015</t>
  </si>
  <si>
    <t>DRAPE POLY U-DRAPE SMALL</t>
  </si>
  <si>
    <t>00630140942719</t>
  </si>
  <si>
    <t>10630140942716</t>
  </si>
  <si>
    <t>D1019</t>
  </si>
  <si>
    <t>DRAPE POLY U-DRAPE LARGE</t>
  </si>
  <si>
    <t>00630140942757</t>
  </si>
  <si>
    <t>10630140942754</t>
  </si>
  <si>
    <t>D1067</t>
  </si>
  <si>
    <t>DRAPE SHOULDER POUCH</t>
  </si>
  <si>
    <t>00630140942863</t>
  </si>
  <si>
    <t>10630140942860</t>
  </si>
  <si>
    <t>DRAPE TURP</t>
  </si>
  <si>
    <t>00380470238586</t>
  </si>
  <si>
    <t>50380470238581</t>
  </si>
  <si>
    <t>Urology</t>
  </si>
  <si>
    <t>D1071</t>
  </si>
  <si>
    <t>DRAPE UROLOGICAL</t>
  </si>
  <si>
    <t>118CE</t>
  </si>
  <si>
    <t>DRAPE PACK SETUP</t>
  </si>
  <si>
    <t>00630140031512</t>
  </si>
  <si>
    <t>50630140031517</t>
  </si>
  <si>
    <t>Composite Drape Packs</t>
  </si>
  <si>
    <t>Drape Packs - General</t>
  </si>
  <si>
    <t>9101CEA</t>
  </si>
  <si>
    <t>DRAPE PACK BASIC W/GOWNS</t>
  </si>
  <si>
    <t>00380470244693</t>
  </si>
  <si>
    <t>50380470244698</t>
  </si>
  <si>
    <t>TB9100CE</t>
  </si>
  <si>
    <t>DRAPE PACK BASIC</t>
  </si>
  <si>
    <t>00380470194493</t>
  </si>
  <si>
    <t>50380470194498</t>
  </si>
  <si>
    <t>TB9109CE</t>
  </si>
  <si>
    <t>00380470194516</t>
  </si>
  <si>
    <t>50380470194511</t>
  </si>
  <si>
    <t>TB9106CE</t>
  </si>
  <si>
    <t>DRAPE PACK UNIVERSAL</t>
  </si>
  <si>
    <t>00380470194509</t>
  </si>
  <si>
    <t>50380470194504</t>
  </si>
  <si>
    <t>00380470194356</t>
  </si>
  <si>
    <t>50380470194351</t>
  </si>
  <si>
    <t>TB29111CE</t>
  </si>
  <si>
    <t>00380470199023</t>
  </si>
  <si>
    <t>50380470199028</t>
  </si>
  <si>
    <t>TB29131CE</t>
  </si>
  <si>
    <t>DRAPE PACK UNIV SPLIT</t>
  </si>
  <si>
    <t>00380470227818</t>
  </si>
  <si>
    <t>50380470227813</t>
  </si>
  <si>
    <t>TB9194CE</t>
  </si>
  <si>
    <t>DRAPE PACK HEAD AND NECK</t>
  </si>
  <si>
    <t>00380470194523</t>
  </si>
  <si>
    <t>50380470194528</t>
  </si>
  <si>
    <t>Drape Packs - Head &amp; neck</t>
  </si>
  <si>
    <t>TB29604CE</t>
  </si>
  <si>
    <t>DRAPE PACK LAPAROSCOPY</t>
  </si>
  <si>
    <t>00380470246390</t>
  </si>
  <si>
    <t>50380470246395</t>
  </si>
  <si>
    <t>Drape Packs - O&amp;G</t>
  </si>
  <si>
    <t>TB29142CEA</t>
  </si>
  <si>
    <t>00380470245584</t>
  </si>
  <si>
    <t>50380470245589</t>
  </si>
  <si>
    <t>TB29176CEA</t>
  </si>
  <si>
    <t>DRAPE PACK GYNAECOLOGY</t>
  </si>
  <si>
    <t>00380470201597</t>
  </si>
  <si>
    <t>50380470201592</t>
  </si>
  <si>
    <t>TB9175CEA</t>
  </si>
  <si>
    <t>00380470230993</t>
  </si>
  <si>
    <t>50380470230998</t>
  </si>
  <si>
    <t>TB29180CE</t>
  </si>
  <si>
    <t>DRAPE PACK ARTHROSCOPY</t>
  </si>
  <si>
    <t>00380470227856</t>
  </si>
  <si>
    <t>50380470227851</t>
  </si>
  <si>
    <t>Drape Packs - Orthopedic</t>
  </si>
  <si>
    <t>TB29181CE</t>
  </si>
  <si>
    <t>DRAPE PACK GENERAL ORTHO</t>
  </si>
  <si>
    <t>00380470194530</t>
  </si>
  <si>
    <t>50380470194535</t>
  </si>
  <si>
    <t>TB29365CE</t>
  </si>
  <si>
    <t>DRAPE PACK SHOULDER</t>
  </si>
  <si>
    <t>00380470246338</t>
  </si>
  <si>
    <t>50380470246333</t>
  </si>
  <si>
    <t>00380470194455</t>
  </si>
  <si>
    <t>50380470194450</t>
  </si>
  <si>
    <t>TB29471CE</t>
  </si>
  <si>
    <t>DRAPE PACK CYSTOSCOPY</t>
  </si>
  <si>
    <t>00380470246383</t>
  </si>
  <si>
    <t>50380470246388</t>
  </si>
  <si>
    <t>Drape Packs - Urology</t>
  </si>
  <si>
    <t>3524CE</t>
  </si>
  <si>
    <t>DRAPE TAPE</t>
  </si>
  <si>
    <t>00630140031574</t>
  </si>
  <si>
    <t>50630140031579</t>
  </si>
  <si>
    <t>Miscellaneous Draping Items</t>
  </si>
  <si>
    <t>Misc - double wrapped</t>
  </si>
  <si>
    <t>D1018</t>
  </si>
  <si>
    <t>DRAPE INSTRUMENT POUCH</t>
  </si>
  <si>
    <t>00630140942740</t>
  </si>
  <si>
    <t>10630140942747</t>
  </si>
  <si>
    <t>D1016</t>
  </si>
  <si>
    <t>DRAPE FLUID POUCH</t>
  </si>
  <si>
    <t>D2114</t>
  </si>
  <si>
    <t>DRAPE IRRIGATION POUCH</t>
  </si>
  <si>
    <t>10630140943102</t>
  </si>
  <si>
    <t>28700001CEA</t>
  </si>
  <si>
    <t>DRAPE TOWEL BLUE 1PK</t>
  </si>
  <si>
    <t>00380470224053</t>
  </si>
  <si>
    <t>50380470224058</t>
  </si>
  <si>
    <t>28300002CEA</t>
  </si>
  <si>
    <t>DRAPE TOWEL WHITE 2PK</t>
  </si>
  <si>
    <t>00380470224060</t>
  </si>
  <si>
    <t>50380470224065</t>
  </si>
  <si>
    <t>1584CE</t>
  </si>
  <si>
    <t>DRAPE STOCKINETTE SML</t>
  </si>
  <si>
    <t>00630140031536</t>
  </si>
  <si>
    <t>20630140031530</t>
  </si>
  <si>
    <t>50630140031531</t>
  </si>
  <si>
    <t>Stockinette</t>
  </si>
  <si>
    <t>1585CE</t>
  </si>
  <si>
    <t>DRAPE STOCKINETTE MED</t>
  </si>
  <si>
    <t>00630140031543</t>
  </si>
  <si>
    <t>20630140031547</t>
  </si>
  <si>
    <t>50630140031548</t>
  </si>
  <si>
    <t>DRAPE STOCKINETTE LGE</t>
  </si>
  <si>
    <t>00630140031550</t>
  </si>
  <si>
    <t>20630140031554</t>
  </si>
  <si>
    <t>50630140031555</t>
  </si>
  <si>
    <t>DRAPE STOCKINETTE XL</t>
  </si>
  <si>
    <t>00630140031567</t>
  </si>
  <si>
    <t>20630140031561</t>
  </si>
  <si>
    <t>50630140031562</t>
  </si>
  <si>
    <t>1590</t>
  </si>
  <si>
    <t>DRAPE VELCRO TABS</t>
  </si>
  <si>
    <t>00380470069937</t>
  </si>
  <si>
    <t>50380470069932</t>
  </si>
  <si>
    <t>Misc - single wrapped</t>
  </si>
  <si>
    <t>Unit</t>
  </si>
  <si>
    <t xml:space="preserve">DTA List Price </t>
  </si>
  <si>
    <t xml:space="preserve">Diff </t>
  </si>
  <si>
    <t>ACTIVE</t>
  </si>
  <si>
    <t>UOM Cost</t>
  </si>
  <si>
    <t>`</t>
  </si>
  <si>
    <t>LAVH DRAPE 241X228CM</t>
  </si>
  <si>
    <t>SU-S73916</t>
  </si>
  <si>
    <t>CARDIOVASCULAR SPLIT DRAPE</t>
  </si>
  <si>
    <t>SU-S72512</t>
  </si>
  <si>
    <t>THYROID DRAPE 196X311CM</t>
  </si>
  <si>
    <t>BASIC GOWN PACK RVEEH</t>
  </si>
  <si>
    <t>ENT COMBO PACK RVEEH</t>
  </si>
  <si>
    <t>Price each</t>
  </si>
  <si>
    <t>Price Box</t>
  </si>
  <si>
    <t>ABDOMINAL PACK POWP</t>
  </si>
  <si>
    <t>LAPAROTOMY INCISE DRAPE 254X315CM</t>
  </si>
  <si>
    <t>SU-S80001</t>
  </si>
  <si>
    <t>BASIC SET</t>
  </si>
  <si>
    <t>SU-S80011J</t>
  </si>
  <si>
    <t>MINOR UNIVERSAL SET</t>
  </si>
  <si>
    <t>MAJOR UNIVERSAL SET</t>
  </si>
  <si>
    <t>SU-S82801</t>
  </si>
  <si>
    <t>HEAD &amp; NECK SET</t>
  </si>
  <si>
    <t>Drapes BNS</t>
  </si>
  <si>
    <t>DAG</t>
  </si>
  <si>
    <t>List Price</t>
  </si>
  <si>
    <t>STERILE</t>
  </si>
  <si>
    <t>BULK NON STERILE</t>
  </si>
  <si>
    <t>CFN HPV Price</t>
  </si>
  <si>
    <t>FG Code</t>
  </si>
  <si>
    <t>SU-S62201</t>
  </si>
  <si>
    <t>SU-S62202</t>
  </si>
  <si>
    <t>SU-S62203</t>
  </si>
  <si>
    <t>SU-S62206</t>
  </si>
  <si>
    <t>SU-S62207</t>
  </si>
  <si>
    <t>N/S PLAIN DRAPE 45X75CM</t>
  </si>
  <si>
    <t>N/S PLAIN DRAPE 60X60CM</t>
  </si>
  <si>
    <t>N/S PLAIN DRAPE 90X90CM</t>
  </si>
  <si>
    <t>N/S PLAIN DRAPE 75X145CM</t>
  </si>
  <si>
    <t>N/S HALF DRAPE 112X152CM</t>
  </si>
  <si>
    <t>SU-S62208</t>
  </si>
  <si>
    <t>N/S MED DRAPE 112X193CM</t>
  </si>
  <si>
    <t>SU-S62209</t>
  </si>
  <si>
    <t>N/S THREE QUARTER DRAPE 150X193CM</t>
  </si>
  <si>
    <t>SU-S62210</t>
  </si>
  <si>
    <t>N/S LRG DRAPE 182X215CM</t>
  </si>
  <si>
    <t>SU-S62212</t>
  </si>
  <si>
    <t>N/S X-LRG DRAPE 195X247CM</t>
  </si>
  <si>
    <t>SU-S62214</t>
  </si>
  <si>
    <t>SU-S62214U</t>
  </si>
  <si>
    <t>SU-S62215</t>
  </si>
  <si>
    <t>N/S SQUARE DRAPE 100X100CM</t>
  </si>
  <si>
    <t>SU-S62221</t>
  </si>
  <si>
    <t>N/S FENESTRATED DPE (6X7.5CM) 45X60CM</t>
  </si>
  <si>
    <t>SU-S62223</t>
  </si>
  <si>
    <t>N/S FENESTRATED DPE (6X7.5CM) 60X60CM</t>
  </si>
  <si>
    <t>SU-S62226</t>
  </si>
  <si>
    <t>N/S FENESTRATED DPE (6X7.5CM) 90X90CM</t>
  </si>
  <si>
    <t>SU-S62230</t>
  </si>
  <si>
    <t>N/S FENESTRATED DPE (10X15CM) 112X150CM</t>
  </si>
  <si>
    <t>SU-S62250</t>
  </si>
  <si>
    <t>SU-S62251</t>
  </si>
  <si>
    <t>N/S SHORT SIDE DRAPE REINFORCED</t>
  </si>
  <si>
    <t>N/S LONG SIDE DRAPE REINFORCED</t>
  </si>
  <si>
    <t>SU-S62252</t>
  </si>
  <si>
    <t>N/S TOP DRAPE REINFORCED</t>
  </si>
  <si>
    <t>SU-S62253</t>
  </si>
  <si>
    <t>N/S BOTTOM DRAPE REINFORCED</t>
  </si>
  <si>
    <t>SU-S62255</t>
  </si>
  <si>
    <t>N/S SHORT SIDE DRAPE</t>
  </si>
  <si>
    <t>SU-S62257</t>
  </si>
  <si>
    <t>N/S LONG SIDE DRAPE</t>
  </si>
  <si>
    <t>SU-S62258</t>
  </si>
  <si>
    <t>N/S TOP DRAPE</t>
  </si>
  <si>
    <t>SU-S62259</t>
  </si>
  <si>
    <t>N/S BOTTOM DRAPE</t>
  </si>
  <si>
    <t>SU-S62261</t>
  </si>
  <si>
    <t>SU-S62262</t>
  </si>
  <si>
    <t>SU-S62263</t>
  </si>
  <si>
    <t>SU-S62265</t>
  </si>
  <si>
    <t>SU-S62267</t>
  </si>
  <si>
    <t>N/S ADHESIVE DRPE 6X7.5CM FENESTRATN 60X60CM</t>
  </si>
  <si>
    <t>N/S ADHESIVE DRPE 6X7.5CM FENESTRATN 75X75CM</t>
  </si>
  <si>
    <t>N/S ADHESIVE APERTURE DRAPE 90X90CM</t>
  </si>
  <si>
    <t>N/S ADHESIV DRPE 10X15CM FENSTRATN 112X150CM</t>
  </si>
  <si>
    <t>N/S ADHESIVE DRPE 8X16CM FENSTRATN 120X150CM</t>
  </si>
  <si>
    <t>SU-S62603</t>
  </si>
  <si>
    <t>SU-S62605</t>
  </si>
  <si>
    <t>SU-S62606</t>
  </si>
  <si>
    <t>SU-S62609</t>
  </si>
  <si>
    <t>SU-S62615</t>
  </si>
  <si>
    <t>N/S HAND DRAPE 196X371CM</t>
  </si>
  <si>
    <t>N/S EXTREMITY DRAPE 218X321CM</t>
  </si>
  <si>
    <t>N/S EXTRMITY DRPE WTH ARMBOARD CVR 292X320CM</t>
  </si>
  <si>
    <t>N/S BILATERAL EXTREMITY DRAPE 273X351CM</t>
  </si>
  <si>
    <t>N/S HIP DRAPE WITH POUCHES 285X335CM</t>
  </si>
  <si>
    <t>SU-S62619</t>
  </si>
  <si>
    <t>N/S KNEE ARTHROSCOPY DRAPE WITH POUCH</t>
  </si>
  <si>
    <t>SU-S62620</t>
  </si>
  <si>
    <t>N/S KNEE ARTHO DRPE PCH&amp;AMBRD CVR 292X364CM</t>
  </si>
  <si>
    <t>SU-S62622P</t>
  </si>
  <si>
    <t>N/S BEACH CHAIR SHOULDER DRAPE 259X406CM</t>
  </si>
  <si>
    <t>SU-S62626</t>
  </si>
  <si>
    <t>SU-S62624</t>
  </si>
  <si>
    <t>N/S SHOULDER ARTHROSCOPY DRAPE WITH POUCH</t>
  </si>
  <si>
    <t>SU-S62710</t>
  </si>
  <si>
    <t>SU-S62711</t>
  </si>
  <si>
    <t>N/S CAESAREAN DRPE SQ FENESTRTD FLM 254X307CM</t>
  </si>
  <si>
    <t>N/S CAESAREAN DRP TRI FENESTRTD FLM 254X307CM</t>
  </si>
  <si>
    <t>SU-S62720</t>
  </si>
  <si>
    <t>SU-S62722</t>
  </si>
  <si>
    <t>N/S LITHOTOMY T DRAPE 152X221CM</t>
  </si>
  <si>
    <t>N/S LITHOTOMY DRAPE 160X300CM</t>
  </si>
  <si>
    <t>N/S LAPAROSCOPY T DRAPE 249X252CM</t>
  </si>
  <si>
    <t>N/S LAVH DRAPE 241X228CM</t>
  </si>
  <si>
    <t>N/S TUR DRAPE 266X186CM</t>
  </si>
  <si>
    <t>SU-S62723W</t>
  </si>
  <si>
    <t>SU-S62724</t>
  </si>
  <si>
    <t>SU-S62728</t>
  </si>
  <si>
    <t>SU-S62536</t>
  </si>
  <si>
    <t>N/S LEGGINGS 74X109CM (SINGLE)</t>
  </si>
  <si>
    <t>N/S LEGGINGS 84X130CM (SINGLE) XL</t>
  </si>
  <si>
    <t>N/S HEAD TURBAN DRAPE 104X82CM</t>
  </si>
  <si>
    <t>SU-S62537</t>
  </si>
  <si>
    <t>SU-S62802</t>
  </si>
  <si>
    <t>SU-S62809</t>
  </si>
  <si>
    <t>SU-S62812</t>
  </si>
  <si>
    <t>SU-S62813</t>
  </si>
  <si>
    <t>SU-S62815</t>
  </si>
  <si>
    <t>N/S OPHTHALMIC DPE WITH POUCH FILM 165X254CM</t>
  </si>
  <si>
    <t>N/S OPHTHALMIC DPE WTH POUCH FILM 165X279CM</t>
  </si>
  <si>
    <t>N/S OPHTHALMIC DPE WITH POUCH FILM 158X182CM</t>
  </si>
  <si>
    <t>SU-S62227</t>
  </si>
  <si>
    <t>N/S PERI GROIN DRAPE 208X191CM</t>
  </si>
  <si>
    <t>SU-S63910</t>
  </si>
  <si>
    <t>SU-S63914</t>
  </si>
  <si>
    <t>N/S CARDIOVASCULAR SPLIT DRAPE</t>
  </si>
  <si>
    <t>SU-S63920</t>
  </si>
  <si>
    <t>N/S EXTRA LONG ANGIOGRAPHY DRAPE 221X343CM</t>
  </si>
  <si>
    <t>SU-S62901</t>
  </si>
  <si>
    <t>N/S MAYO STAND COVER 61X135CM</t>
  </si>
  <si>
    <t>SU-S62902</t>
  </si>
  <si>
    <t>N/S MAYO STAND COVER 80X145CM</t>
  </si>
  <si>
    <t>SU-S62903</t>
  </si>
  <si>
    <t>N/S MAYO STAND COVERS 80X175CM</t>
  </si>
  <si>
    <t>SU-S65251</t>
  </si>
  <si>
    <t>SU-S65253</t>
  </si>
  <si>
    <t>SU-S62905</t>
  </si>
  <si>
    <t>SU-S62907</t>
  </si>
  <si>
    <t>SU-S62908</t>
  </si>
  <si>
    <t>SU-S62919</t>
  </si>
  <si>
    <t>SU-S62917</t>
  </si>
  <si>
    <t>N/S HD BACK TABLE COVER 196X228CM FOLDED</t>
  </si>
  <si>
    <t>N/S HD BACK TABLE COVER 127X228CM FOLDED</t>
  </si>
  <si>
    <t>N/S BACK TABLE COVER 112X228CM UNFOLDED</t>
  </si>
  <si>
    <t>N/S BACK TABLE COVER 127X228CM UNFOLDED</t>
  </si>
  <si>
    <t>N/S BACK TABLE COVER 112X228CM FOLDED</t>
  </si>
  <si>
    <t>N/S BACK TABLE COVER 127X228CM FOLDED</t>
  </si>
  <si>
    <t>N/S BACK TABLE COVER 152X228CM FOLDED</t>
  </si>
  <si>
    <t>SU-S62918</t>
  </si>
  <si>
    <t>N/S HD BACK TABLE COVER 152X228CM FOLDED</t>
  </si>
  <si>
    <t>SU-S62905U</t>
  </si>
  <si>
    <t>SU-S62907U</t>
  </si>
  <si>
    <t>SU-S62521</t>
  </si>
  <si>
    <t>SU-S62523</t>
  </si>
  <si>
    <t>SU-S62530</t>
  </si>
  <si>
    <t>SU-S62532</t>
  </si>
  <si>
    <t>SU-S63102</t>
  </si>
  <si>
    <t>N/S IMPERVIOUS U-DRAPE 152X183CM</t>
  </si>
  <si>
    <t>N/S IMPERVIOUS U-DRAPE 152X213CM</t>
  </si>
  <si>
    <t>N/S IMPERVIOUS STOCKINETT 23X122CM</t>
  </si>
  <si>
    <t>N/S IMPERVIOUS STOCKINETT 33X122CM</t>
  </si>
  <si>
    <t>N/S EXTRA LONG CRANIOTOMY DRAPE 254X340CM</t>
  </si>
  <si>
    <t>FG Cost</t>
  </si>
  <si>
    <t>N/S BACK TABLE COVER 121X121CM FOLDED</t>
  </si>
  <si>
    <t>N/S BACK TABLE COVER 121X121CM UNFOLDED</t>
  </si>
  <si>
    <t>N/S FENESTRATED DPE (10X15CM) 90X90CM</t>
  </si>
  <si>
    <t>N/S DRAPE TOWEL 40X65CM</t>
  </si>
  <si>
    <t>N/S DRAPE TOWEL 90X90CM</t>
  </si>
  <si>
    <t>SU-S62810</t>
  </si>
  <si>
    <t>N/S EENT SPLIT SHEET SMALL 150X190CM</t>
  </si>
  <si>
    <t>N/S EENT SPLIT SHEET LARGE 193X315CM</t>
  </si>
  <si>
    <t>N/S THREE QUARTER DRAPE 150X193CM UNFOLDED</t>
  </si>
  <si>
    <t>SU-S62209U</t>
  </si>
  <si>
    <t>SU-S62908U</t>
  </si>
  <si>
    <t>N/S BACK TABLE COVER 152X228CM UNFOLDED</t>
  </si>
  <si>
    <t>SU-S62918U</t>
  </si>
  <si>
    <t>N/S HD BACK TABLE COVER 152X228CM UNFOLDED</t>
  </si>
  <si>
    <t>SU-S62617</t>
  </si>
  <si>
    <t>N/S UNIVERSAL SPINE DRAPE 285X351CM</t>
  </si>
  <si>
    <t>SU-JS001</t>
  </si>
  <si>
    <t>N/S GOWN WRAP 90X90CM</t>
  </si>
  <si>
    <t>SU-S62233</t>
  </si>
  <si>
    <t>N/S TONSIL DRAPE 193X315CM</t>
  </si>
  <si>
    <t>SU-S62622</t>
  </si>
  <si>
    <t>N/S SPLIT DRAPE 196X300CM</t>
  </si>
  <si>
    <t>SU-S62515</t>
  </si>
  <si>
    <t>N/S GENERAL ENDOSCOPY DRAPE 254X315CM</t>
  </si>
  <si>
    <t>SU-S60001B</t>
  </si>
  <si>
    <t>N/S COTTN OPERATING TOWEL 43X68CM</t>
  </si>
  <si>
    <t>OPA9506ZNS</t>
  </si>
  <si>
    <t>OPA9507ZNS</t>
  </si>
  <si>
    <t>OPA9508ZNS</t>
  </si>
  <si>
    <t>9041ZNS</t>
  </si>
  <si>
    <t>32474ZNS</t>
  </si>
  <si>
    <t>39079ZNS</t>
  </si>
  <si>
    <t>1582ZNS</t>
  </si>
  <si>
    <t>8337ZNS</t>
  </si>
  <si>
    <t>8339ZNS</t>
  </si>
  <si>
    <t>BTCM11ZNS</t>
  </si>
  <si>
    <t>BTCL11ZNS</t>
  </si>
  <si>
    <t>8420ZNS</t>
  </si>
  <si>
    <t>8476ZNS</t>
  </si>
  <si>
    <t>8475ZNS</t>
  </si>
  <si>
    <t>TB9360ZNS</t>
  </si>
  <si>
    <t>TB29369ZNS</t>
  </si>
  <si>
    <t>TB29405ZNS</t>
  </si>
  <si>
    <t>TB29415ZNS</t>
  </si>
  <si>
    <t>TB29429ZNS</t>
  </si>
  <si>
    <t>TB29419ZNS</t>
  </si>
  <si>
    <t>TB29436ZNS</t>
  </si>
  <si>
    <t>TB29449ZNS</t>
  </si>
  <si>
    <t>TB29448ZNS</t>
  </si>
  <si>
    <t>TB9349ZNS</t>
  </si>
  <si>
    <t>TB9358ZNS</t>
  </si>
  <si>
    <t>TB9444ZNS</t>
  </si>
  <si>
    <t>TB9446ZNS</t>
  </si>
  <si>
    <t>TB9448ZNS</t>
  </si>
  <si>
    <t>TB9458ZNS</t>
  </si>
  <si>
    <t>TB9461ZNS</t>
  </si>
  <si>
    <t>TB9462ZNS</t>
  </si>
  <si>
    <t>TB9562ZNS</t>
  </si>
  <si>
    <t>TB29428ZNS</t>
  </si>
  <si>
    <t>BTCM10ZNS</t>
  </si>
  <si>
    <t>BTCL10ZNS</t>
  </si>
  <si>
    <t>BTCL30ZNS</t>
  </si>
  <si>
    <t>TB29402ZNS</t>
  </si>
  <si>
    <t>TB29438ZNS</t>
  </si>
  <si>
    <t>TB29465ZNS</t>
  </si>
  <si>
    <t>TB29467ZNS</t>
  </si>
  <si>
    <t>TB29469ZNS</t>
  </si>
  <si>
    <t>CPP</t>
  </si>
  <si>
    <t>1011-0111101</t>
  </si>
  <si>
    <t>HWNS Cost</t>
  </si>
  <si>
    <t>1011-0111102</t>
  </si>
  <si>
    <t>1011-0111103</t>
  </si>
  <si>
    <t>1011-0111104</t>
  </si>
  <si>
    <t>1011-0111105</t>
  </si>
  <si>
    <t>Glen Eira Radio Frequency Pack  - Option 1</t>
  </si>
  <si>
    <t>Glen Eira Radio Frequency Pack  - Option 2</t>
  </si>
  <si>
    <t>Epworth Freemasons CVL Pack</t>
  </si>
  <si>
    <t>Eye Pack</t>
  </si>
  <si>
    <t>Trial Pack</t>
  </si>
  <si>
    <t>AMU</t>
  </si>
  <si>
    <t>Price Each</t>
  </si>
  <si>
    <t>CESEREAN DRP FENESTRATED INCISE 254X307CM</t>
  </si>
  <si>
    <t>CESEREAN DRP FULL INCISE 254X307CM</t>
  </si>
  <si>
    <t>N/S CAESAREAN DRP FENESTRTD INCISE 254X307CM</t>
  </si>
  <si>
    <t>N/S CAESAREAN DRP FULL INCISE 254X307CM</t>
  </si>
  <si>
    <t>SOH/Boxes</t>
  </si>
  <si>
    <t>Boxes/ pallet</t>
  </si>
  <si>
    <t>SU-S62610</t>
  </si>
  <si>
    <t>N/S BILATERAL EXTREMITY DRAPE 273X351CM ARMBOARDS</t>
  </si>
  <si>
    <t>N/S BILATERAL EXTREMITY DRAPE 218X304CM</t>
  </si>
  <si>
    <t>BVOT4266B</t>
  </si>
  <si>
    <t>TB9355ZNS</t>
  </si>
  <si>
    <t>1586ZNS</t>
  </si>
  <si>
    <t>TB29417ZNS</t>
  </si>
  <si>
    <t>TB29416ZNS</t>
  </si>
  <si>
    <t>TB29418ZNS</t>
  </si>
  <si>
    <t>TB9423ZNS</t>
  </si>
  <si>
    <t>TB9361ZNS</t>
  </si>
  <si>
    <t>TB29455ZNS</t>
  </si>
  <si>
    <t>TB29474ZNS</t>
  </si>
  <si>
    <t>TB45000ZNS</t>
  </si>
  <si>
    <t>TB9556ZNS</t>
  </si>
  <si>
    <t>TB9442ZNS</t>
  </si>
  <si>
    <t>TB9154ZNS</t>
  </si>
  <si>
    <t>29560ZNS</t>
  </si>
  <si>
    <t>TB29458ZNS</t>
  </si>
  <si>
    <t>TB47100ZNS</t>
  </si>
  <si>
    <t>TB7554ZNS</t>
  </si>
  <si>
    <t>BTCL31ZNS</t>
  </si>
  <si>
    <t>BTCXL31ZNS</t>
  </si>
  <si>
    <t>SOH/Boxes - FG</t>
  </si>
  <si>
    <t>SOH/Boxes - NS</t>
  </si>
  <si>
    <t>n/a</t>
  </si>
  <si>
    <t>GOWN SS35 W/COTTON TOWEL MEDIUM</t>
  </si>
  <si>
    <t>GOWN SS35 W/COTTON TOWEL LARGE</t>
  </si>
  <si>
    <t>GOWN SS35 W/COTTON TOWEL XLARGE</t>
  </si>
  <si>
    <t>GOWN SS35 W/COTTON TOWEL XXLARGE</t>
  </si>
  <si>
    <t>GOWN SS35 W/COTTON TOWEL LARGE 2 PACK</t>
  </si>
  <si>
    <t>GOWN SS35 POLY RF W/COTTON TOWEL MEDIUM</t>
  </si>
  <si>
    <t>GOWN SS35 POLY RF W/COTTON TOWEL LARGE</t>
  </si>
  <si>
    <t>GOWN SS35 POLY RF W/COTTON TOWEL XLARGE</t>
  </si>
  <si>
    <t>GOWN SS35 POLY RF W/COTTON TOWEL XXLARGE</t>
  </si>
  <si>
    <t>GOWN SS35 POLY RF W/COTTON TOWEL LGE 2PK</t>
  </si>
  <si>
    <t>GOWN SS50 W/COTTON TOWEL MEDIUM</t>
  </si>
  <si>
    <t>GOWN SS50 W/COTTON TOWEL LARGE</t>
  </si>
  <si>
    <t>GOWN SS50 W/COTTON TOWEL XLARGE</t>
  </si>
  <si>
    <t>GOWN SS50 W/COTTON TOWEL XXLARGE</t>
  </si>
  <si>
    <t>GOWN SS50 POLY RF W/COTTON TOWEL MEDIUM</t>
  </si>
  <si>
    <t>GOWN SS50 POLY RF W/COTTON TOWEL LARGE</t>
  </si>
  <si>
    <t>GOWN SS50 POLY RF W/COTTON TOWEL XLARGE</t>
  </si>
  <si>
    <t>GOWN SS50 POLY RF W/COTTON TOWEL XXLARGE</t>
  </si>
  <si>
    <t>GOWN SS68 W/COTTON TOWEL MEDIUM</t>
  </si>
  <si>
    <t>GOWN SS68 W/COTTON TOWEL LARGE</t>
  </si>
  <si>
    <t>GOWN SS68 W/COTTON TOWEL XLARGE</t>
  </si>
  <si>
    <t>GOWN SS68 W/COTTON TOWEL XXLARGE</t>
  </si>
  <si>
    <t>GOWN ANAESTHETIC W/COTTON TWL UNIVERSAL</t>
  </si>
  <si>
    <t xml:space="preserve">CLINICOVER SMALL 100X70CM </t>
  </si>
  <si>
    <t xml:space="preserve">CLINICOVER MEDIUM 100X110CM </t>
  </si>
  <si>
    <t xml:space="preserve">CLINICOVER LARGE 100X225CM </t>
  </si>
  <si>
    <t>DRAPE OR COTTON TOWEL 43X68CM BLUE</t>
  </si>
  <si>
    <t>DRAPE PLAIN 45X75CM</t>
  </si>
  <si>
    <t>DRAPE PLAIN 60X60CM</t>
  </si>
  <si>
    <t>DRAPE PLAIN 90X90CM</t>
  </si>
  <si>
    <t>DRAPE PLAIN 90X90CM - 2 PACK</t>
  </si>
  <si>
    <t>DRAPE PLAIN 75X145CM</t>
  </si>
  <si>
    <t>DRAPE HALF 112X152CM</t>
  </si>
  <si>
    <t>DRAPE MEDIUM 112X193CM</t>
  </si>
  <si>
    <t>DRAPE THREE QUARTER 150X193CM</t>
  </si>
  <si>
    <t>DRAPE LARGE 182X215CM</t>
  </si>
  <si>
    <t>DRAPE XLARGE 195X247CM</t>
  </si>
  <si>
    <t>DRAPE SQUARE 100X100CM</t>
  </si>
  <si>
    <t>DRAPE 45X60CM W/6X7.5CM OVAL FENESTRATN</t>
  </si>
  <si>
    <t>DRAPE 45X75CM W/6X7.5CM OVAL FENESTRATN</t>
  </si>
  <si>
    <t>DRAPE 60X60CM W/6X7.5CM OVAL FENESTRATN</t>
  </si>
  <si>
    <t xml:space="preserve">DRAPE 90X90CM W/6X7.5CM OVAL FENESTRATN </t>
  </si>
  <si>
    <t>DRAPE 112X150CM W/10X15CM OVAL FENESTRN</t>
  </si>
  <si>
    <t>DRAPE SIDE SHEET 100X95CM</t>
  </si>
  <si>
    <t>DRAPE TOP SHEET 270X150CM</t>
  </si>
  <si>
    <t>DRAPE 60X60CM W/6X7.5CM OVAL ADH FEN</t>
  </si>
  <si>
    <t>DRAPE 75X75CM W/6X7.5CM OVAL ADH FEN</t>
  </si>
  <si>
    <t>DRAPE 90X90CM W/10CM CIRCULAR ADH FEN</t>
  </si>
  <si>
    <t>DRAPE 112X150CM W/10X15CM OVAL ADH FEN</t>
  </si>
  <si>
    <t>DRAPE 120X150CM W/8X16CM RECT ADH FEN</t>
  </si>
  <si>
    <t>DRAPE 193X315CM W/15X15CM SQUARE ADH FEN</t>
  </si>
  <si>
    <t>DRAPE LAPAROTOMY INCISE 254X315CM</t>
  </si>
  <si>
    <t>DRAPE THYROID 196X311CM</t>
  </si>
  <si>
    <t>DRAPE IMPERVIOUS U-DRAPE 152X183CM</t>
  </si>
  <si>
    <t>DRAPE IMPERVIOUS U-DRAPE 152X213CM</t>
  </si>
  <si>
    <t>DRAPE PAEDIATRIC 196X274CM</t>
  </si>
  <si>
    <t>DRAPE STOCKINETTE 23X122CM LARGE</t>
  </si>
  <si>
    <t>DRAPE STOCKINETTE 33X122CM XLARGE</t>
  </si>
  <si>
    <t>DRAPE LEGGINGS 84X130CM</t>
  </si>
  <si>
    <t>DRAPE PAEDIATRIC T-SHEET 259X307CM</t>
  </si>
  <si>
    <t>DRAPE HAND 196X371CM</t>
  </si>
  <si>
    <t>DRAPE EXTREMITY 218X321CM</t>
  </si>
  <si>
    <t>DRAPE EXTREMITY 292X320CM W/ARMBOARD CVR</t>
  </si>
  <si>
    <t>DRAPE BILATERAL EXTREMITY 273X351CM</t>
  </si>
  <si>
    <t>DRAPE ARTHOSCOPY W/POUCH 292X364CM</t>
  </si>
  <si>
    <t>DRAPE BODY SPLIT 196X290CM</t>
  </si>
  <si>
    <t>DRAPE BEACH CHAIR SHOULDER 259X406CM</t>
  </si>
  <si>
    <t>DRAPE CAESER FEN INCISE&amp;POUCH 254X307CM</t>
  </si>
  <si>
    <t>DRAPE CAESER FULL INCISE&amp;POUCH 254X307CM</t>
  </si>
  <si>
    <t>DRAPE LITHOTOMY W/POUCH 160X300CM</t>
  </si>
  <si>
    <t>DRAPE LAVH 241X228CM</t>
  </si>
  <si>
    <t>DRAPE TURP 266X186CM</t>
  </si>
  <si>
    <t>DRAPE HEAD TURBAN 104X82CM</t>
  </si>
  <si>
    <t>DRAPE OPHTHALMIC FEN INCISE 165X254CM</t>
  </si>
  <si>
    <t>DRAPE OPHTHALMIC FULL INCISE 165X254CM</t>
  </si>
  <si>
    <t>DRAPE OPHTHALMIC FEN INCISE 158X182CM</t>
  </si>
  <si>
    <t>DRAPE MAYO STAND COVER 61X135CM</t>
  </si>
  <si>
    <t>DRAPE MAYO STAND COVER 80X145CM</t>
  </si>
  <si>
    <t>DRAPE MAYO STAND COVER 80X175CM</t>
  </si>
  <si>
    <t>DRAPE BACK TABLE COVER STD 112X228CM</t>
  </si>
  <si>
    <t>DRAPE BACK TABLE COVER STD 127X228CM</t>
  </si>
  <si>
    <t>DRAPE BACK TABLE COVER HD 152X228CM</t>
  </si>
  <si>
    <t>DRAPE BACK TABLE COVER HD 196X228CM</t>
  </si>
  <si>
    <t>DRAPE UNDERBUTTOCK 91X150CM</t>
  </si>
  <si>
    <t>DRAPE UNDERBUTTOCK 97X122CM W/POUCH</t>
  </si>
  <si>
    <t>DRAPE CRANIOTOMY 254X340CM</t>
  </si>
  <si>
    <t>DRAPE PERI GROIN 208X191CM</t>
  </si>
  <si>
    <t>DRAPE CARDIOVASCULAR SPLIT 254X347CM</t>
  </si>
  <si>
    <t>DRAPE ANGIOGRAPHY 221X343CM</t>
  </si>
  <si>
    <t>DRAPE SHOULDER ARTHROSCOPY 2 PIECE SET</t>
  </si>
  <si>
    <t>DRAPE HEAD &amp; NECK SET</t>
  </si>
  <si>
    <t>DRAPE ABDOMINAL SET POWP</t>
  </si>
  <si>
    <t>DRAPE HEAD SET POWP</t>
  </si>
  <si>
    <t>DRAPE ENT COMBO SET RVEEH</t>
  </si>
  <si>
    <t>DRAPE BASIC GOWN SET RVEEH</t>
  </si>
  <si>
    <t>DRAPE CARDIAC SET SAN</t>
  </si>
  <si>
    <t>WRAP STANDARD 30X30CM</t>
  </si>
  <si>
    <t>WRAP STANDARD 43X43CM</t>
  </si>
  <si>
    <t>WRAP STANDARD 61X61CM</t>
  </si>
  <si>
    <t>WRAP STANDARD 71X71CM</t>
  </si>
  <si>
    <t>WRAP STANDARD 91.5X91.5CM</t>
  </si>
  <si>
    <t>WRAP STANDARD 100X106CM</t>
  </si>
  <si>
    <t>WRAP STANDARD 100X140CM</t>
  </si>
  <si>
    <t>WRAP STANDARD 121X121CM</t>
  </si>
  <si>
    <t>WRAP STANDARD 130X152.5CM</t>
  </si>
  <si>
    <t>WRAP STANDARD 183X137CM</t>
  </si>
  <si>
    <t>WRAP STANDARD 213.5X213.5CM</t>
  </si>
  <si>
    <t>WRAP HEAVY DUTY 71X71CM</t>
  </si>
  <si>
    <t>WRAP HEAVY DUTY 91.5X91.5CM</t>
  </si>
  <si>
    <t>WRAP HEAVY DUTY 106X120CM</t>
  </si>
  <si>
    <t>WRAP HEAVY DUTY 106X140CM</t>
  </si>
  <si>
    <t>WRAP HEAVY DUTY 121.5X121.5CM</t>
  </si>
  <si>
    <t>WRAP HEAVY DUTY 130X152.5CM</t>
  </si>
  <si>
    <t>WRAP HEAVY DUTY 137X183CM</t>
  </si>
  <si>
    <t>WRAP ULTRA HEAVY DUTY 106X120CM</t>
  </si>
  <si>
    <t>WRAP ULTRA HEAVY DUTY 106X140CM</t>
  </si>
  <si>
    <t>WRAP ULTRA HEAVY DUTY 106X160CM</t>
  </si>
  <si>
    <t>WRAP ULTRA HEAVY DUTY 121.5X121.5CM</t>
  </si>
  <si>
    <t>WRAP ULTRA HEAVY DUTY 137X183CM</t>
  </si>
  <si>
    <t>N/S GOWN SS35 MEDIUM</t>
  </si>
  <si>
    <t>N/S GOWN SS35 LARGE</t>
  </si>
  <si>
    <t>N/S GOWN SS35 XLARGE</t>
  </si>
  <si>
    <t>N/S GOWN SS35 XXLARGE</t>
  </si>
  <si>
    <t>N/S GOWN SS35 POLY RF MEDIUM</t>
  </si>
  <si>
    <t>N/S GOWN SS35 POLY RF LARGE</t>
  </si>
  <si>
    <t>N/S GOWN SS35 POLY RF XLARGE</t>
  </si>
  <si>
    <t>N/S GOWN SS35 POLY RF XXLARGE</t>
  </si>
  <si>
    <t>N/S GOWN SS50 MEDIUM</t>
  </si>
  <si>
    <t>N/S GOWN SS50 LARGE</t>
  </si>
  <si>
    <t>N/S GOWN SS50 XLARGE</t>
  </si>
  <si>
    <t>N/S GOWN SS50 XXLARGE</t>
  </si>
  <si>
    <t>N/S GOWN SS50 POLY RF MEDIUM</t>
  </si>
  <si>
    <t>N/S GOWN SS50 POLY RF LARGE</t>
  </si>
  <si>
    <t>N/S GOWN SS50 POLY RF XLARGE</t>
  </si>
  <si>
    <t>N/S GOWN SS50 POLY RF XXLARGE</t>
  </si>
  <si>
    <t>N/S GOWN SS68 MEDIUM</t>
  </si>
  <si>
    <t>N/S GOWN SS68 LARGE</t>
  </si>
  <si>
    <t>N/S GOWN SS68 XLARGE</t>
  </si>
  <si>
    <t>N/S GOWN SS68 XXLARGE</t>
  </si>
  <si>
    <t>N/S DRAPE GOWN WRAP 90X90CM</t>
  </si>
  <si>
    <t>N/S DRAPE OR COTTON TOWEL 43X68CM BLUE</t>
  </si>
  <si>
    <t>N/S DRAPE PLAIN 45X75CM</t>
  </si>
  <si>
    <t>N/S DRAPE PLAIN 60X60CM</t>
  </si>
  <si>
    <t>N/S DRAPE PLAIN 90X90CM</t>
  </si>
  <si>
    <t>N/S DRAPE PLAIN 75X145CM</t>
  </si>
  <si>
    <t>N/S DRAPE HALF 112X152CM</t>
  </si>
  <si>
    <t>N/S DRAPE MEDIUM 112X193CM</t>
  </si>
  <si>
    <t>N/S DRAPE THREE QUARTER 150X193CM</t>
  </si>
  <si>
    <t>N/S DRAPE THREE QUARTER 150X193CM UNFOLD</t>
  </si>
  <si>
    <t>N/S DRAPE LARGE 182X215CM</t>
  </si>
  <si>
    <t>N/S DRAPE XLARGE 195X247CM</t>
  </si>
  <si>
    <t>N/S DRAPE BTC 121X121CM FOLDED</t>
  </si>
  <si>
    <t>N/S DRAPE BTC 121X121CM UNFOLDED</t>
  </si>
  <si>
    <t>N/S DRAPE SQUARE 100X100CM</t>
  </si>
  <si>
    <t>N/S DRAPE 45X60CM W/6X7.5CM OVAL FEN</t>
  </si>
  <si>
    <t>N/S DRAPE 60X60CM W/6X7.5CM OVAL FEN</t>
  </si>
  <si>
    <t>N/S DRAPE 90X90CM W/6X7.5CM OVAL FEN</t>
  </si>
  <si>
    <t>N/S DRAPE 90X90CM W/10X15CM RECT FEN</t>
  </si>
  <si>
    <t>N/S DRAPE 112X150CM W/10X15CM OVAL FEN</t>
  </si>
  <si>
    <t>N/S DRAPE SIDE SHRT REINFORCED 100X100CM</t>
  </si>
  <si>
    <t>N/S DRAPE SIDE LONG REINFORCED 100X195CM</t>
  </si>
  <si>
    <t>N/S DRAPE TOP REINFORCED 150X270CM</t>
  </si>
  <si>
    <t>N/S DRAPE BOTTOM REINFORCED 175X195CM</t>
  </si>
  <si>
    <t>N/S DRAPE SIDE SHORT 100X100CM</t>
  </si>
  <si>
    <t>N/S DRAPE SIDE LONG 100X195CM</t>
  </si>
  <si>
    <t>N/S DRAPE TOP 150X270CM</t>
  </si>
  <si>
    <t>N/S DRAPE BOTTOM 175X195CM</t>
  </si>
  <si>
    <t>N/S DRAPE 60X60CM W/6X7.5CM OVAL ADH FEN</t>
  </si>
  <si>
    <t>N/S DRAPE 75X75CM W/6X7.5CM OVAL ADH FEN</t>
  </si>
  <si>
    <t>N/S DRAPE 90X90CM W/10CM CIRC ADH FEN</t>
  </si>
  <si>
    <t>N/S DRAPE 112X150CM W/10X15CM OV ADH FEN</t>
  </si>
  <si>
    <t>N/S DRAPE 120X150CM W/8X16CM REC ADH FEN</t>
  </si>
  <si>
    <t>N/S DRAPE GENERAL ENDOSCOPY 254X315CM</t>
  </si>
  <si>
    <t>N/S DRAPE IMPERVIOUS U-DRAPE 152X183CM</t>
  </si>
  <si>
    <t>N/S DRAPE IMPERVIOUS U-DRAPE 152X213CM</t>
  </si>
  <si>
    <t>N/S DRAPE STOCKINETTE 23X122CM LARGE</t>
  </si>
  <si>
    <t>N/S DRAPE STOCKINETTE 33X122CM XLARGE</t>
  </si>
  <si>
    <t>N/S DRAPE LEGGINGS 74X109CM LARGE</t>
  </si>
  <si>
    <t>N/S DRAPE LEGGINGS 84X130CM XLARGE</t>
  </si>
  <si>
    <t>N/S DRAPE HAND 196X371CM</t>
  </si>
  <si>
    <t>N/S DRAPE EXTREMITY 218X321CM</t>
  </si>
  <si>
    <t>N/S DRAPE EXTREMITY 292X320CM ARMBRDS</t>
  </si>
  <si>
    <t>N/S DRAPE BILAT EXTREM 273X351CM ARMBRDS</t>
  </si>
  <si>
    <t>N/S DRAPE BILATERAL EXTREMITY 218X304CM</t>
  </si>
  <si>
    <t>N/S DRAPE UNIVERSAL SPINE 285X351CM</t>
  </si>
  <si>
    <t xml:space="preserve">N/S DRAPE ARTHRO W/PCH 292X364CM </t>
  </si>
  <si>
    <t>N/S DRAPE ARTHRO W/PCH 292X364CM ARMBRDS</t>
  </si>
  <si>
    <t>N/S DRAPE BODY SPLIT 196X290CM</t>
  </si>
  <si>
    <t>N/S DRAPE SHOULDER ARTHRO PCH 157X254CM</t>
  </si>
  <si>
    <t>N/S DRAPE BEACH CHAIR SHOULDER 259X406CM</t>
  </si>
  <si>
    <t>N/S DRAPE CAESER FEN INCSE&amp;PCH 254X307CM</t>
  </si>
  <si>
    <t>N/S DRAPE CAESER FUL INCSE&amp;PCH 254X307CM</t>
  </si>
  <si>
    <t>N/S DRAPE LITHOTOMY T-SHEET 152X221CM</t>
  </si>
  <si>
    <t>N/S DRAPE LITHOTOMY W/POUCH 160X300CM</t>
  </si>
  <si>
    <t>N/S DRAPE LAPAROSCOPY T-SHEET 249X252CM</t>
  </si>
  <si>
    <t>N/S DRAPE LAVH 241X228CM</t>
  </si>
  <si>
    <t>N/S DRAPE TURP 266X186CM</t>
  </si>
  <si>
    <t>N/S DRAPE HEAD TURBAN 104X82CM</t>
  </si>
  <si>
    <t>N/S DRAPE EENT SPLIT LARGE 193X315CM</t>
  </si>
  <si>
    <t>N/S DRAPE EENT SPLIT SMALL 150X190CM</t>
  </si>
  <si>
    <t>N/S DRAPE OPHTHAL FEN INCISE 165X254CM</t>
  </si>
  <si>
    <t>N/S DRAPE OPHTHAL FULL INCISE 165X254CM</t>
  </si>
  <si>
    <t>N/S DRAPE OPHTHAL FEN INCISE 158X182CM</t>
  </si>
  <si>
    <t>N/S DRAPE MAYO STAND COVER 61X135CM</t>
  </si>
  <si>
    <t>N/S DRAPE MAYO STAND COVER 80X145CM</t>
  </si>
  <si>
    <t>N/S DRAPE MAYO STAND COVER 80X175CM</t>
  </si>
  <si>
    <t>N/S DRAPE BTC STD 112X228CM FOLDED</t>
  </si>
  <si>
    <t>N/S DRAPE BTC STD 112X228CM UNFOLDED</t>
  </si>
  <si>
    <t>N/S DRAPE BTC STD 127X228CM FOLDED</t>
  </si>
  <si>
    <t>N/S DRAPE BTC STD 127X228CM UNFOLDED</t>
  </si>
  <si>
    <t>N/S DRAPE BTC HD 152X228CM FOLDED</t>
  </si>
  <si>
    <t>N/S DRAPE BTC HD 152X228CM UNFOLDED</t>
  </si>
  <si>
    <t>N/S DRAPE BTC HD 196X228CM FOLDED</t>
  </si>
  <si>
    <t>N/S DRAPE CRANIOTOMY 254X340CM</t>
  </si>
  <si>
    <t>N/S DRAPE PERI GROIN 208X191CM</t>
  </si>
  <si>
    <t>N/S DRAPE ANGIOGRAPHY 221X343CM</t>
  </si>
  <si>
    <t>N/S DRAPE THYROID 196X311CM</t>
  </si>
  <si>
    <t>TB29422ZNS</t>
  </si>
  <si>
    <t xml:space="preserve">N/S DRAPE CV SPLIT 254X347CM </t>
  </si>
  <si>
    <t>N/S DRAPE CV SPLIT 268X380CM SAN</t>
  </si>
  <si>
    <t>TB9155ZNS</t>
  </si>
  <si>
    <t>N/S DRAPE LAP/PELVISCOPY 246X258CM</t>
  </si>
  <si>
    <t>TB29404ZNS</t>
  </si>
  <si>
    <t>N/S DRAPE UNDER BUTTOCKS 91X150CM</t>
  </si>
  <si>
    <t>8483ZNS</t>
  </si>
  <si>
    <t>DRAPE MINOR STANDARD UNIVERSAL SET</t>
  </si>
  <si>
    <t>DRAPE MAJOR REINFORCED UNIVERSAL SET</t>
  </si>
  <si>
    <t>APPAREL</t>
  </si>
  <si>
    <t>PA64001Y</t>
  </si>
  <si>
    <t>NSW contract 920</t>
  </si>
  <si>
    <t>PA64001B</t>
  </si>
  <si>
    <t>N/S IMPERVIOUS ISOLATION GOWNS,YELLOW,ELASTIC CUFFS</t>
  </si>
  <si>
    <t>N/S IMPERVIOUS ISOLATION GOWNS,BLUE,ELASTIC CUFFS</t>
  </si>
  <si>
    <t>PA64002B</t>
  </si>
  <si>
    <t>N/S IMPERVIOUS ISOLATION GOWNS,BLUE,KNITTING CUFFS</t>
  </si>
  <si>
    <t>PA65001B</t>
  </si>
  <si>
    <t>N/S THUMB LOOP GOWNS,BLUE</t>
  </si>
  <si>
    <t>CTN PRICE</t>
  </si>
  <si>
    <t>N/S CHEMO GOWNS, KNITTING CUFF, VIOLET</t>
  </si>
  <si>
    <t>N/S DRAPE HIP WITH POUCHES 265X345CM</t>
  </si>
  <si>
    <t>DRAPE HIP WITH POUCHES 265X345CM</t>
  </si>
  <si>
    <t>SU-SC85001</t>
  </si>
  <si>
    <t>SU-SC85009</t>
  </si>
  <si>
    <t>SPLASH BOWL - MURDOCH</t>
  </si>
  <si>
    <t>MAJOR BOWL SET - SUBIACO</t>
  </si>
  <si>
    <t>MAJOR BOWL SET - MURDOCH</t>
  </si>
  <si>
    <t>MINOR BOWL SET - MURDOCH</t>
  </si>
  <si>
    <t>MAJOR BOWL SET - BENDIGO</t>
  </si>
  <si>
    <t>MINOR BOWL SET - BENDIGO</t>
  </si>
  <si>
    <t>MINOR BOWL SET - GEELONG</t>
  </si>
  <si>
    <t>MAJOR BOWL SET - GEELONG</t>
  </si>
  <si>
    <t xml:space="preserve">JUG PACK REPATRIATION HOSPITAL </t>
  </si>
  <si>
    <t>N/S DRAPE LAPAROSCOPY T-SHEET WITH FLAP 249X252CM</t>
  </si>
  <si>
    <t>N/S DRAPE EPIDURAL 125X125CM W/10X17CM ADH FEN</t>
  </si>
  <si>
    <t>N/S LAMINATED THUMB UP GOWN, BLUE</t>
  </si>
  <si>
    <t>N/S LAMINATED THUMB UP GOWN, YELLOW</t>
  </si>
  <si>
    <t>DRAPE SIDE SHEET 100x100CM</t>
  </si>
  <si>
    <t>N/S WARM UP JACKET, KNITTING CUFF, BLUE, MEDIUM</t>
  </si>
  <si>
    <t>N/S WARM UP JACKET, KNITTING CUFF, RED, MEDIUM</t>
  </si>
  <si>
    <t>N/S WARM UP JACKET, KNITTING CUFF, PINK, MEDIUM</t>
  </si>
  <si>
    <t>N/S WARM UP JACKET, KNITTING CUFF, GREEN, MEDIUM</t>
  </si>
  <si>
    <t>N/S WARM UP JACKET, KNITTING CUFF, DARK BLUE, MEDIUM</t>
  </si>
  <si>
    <t>N/S WARM UP JACKET, KNITTING CUFF, BLUE, LARGE</t>
  </si>
  <si>
    <t>N/S WARM UP JACKET, KNITTING CUFF, RED, LARGE</t>
  </si>
  <si>
    <t>N/S WARM UP JACKET, KNITTING CUFF, PINK, LARGE</t>
  </si>
  <si>
    <t>N/S WARM UP JACKET, KNITTING CUFF, GREEN, LARGE</t>
  </si>
  <si>
    <t>N/S WARM UP JACKET, KNITTING CUFF, DARK BLUE, LARGE</t>
  </si>
  <si>
    <t>N/S GOWN ANAESTHETIC, KNITTING CUFF, UNIVERSAL</t>
  </si>
  <si>
    <t>S71652</t>
  </si>
  <si>
    <t>suresafe35, 1 gown, 1 cotton towel, sterile, medium</t>
  </si>
  <si>
    <t>medium</t>
  </si>
  <si>
    <t>SOH</t>
  </si>
  <si>
    <t>pkt</t>
  </si>
  <si>
    <t>gowns</t>
  </si>
  <si>
    <t>AUD</t>
  </si>
  <si>
    <t>DTA warehouse</t>
  </si>
  <si>
    <t>ctn</t>
  </si>
  <si>
    <t>S71653</t>
  </si>
  <si>
    <t>suresafe35, 1 gown, 1 cotton towel, sterile, large</t>
  </si>
  <si>
    <t>Large</t>
  </si>
  <si>
    <t>S71663</t>
    <phoneticPr fontId="0" type="noConversion"/>
  </si>
  <si>
    <t>suresafe35, 2 gowns, 2 cotton towels, sterile, large</t>
    <phoneticPr fontId="0" type="noConversion"/>
  </si>
  <si>
    <t>S71654</t>
  </si>
  <si>
    <t>suresafe35, 1 gown, 1 cotton towel, sterile, x-large</t>
  </si>
  <si>
    <t>x-large</t>
  </si>
  <si>
    <t>S71655</t>
  </si>
  <si>
    <t>suresafe35, 1 gown, 1 cotton towel, sterile, xx-large</t>
  </si>
  <si>
    <t>xx-large</t>
  </si>
  <si>
    <t>S71752</t>
  </si>
  <si>
    <t>suresafe35, 1 poly-reinforced gown, 1 cotton towel, sterile, medium</t>
  </si>
  <si>
    <t>S71753</t>
  </si>
  <si>
    <t>suresafe35, 1 poly-reinforced gown, 1 cotton towel, sterile, large</t>
  </si>
  <si>
    <t>S71763</t>
    <phoneticPr fontId="0" type="noConversion"/>
  </si>
  <si>
    <t>suresafe35, 2 poly-reinforced gowns, 2 cotton towels, sterile, large</t>
    <phoneticPr fontId="0" type="noConversion"/>
  </si>
  <si>
    <t>S71754</t>
  </si>
  <si>
    <t>suresafe35, 1 poly-reinforced gown, 1 cotton towel, sterile, x-large</t>
  </si>
  <si>
    <t>S71755</t>
  </si>
  <si>
    <t>suresafe35, 1 poly-reinforced gown, 1 cotton towel, sterile, xx-large</t>
  </si>
  <si>
    <t>Code</t>
  </si>
  <si>
    <t>Product description</t>
  </si>
  <si>
    <t>Size</t>
  </si>
  <si>
    <t>Stock Status</t>
  </si>
  <si>
    <t>Unit prices excl. GST</t>
  </si>
  <si>
    <t>carton qty</t>
  </si>
  <si>
    <t>Carton price</t>
  </si>
  <si>
    <t>Pallet QTY</t>
  </si>
  <si>
    <t>N/S DRAPE MINOR PROCEDURE 193X300CM</t>
  </si>
  <si>
    <t>N/S DRAPE MINOR PROCEDURE 193X315CM</t>
  </si>
  <si>
    <t>Bowl BNS</t>
  </si>
  <si>
    <t>PB120C</t>
  </si>
  <si>
    <t>PB1500C</t>
  </si>
  <si>
    <t>PB2500B</t>
  </si>
  <si>
    <t>PB5000B</t>
  </si>
  <si>
    <t>PB700Y</t>
  </si>
  <si>
    <t>BOWL, BLUE, 1000ML</t>
  </si>
  <si>
    <t>GALLIPOT, CLEAR, 120ML</t>
  </si>
  <si>
    <t>KIDNEY DISH, CLEAR, 1500ML</t>
  </si>
  <si>
    <t>BOWL, BLUE, 2500ML</t>
  </si>
  <si>
    <t>BOWL, BLUE, 5000ML</t>
  </si>
  <si>
    <t>BOWL, BLUE, 500ML</t>
  </si>
  <si>
    <t>BOWL, BLUE, 250ML</t>
  </si>
  <si>
    <t>PB700G</t>
  </si>
  <si>
    <t>KIDNEY DISH, YELLOW, 700ML</t>
  </si>
  <si>
    <t>KIDNEY DISH, CLEAR, 700ML</t>
  </si>
  <si>
    <t>KIDNEY DISH, GREEN, 700ML</t>
  </si>
  <si>
    <t>SHARP TRAY, YELLOW, 400ML</t>
  </si>
  <si>
    <t>SCALPEL TRANSFER DEVICE, YELLOW</t>
  </si>
  <si>
    <t>JUG, CLEAR, 1000ML</t>
  </si>
  <si>
    <t>BLADESAFE SHARP TRAY,YELLOW</t>
  </si>
  <si>
    <t>N/S IMPERVIOUS ISOLATION GOWNS,YELLOW,KNITTING CUFFS</t>
  </si>
  <si>
    <t>SU-PA81001</t>
  </si>
  <si>
    <t>SU-PA81001XL</t>
  </si>
  <si>
    <t>SU-PA83001</t>
  </si>
  <si>
    <t>SU-PA83003</t>
  </si>
  <si>
    <t>SU-PA83005</t>
  </si>
  <si>
    <t>SU-PA83005XL</t>
  </si>
  <si>
    <t>SU-PA57001W</t>
  </si>
  <si>
    <t>SU-PA57002W</t>
  </si>
  <si>
    <t>SU-PA61001Y</t>
  </si>
  <si>
    <t>SU-PA62001DB</t>
  </si>
  <si>
    <t>N/S IMPERVIOUS ISOLATION GOWNS,WHITE,ELASTIC CUFFS</t>
  </si>
  <si>
    <t>SU-PA64004B</t>
  </si>
  <si>
    <t>SU-PA64004Y</t>
  </si>
  <si>
    <t>APRON, WHITE, 810X1320MM</t>
  </si>
  <si>
    <t>APRON, WHITE, 810X1420MM</t>
  </si>
  <si>
    <t>BOUFFANT CAPS, BLUE, 21"</t>
  </si>
  <si>
    <t>BOUFFANT CAPS, DARK BLUE, 21"</t>
  </si>
  <si>
    <t>BOUFFANT CAPS, GREEN, 21"</t>
  </si>
  <si>
    <t>BOUFFANT CAPS, PINK, 21"</t>
  </si>
  <si>
    <t>BOUFFANT CAPS, RED, 21"</t>
  </si>
  <si>
    <t>BOUFFANT CAPS, WHITE, 21"</t>
  </si>
  <si>
    <t>BOUFFANT CAPS, YELLOW, 21"</t>
  </si>
  <si>
    <t>BOUFFANT CAPS, BLUE, 24"</t>
  </si>
  <si>
    <t>BOUFFANT CAPS, WHITE, 24"</t>
  </si>
  <si>
    <t>THEATRE CAP, ELASTIC BACK, NO TIE, PINK</t>
  </si>
  <si>
    <t>THEATRE CAP, TIE BACK, BLUE</t>
  </si>
  <si>
    <t>THEATRE CAP, TIE BACK, DARK BLUE</t>
  </si>
  <si>
    <t>THEATRE CAP, TIE BACK, GREEN</t>
  </si>
  <si>
    <t>THEATRE CAP, TIE BACK, PINK</t>
  </si>
  <si>
    <t>THEATRE CAP, TIE BACK, RED</t>
  </si>
  <si>
    <t>HEADSCARF, 96X96CM, BLUE</t>
  </si>
  <si>
    <t>HEADSCARF, 96X96CM, GREEN</t>
  </si>
  <si>
    <t>HEADSCARF, 96X96CM, PINK</t>
  </si>
  <si>
    <t>THEATRE HOOD, BLUE</t>
  </si>
  <si>
    <t>CRIMPED CAP, BLUE, 21"</t>
  </si>
  <si>
    <t>CRIMPED CAP, RED, 21"</t>
  </si>
  <si>
    <t>N/S PATIENT GOWN, DARK BLUE, L</t>
  </si>
  <si>
    <t>N/S PATIENT GOWN, DARK BLUE, XL</t>
  </si>
  <si>
    <t>N/S PATIENT GOWN, DARK BLUE, HALF SIZE</t>
  </si>
  <si>
    <t>BRIEF, WHITE, LARGE</t>
  </si>
  <si>
    <t>BRIEF, WHITE, XLARGE</t>
  </si>
  <si>
    <t>STANDARD ISOLATION GOWNS, YELLOW, ELASTIC CUFF, LATEX FREE</t>
  </si>
  <si>
    <t>STANDARD ISOLATION GOWNS, ROYAL BLUE, NON-TRANSPARENT, ELASTIC CUFF, LATEX FREE</t>
  </si>
  <si>
    <t>IMPERVIOUS ISOLATION GOWN, OPEN BACK, KNITTED CUFF, BLUE, ONE SIZE ONLY</t>
  </si>
  <si>
    <t>IMPERVIOUS ISOLATION GOWN, OPEN BACK, ELASTIC CUFF, YELLOW, ONE SIZE ONLY</t>
  </si>
  <si>
    <t>NON-SKID SHOE COVERS, BLUE, 16"</t>
  </si>
  <si>
    <t>NON-SKID SHOE COVERS, BLUE, 18"</t>
  </si>
  <si>
    <t>SHOE COVER, IMPERVIOUS, NON-SKID, 16"</t>
  </si>
  <si>
    <t>BOOT COVERS, BELOW KNEE, IMPERVIOUS, NON-SKID</t>
  </si>
  <si>
    <t>BOOT COVERS, KNEE HIGH, IMPERVIOUS, NON-SKID</t>
  </si>
  <si>
    <t xml:space="preserve">Bowl </t>
  </si>
  <si>
    <t>SU-SBS40Y</t>
  </si>
  <si>
    <t>BOWL, BLUE, 5000ML WITH STERILE FIELD 121X121CM</t>
  </si>
  <si>
    <t>PBJ1000C</t>
  </si>
  <si>
    <t>SureSafe Code</t>
  </si>
  <si>
    <t>Pack components</t>
  </si>
  <si>
    <t>QTY</t>
  </si>
  <si>
    <t>gallipot, clear, 120cm</t>
  </si>
  <si>
    <t>kidney dish, yellow, 700ml</t>
  </si>
  <si>
    <t>kidney dish, green, 700ml</t>
  </si>
  <si>
    <t>kidney dish, clear, 1500ml</t>
  </si>
  <si>
    <t>BPL10040</t>
  </si>
  <si>
    <t>time out label black text on fluoro orange 100x40cm</t>
  </si>
  <si>
    <t>small back table cover, unfolded, 121x121cm</t>
  </si>
  <si>
    <t/>
  </si>
  <si>
    <t>COST PER PACK</t>
  </si>
  <si>
    <t>Bowls, blue, 5000ml</t>
  </si>
  <si>
    <t>bowl, blue, 2500ml</t>
  </si>
  <si>
    <t>Jug, clear, 1000ml</t>
  </si>
  <si>
    <t>SC86001</t>
  </si>
  <si>
    <t>SC86002</t>
  </si>
  <si>
    <t>NSP Prep Set</t>
  </si>
  <si>
    <t>NSP Major Set</t>
  </si>
  <si>
    <t>DRAPE HAND AND FOOT, 195X300CM</t>
  </si>
  <si>
    <t>DRAPE LITHOTOMY T-SHEET 152X221CM</t>
  </si>
  <si>
    <t xml:space="preserve"> DRAPE LAPAROSCOPY T-SHEET WITH FLAP 249X252CM</t>
  </si>
  <si>
    <t xml:space="preserve"> DRAPE LAPAROSCOPY T-SHEET WITHOUT FLAP 249X252CM</t>
  </si>
  <si>
    <t>GOWN SS35 W/2XPAPER TOWEL MEDIUM</t>
  </si>
  <si>
    <t>GOWN SS35 W/2XPAPER TOWEL LARGE</t>
  </si>
  <si>
    <t>GOWN SS35 W/2XPAPER TOWEL XLARGE</t>
  </si>
  <si>
    <t>GOWN SS35 W/2XPAPER TOWEL XXLARGE</t>
  </si>
  <si>
    <t>GOWN SS35 POLY RF W/2XPAPER TOWEL MEDIUM</t>
  </si>
  <si>
    <t>GOWN SS35 POLY RF W/2XPAPER TOWEL LARGE</t>
  </si>
  <si>
    <t>GOWN SS35 POLY RF W/2XPAPER TOWEL XLARGE</t>
  </si>
  <si>
    <t>GOWN SS35 POLY RF W/2XPAPER TOWEL XXLARGE</t>
  </si>
  <si>
    <t>N/S DRAPE BTC HD 127X228CM FOLDED</t>
  </si>
  <si>
    <t>N/S DRAPE BTC HD 127X228CM UNFOLDED</t>
  </si>
  <si>
    <t>N/S DRAPE BTC STD 112X228CM ECONOMY UNFOLDED</t>
  </si>
  <si>
    <t>N/S DRAPE BTC STD 127X228CM ECONOMY UNFOLDED</t>
  </si>
  <si>
    <t>Bowl, blue, light weight, 250ml</t>
  </si>
  <si>
    <t>Bowl, blue, light weight, 1000ml</t>
  </si>
  <si>
    <t>Bowl, blue, light weight, 2500ml</t>
  </si>
  <si>
    <t>Bowl, blue, light weight, 6000ml</t>
  </si>
  <si>
    <t>Kidney dish, blue, 700ml (US design)</t>
  </si>
  <si>
    <t>Magnet needle counters with clear top, 10 count</t>
  </si>
  <si>
    <t>Magnet needle counters, 30 count</t>
  </si>
  <si>
    <t>SU-S62621</t>
  </si>
  <si>
    <t>N/S KNEE ARTHO DRPE 226x334CM</t>
  </si>
  <si>
    <t>N/S DRAPE ARTHRO  226x334CM</t>
  </si>
  <si>
    <t>Standard Pack</t>
  </si>
  <si>
    <t>KIDNEY DISH, CLEAR, 700ML, STERILE</t>
  </si>
  <si>
    <t>BASIC PREPARATION BOWL SET, STERILE</t>
  </si>
  <si>
    <t>Sterile Bowl</t>
  </si>
  <si>
    <t>TWIN GOWNS SS35 W/4xPAPER TOWEL, LARGE</t>
  </si>
  <si>
    <t>N/S DRAPE BTC STD 112X193CM ECONOMY UNFOLDED</t>
  </si>
  <si>
    <t>SURGEON HOOD WITH ELASTIC, BLUE FABRIC WITH CLUSTER</t>
  </si>
  <si>
    <t>SURGEON HOOD WITH TIES, BLUE FABRIC WITH CLUSTER</t>
  </si>
  <si>
    <t>Bowl, blue, light weight, 1500ml</t>
  </si>
  <si>
    <t>Bowl, blue, light weight, 500ml</t>
  </si>
  <si>
    <t>SU-S62209E</t>
  </si>
  <si>
    <t>Duo wraps with pink innner layer, standard, 30x30cm</t>
  </si>
  <si>
    <t>Duo wraps with pink innner layer, standard, 43x43cm</t>
  </si>
  <si>
    <t>Duo wraps with pink innner layer, standard, 60x60cm</t>
  </si>
  <si>
    <t>Duo wraps with pink innner layer, standard, 71x71cm</t>
  </si>
  <si>
    <t>Duo wraps with pink innner layer, standard, 91x91cm</t>
  </si>
  <si>
    <t>Duo wraps with pink innner layer, standard, 100x100cm</t>
  </si>
  <si>
    <t>Duo wraps with pink innner layer, standard, 121x121cm</t>
  </si>
  <si>
    <t>Duo wraps with pink innner layer, standard, 137x137cm</t>
  </si>
  <si>
    <t>Duo wraps with pink innner layer, standard, 137x183cm</t>
  </si>
  <si>
    <t>Duo wraps with pink innner layer, Heavy Duty, 91x91cm</t>
  </si>
  <si>
    <t>Duo wraps with pink innner layer, Heavy Duty, 100x100cm</t>
  </si>
  <si>
    <t>Duo wraps with pink innner layer, Heavy Duty, 121x121cm</t>
  </si>
  <si>
    <t>Duo wraps with pink innner layer, Heavy Duty, 137x137cm</t>
  </si>
  <si>
    <t>Duo wraps with pink innner layer, Heavy Duty, 137x183cm</t>
  </si>
  <si>
    <t>Duo wraps with pink innner layer, Ultra Heavy Duty, 91x91cm</t>
  </si>
  <si>
    <t>Duo wraps with pink innner layer, Ultra Heavy Duty, 100x100cm</t>
  </si>
  <si>
    <t>Duo wraps with pink innner layer, Ultra Heavy Duty, 121x121cm</t>
  </si>
  <si>
    <t>Duo wraps with pink innner layer, Ultra Heavy Duty, 137x183cm</t>
  </si>
  <si>
    <t>Duo wraps with paper innner layer, standard, 30x30cm</t>
  </si>
  <si>
    <t>Duo wraps with paper innner layer, standard, 43x43cm</t>
  </si>
  <si>
    <t>Duo wraps with paper innner layer, standard, 60x60cm</t>
  </si>
  <si>
    <t>Duo wraps with paper innner layer, standard, 71x71cm</t>
  </si>
  <si>
    <t>Duo wraps with paper innner layer, standard, 91x91cm</t>
  </si>
  <si>
    <t>Duo wraps with paper innner layer, standard, 100x100cm</t>
  </si>
  <si>
    <t>Duo wraps with paper innner layer, standard, 121x121cm</t>
  </si>
  <si>
    <t>Duo wraps with paper innner layer, standard, 137x137cm</t>
  </si>
  <si>
    <t>Duo wraps with paper innner layer, standard, 137x183cm</t>
  </si>
  <si>
    <t>Duo wraps with paper innner layer, Heavy Duty, 91x91cm</t>
  </si>
  <si>
    <t>Duo wraps with paper innner layer, Heavy Duty, 100x100cm</t>
  </si>
  <si>
    <t>Duo wraps with paper innner layer, Heavy Duty, 121x121cm</t>
  </si>
  <si>
    <t>Duo wraps with paper innner layer, Heavy Duty, 137x137cm</t>
  </si>
  <si>
    <t>Duo wraps with paper innner layer, Heavy Duty, 137x183cm</t>
  </si>
  <si>
    <t>Duo wraps with paper innner layer, Ultra Heavy Duty, 91x91cm</t>
  </si>
  <si>
    <t>Duo wraps with paper innner layer, Ultra Heavy Duty, 100x100cm</t>
  </si>
  <si>
    <t>Duo wraps with paper innner layer, Ultra Heavy Duty, 121x121cm</t>
  </si>
  <si>
    <t>Duo wraps with paper innner layer, Ultra Heavy Duty, 137x183cm</t>
  </si>
  <si>
    <t>N/S Scrub Pant, Blue, Large</t>
  </si>
  <si>
    <t>N/S Scrub Shirt, Blue, Large</t>
  </si>
  <si>
    <t>N/S DRAPE CLINICOVER, LARGE, Light weight, 120x228CM</t>
  </si>
  <si>
    <t>PEJ1400C</t>
  </si>
  <si>
    <t>JUG, CLEAR, 1400ML</t>
  </si>
  <si>
    <t>PEJ1000C</t>
  </si>
  <si>
    <t>SC83001</t>
  </si>
  <si>
    <t>SC83002</t>
  </si>
  <si>
    <t>SC83003</t>
  </si>
  <si>
    <t>SBS40Y</t>
  </si>
  <si>
    <t>SPT500Y</t>
  </si>
  <si>
    <t>Ramsay Bowl</t>
  </si>
  <si>
    <t>Major bowl set</t>
  </si>
  <si>
    <t>minor bowl   set</t>
  </si>
  <si>
    <t>preparation set</t>
  </si>
  <si>
    <t>injection tray, yellow</t>
  </si>
  <si>
    <t>sharp tranfer tray, yellow</t>
  </si>
  <si>
    <t>NSW tender review price</t>
  </si>
  <si>
    <t>N/S DRAPE BRACHIAL ANGIOGRAPY 97X112CM</t>
  </si>
  <si>
    <t>PE250B</t>
  </si>
  <si>
    <t>PE500B</t>
  </si>
  <si>
    <t>PE1000B</t>
  </si>
  <si>
    <t>PE1500B</t>
  </si>
  <si>
    <t>PE2500B</t>
  </si>
  <si>
    <t>PE6000B</t>
  </si>
  <si>
    <t>PNC10</t>
  </si>
  <si>
    <t>PNC30</t>
  </si>
  <si>
    <t>FOB USD</t>
  </si>
  <si>
    <t>Unit Cost</t>
  </si>
  <si>
    <t>SC85001</t>
  </si>
  <si>
    <t>SC85002</t>
  </si>
  <si>
    <t>SC85003</t>
  </si>
  <si>
    <t>SC85004</t>
  </si>
  <si>
    <t>SC85005</t>
  </si>
  <si>
    <t>SC85006</t>
  </si>
  <si>
    <t>SC85007</t>
  </si>
  <si>
    <t>SC85008</t>
  </si>
  <si>
    <t>SC85009</t>
  </si>
  <si>
    <t>S61102</t>
  </si>
  <si>
    <t>S61103</t>
  </si>
  <si>
    <t>S61104</t>
  </si>
  <si>
    <t>S61105</t>
  </si>
  <si>
    <t>S61302</t>
  </si>
  <si>
    <t>S61303</t>
  </si>
  <si>
    <t>S61304</t>
  </si>
  <si>
    <t>S61305</t>
  </si>
  <si>
    <t>S61902</t>
  </si>
  <si>
    <t>S61903</t>
  </si>
  <si>
    <t>S61904</t>
  </si>
  <si>
    <t>S61905</t>
  </si>
  <si>
    <t>PT500Y</t>
  </si>
  <si>
    <t>S71663</t>
  </si>
  <si>
    <t>S71763</t>
  </si>
  <si>
    <t>S71152</t>
  </si>
  <si>
    <t>S71153</t>
  </si>
  <si>
    <t>S71154</t>
  </si>
  <si>
    <t>S71155</t>
  </si>
  <si>
    <t>S71352</t>
  </si>
  <si>
    <t>S71353</t>
  </si>
  <si>
    <t>S71354</t>
  </si>
  <si>
    <t>S71355</t>
  </si>
  <si>
    <t>S71952</t>
  </si>
  <si>
    <t>S71953</t>
  </si>
  <si>
    <t>S71954</t>
  </si>
  <si>
    <t>S71955</t>
  </si>
  <si>
    <t>S71801</t>
  </si>
  <si>
    <t>S71652P</t>
  </si>
  <si>
    <t>S71653P</t>
  </si>
  <si>
    <t>S71654P</t>
  </si>
  <si>
    <t>S71655P</t>
  </si>
  <si>
    <t>S71663P</t>
  </si>
  <si>
    <t>S71752P</t>
  </si>
  <si>
    <t>S71753P</t>
  </si>
  <si>
    <t>S71754P</t>
  </si>
  <si>
    <t>S71755P</t>
  </si>
  <si>
    <t>S60021</t>
  </si>
  <si>
    <t>S60011</t>
  </si>
  <si>
    <t>S60010</t>
  </si>
  <si>
    <t>S72201</t>
  </si>
  <si>
    <t>S72202</t>
  </si>
  <si>
    <t>S72203</t>
  </si>
  <si>
    <t>S72204</t>
  </si>
  <si>
    <t>S72206</t>
  </si>
  <si>
    <t>S72207</t>
  </si>
  <si>
    <t>S72208</t>
  </si>
  <si>
    <t>S72209</t>
  </si>
  <si>
    <t>S72210</t>
  </si>
  <si>
    <t>S72212</t>
  </si>
  <si>
    <t>S72215</t>
  </si>
  <si>
    <t>S72221</t>
  </si>
  <si>
    <t>S72222</t>
  </si>
  <si>
    <t>S72223</t>
  </si>
  <si>
    <t>S72226</t>
  </si>
  <si>
    <t>S72230</t>
  </si>
  <si>
    <t>S72255</t>
  </si>
  <si>
    <t>S72257</t>
  </si>
  <si>
    <t>S72258</t>
  </si>
  <si>
    <t>S72261</t>
  </si>
  <si>
    <t>S72262</t>
  </si>
  <si>
    <t>S72263</t>
  </si>
  <si>
    <t>S72265</t>
  </si>
  <si>
    <t>S72267</t>
  </si>
  <si>
    <t>S72268</t>
  </si>
  <si>
    <t>S72511</t>
  </si>
  <si>
    <t>S72512</t>
  </si>
  <si>
    <t>S72521</t>
  </si>
  <si>
    <t>S72523</t>
  </si>
  <si>
    <t>S72527</t>
  </si>
  <si>
    <t>S72530</t>
  </si>
  <si>
    <t>S72532</t>
  </si>
  <si>
    <t>S72537</t>
  </si>
  <si>
    <t>S72538</t>
  </si>
  <si>
    <t>S72602</t>
  </si>
  <si>
    <t>S72603</t>
  </si>
  <si>
    <t>S72605</t>
  </si>
  <si>
    <t>S72606</t>
  </si>
  <si>
    <t>S72609</t>
  </si>
  <si>
    <t>S72615</t>
  </si>
  <si>
    <t>S72620</t>
  </si>
  <si>
    <t>S72622</t>
  </si>
  <si>
    <t>S72626</t>
  </si>
  <si>
    <t>S72710</t>
  </si>
  <si>
    <t>S72711</t>
  </si>
  <si>
    <t>S72720</t>
  </si>
  <si>
    <t>S72722</t>
  </si>
  <si>
    <t>S72723</t>
  </si>
  <si>
    <t>S72723W</t>
  </si>
  <si>
    <t>S72724</t>
  </si>
  <si>
    <t>S72728</t>
  </si>
  <si>
    <t>S72802</t>
  </si>
  <si>
    <t>S72812</t>
  </si>
  <si>
    <t>S72813</t>
  </si>
  <si>
    <t>S72815</t>
  </si>
  <si>
    <t>S72901</t>
  </si>
  <si>
    <t>S72902</t>
  </si>
  <si>
    <t>S72903</t>
  </si>
  <si>
    <t>S72905</t>
  </si>
  <si>
    <t>S72907</t>
  </si>
  <si>
    <t>S72918</t>
  </si>
  <si>
    <t>S72919</t>
  </si>
  <si>
    <t>S72940</t>
  </si>
  <si>
    <t>S72942</t>
  </si>
  <si>
    <t>S73102</t>
  </si>
  <si>
    <t>S73910</t>
  </si>
  <si>
    <t>S73916</t>
  </si>
  <si>
    <t>S73920</t>
  </si>
  <si>
    <t>S80001</t>
  </si>
  <si>
    <t>S80010J</t>
  </si>
  <si>
    <t>S80013J</t>
  </si>
  <si>
    <t>S82601</t>
  </si>
  <si>
    <t>S82801</t>
  </si>
  <si>
    <t>SC82101</t>
  </si>
  <si>
    <t>SC82805</t>
  </si>
  <si>
    <t>SC88001</t>
  </si>
  <si>
    <t>SC88002</t>
  </si>
  <si>
    <t>SC89001</t>
  </si>
  <si>
    <t>J6101</t>
  </si>
  <si>
    <t>J6102</t>
  </si>
  <si>
    <t>J6103</t>
  </si>
  <si>
    <t>J6104</t>
  </si>
  <si>
    <t>J6105</t>
  </si>
  <si>
    <t>J6106</t>
  </si>
  <si>
    <t>J6107</t>
  </si>
  <si>
    <t>J6108</t>
  </si>
  <si>
    <t>J6109</t>
  </si>
  <si>
    <t>J6110</t>
  </si>
  <si>
    <t>J6111</t>
  </si>
  <si>
    <t>J6121</t>
  </si>
  <si>
    <t>J6122</t>
  </si>
  <si>
    <t>J6123</t>
  </si>
  <si>
    <t>J6124</t>
  </si>
  <si>
    <t>J6125</t>
  </si>
  <si>
    <t>J6126</t>
  </si>
  <si>
    <t>J6127</t>
  </si>
  <si>
    <t>J6130</t>
  </si>
  <si>
    <t>J6131</t>
  </si>
  <si>
    <t>J6132</t>
  </si>
  <si>
    <t>J6133</t>
  </si>
  <si>
    <t>J6134</t>
  </si>
  <si>
    <t>J6210</t>
  </si>
  <si>
    <t>J6211</t>
  </si>
  <si>
    <t>J6212</t>
  </si>
  <si>
    <t>J6213</t>
  </si>
  <si>
    <t>J6214</t>
  </si>
  <si>
    <t>J6215</t>
  </si>
  <si>
    <t>J6216</t>
  </si>
  <si>
    <t>J6217</t>
  </si>
  <si>
    <t>J6218</t>
  </si>
  <si>
    <t>J6221</t>
  </si>
  <si>
    <t>J6222</t>
  </si>
  <si>
    <t>J6223</t>
  </si>
  <si>
    <t>J6224</t>
  </si>
  <si>
    <t>J6225</t>
  </si>
  <si>
    <t>J6230</t>
  </si>
  <si>
    <t>J6231</t>
  </si>
  <si>
    <t>J6232</t>
  </si>
  <si>
    <t>J6233</t>
  </si>
  <si>
    <t>J6310</t>
  </si>
  <si>
    <t>J6311</t>
  </si>
  <si>
    <t>J6312</t>
  </si>
  <si>
    <t>J6313</t>
  </si>
  <si>
    <t>J6314</t>
  </si>
  <si>
    <t>J6315</t>
  </si>
  <si>
    <t>J6316</t>
  </si>
  <si>
    <t>J6317</t>
  </si>
  <si>
    <t>J6318</t>
  </si>
  <si>
    <t>J6321</t>
  </si>
  <si>
    <t>J6322</t>
  </si>
  <si>
    <t>J6323</t>
  </si>
  <si>
    <t>J6324</t>
  </si>
  <si>
    <t>J6325</t>
  </si>
  <si>
    <t>J6330</t>
  </si>
  <si>
    <t>J6331</t>
  </si>
  <si>
    <t>J6332</t>
  </si>
  <si>
    <t>J6333</t>
  </si>
  <si>
    <t>S61602</t>
  </si>
  <si>
    <t>S61603</t>
  </si>
  <si>
    <t>S61604</t>
  </si>
  <si>
    <t>S61605</t>
  </si>
  <si>
    <t>S61702</t>
  </si>
  <si>
    <t>S61703</t>
  </si>
  <si>
    <t>S61704</t>
  </si>
  <si>
    <t>S61705</t>
  </si>
  <si>
    <t>JS0001</t>
  </si>
  <si>
    <t>S60001B</t>
  </si>
  <si>
    <t>S60030</t>
  </si>
  <si>
    <t>S62201</t>
  </si>
  <si>
    <t>S62202</t>
  </si>
  <si>
    <t>S62203</t>
  </si>
  <si>
    <t>S62206</t>
  </si>
  <si>
    <t>S62207</t>
  </si>
  <si>
    <t>S62208</t>
  </si>
  <si>
    <t>S62209</t>
  </si>
  <si>
    <t>S62209U</t>
  </si>
  <si>
    <t>S62210</t>
  </si>
  <si>
    <t>S62212</t>
  </si>
  <si>
    <t>S62214</t>
  </si>
  <si>
    <t>S62214U</t>
  </si>
  <si>
    <t>S62215</t>
  </si>
  <si>
    <t>S62221</t>
  </si>
  <si>
    <t>S62223</t>
  </si>
  <si>
    <t>S62226</t>
  </si>
  <si>
    <t>S62227</t>
  </si>
  <si>
    <t>S62230</t>
  </si>
  <si>
    <t>S62233</t>
  </si>
  <si>
    <t>S62233WA</t>
  </si>
  <si>
    <t>S62250</t>
  </si>
  <si>
    <t>S62251</t>
  </si>
  <si>
    <t>S62252</t>
  </si>
  <si>
    <t>S62253</t>
  </si>
  <si>
    <t>S62255</t>
  </si>
  <si>
    <t>S62257</t>
  </si>
  <si>
    <t>S62258</t>
  </si>
  <si>
    <t>S62259</t>
  </si>
  <si>
    <t>S62261</t>
  </si>
  <si>
    <t>S62262</t>
  </si>
  <si>
    <t>S62263</t>
  </si>
  <si>
    <t>S62265</t>
  </si>
  <si>
    <t>S62267</t>
  </si>
  <si>
    <t>S62269</t>
  </si>
  <si>
    <t>S62515</t>
  </si>
  <si>
    <t>S62516</t>
  </si>
  <si>
    <t>S62521</t>
  </si>
  <si>
    <t>S62523</t>
  </si>
  <si>
    <t>S62530</t>
  </si>
  <si>
    <t>S62532</t>
  </si>
  <si>
    <t>S62536</t>
  </si>
  <si>
    <t>S62537</t>
  </si>
  <si>
    <t>S62603</t>
  </si>
  <si>
    <t>S62605</t>
  </si>
  <si>
    <t>S62606</t>
  </si>
  <si>
    <t>S62609</t>
  </si>
  <si>
    <t>S62610</t>
  </si>
  <si>
    <t>S62615</t>
  </si>
  <si>
    <t>S62617</t>
  </si>
  <si>
    <t>S62619</t>
  </si>
  <si>
    <t>S62620</t>
  </si>
  <si>
    <t>S62621</t>
  </si>
  <si>
    <t>S62622</t>
  </si>
  <si>
    <t>S62622P</t>
  </si>
  <si>
    <t>S62624</t>
  </si>
  <si>
    <t>S62626</t>
  </si>
  <si>
    <t>S62710</t>
  </si>
  <si>
    <t>S62711</t>
  </si>
  <si>
    <t>S62720</t>
  </si>
  <si>
    <t>S62722</t>
  </si>
  <si>
    <t>S62723</t>
  </si>
  <si>
    <t>S62723W</t>
  </si>
  <si>
    <t>S62724</t>
  </si>
  <si>
    <t>S62725</t>
  </si>
  <si>
    <t>S62728</t>
  </si>
  <si>
    <t>S62802</t>
  </si>
  <si>
    <t>S62809</t>
  </si>
  <si>
    <t>S62810</t>
  </si>
  <si>
    <t>S62812</t>
  </si>
  <si>
    <t>S62813</t>
  </si>
  <si>
    <t>S62815</t>
  </si>
  <si>
    <t>S62901</t>
  </si>
  <si>
    <t>S62902</t>
  </si>
  <si>
    <t>S62903</t>
  </si>
  <si>
    <t>S62209E</t>
  </si>
  <si>
    <t>S62905</t>
  </si>
  <si>
    <t>S62905E</t>
  </si>
  <si>
    <t>S62905U</t>
  </si>
  <si>
    <t>S62907</t>
  </si>
  <si>
    <t>S62907E</t>
  </si>
  <si>
    <t>S62907U</t>
  </si>
  <si>
    <t>S62908</t>
  </si>
  <si>
    <t>S62908U</t>
  </si>
  <si>
    <t>S62917</t>
  </si>
  <si>
    <t>S62917U</t>
  </si>
  <si>
    <t>S62918</t>
  </si>
  <si>
    <t>S62918U</t>
  </si>
  <si>
    <t>S62919</t>
  </si>
  <si>
    <t>S62940</t>
  </si>
  <si>
    <t>S63102</t>
  </si>
  <si>
    <t>S63910</t>
  </si>
  <si>
    <t>S63914</t>
  </si>
  <si>
    <t>S63916</t>
  </si>
  <si>
    <t>S63920</t>
  </si>
  <si>
    <t>S63921</t>
  </si>
  <si>
    <t>S65251</t>
  </si>
  <si>
    <t>S65253</t>
  </si>
  <si>
    <t>PA11001W</t>
  </si>
  <si>
    <t>PA11002W</t>
  </si>
  <si>
    <t>PA31021B</t>
  </si>
  <si>
    <t>PA31021DB</t>
  </si>
  <si>
    <t>PA31021G</t>
  </si>
  <si>
    <t>PA31021P</t>
  </si>
  <si>
    <t>PA31021R</t>
  </si>
  <si>
    <t>PA31021W</t>
  </si>
  <si>
    <t>PA31021Y</t>
  </si>
  <si>
    <t>PA31024B</t>
  </si>
  <si>
    <t>PA31024W</t>
  </si>
  <si>
    <t>PA37000P</t>
  </si>
  <si>
    <t>PA37001B</t>
  </si>
  <si>
    <t>PA37001DB</t>
  </si>
  <si>
    <t>PA37001G</t>
  </si>
  <si>
    <t>PA37001P</t>
  </si>
  <si>
    <t>PA37001R</t>
  </si>
  <si>
    <t>PA37002B</t>
  </si>
  <si>
    <t>PA37002G</t>
  </si>
  <si>
    <t>PA37002P</t>
  </si>
  <si>
    <t>PA38001B</t>
  </si>
  <si>
    <t>PA38003B</t>
  </si>
  <si>
    <t>PA38006B</t>
  </si>
  <si>
    <t>PA39001B</t>
  </si>
  <si>
    <t>PA39001R</t>
  </si>
  <si>
    <t>PA53001B</t>
  </si>
  <si>
    <t>PA53002B</t>
  </si>
  <si>
    <t>PA53003B</t>
  </si>
  <si>
    <t>PA57001W</t>
  </si>
  <si>
    <t>PA57002W</t>
  </si>
  <si>
    <t>PA61001Y</t>
  </si>
  <si>
    <t>PA62001DB</t>
  </si>
  <si>
    <t>PA64001W</t>
  </si>
  <si>
    <t>PA64002Y</t>
  </si>
  <si>
    <t>PA64003B</t>
  </si>
  <si>
    <t>PA64003Y</t>
  </si>
  <si>
    <t>PA64004B</t>
  </si>
  <si>
    <t>PA64004Y</t>
  </si>
  <si>
    <t>PA65002V</t>
  </si>
  <si>
    <t>PA81001</t>
  </si>
  <si>
    <t>PA81001XL</t>
  </si>
  <si>
    <t>PA83001</t>
  </si>
  <si>
    <t>PA83003</t>
  </si>
  <si>
    <t>PA83005</t>
  </si>
  <si>
    <t>PA83005XL</t>
  </si>
  <si>
    <t>SPBS001WA</t>
  </si>
  <si>
    <t>SPB700C</t>
  </si>
  <si>
    <t>PB1000B</t>
  </si>
  <si>
    <t>PB500B</t>
  </si>
  <si>
    <t>PB250B</t>
  </si>
  <si>
    <t>PB700C</t>
  </si>
  <si>
    <t>PBTD200Y</t>
  </si>
  <si>
    <t>BSST40Y</t>
  </si>
  <si>
    <t>PE700B</t>
  </si>
  <si>
    <t>PA66002B</t>
  </si>
  <si>
    <t>PA66002R</t>
  </si>
  <si>
    <t>PA66002P</t>
  </si>
  <si>
    <t>PA66002G</t>
  </si>
  <si>
    <t>PA66002DB</t>
  </si>
  <si>
    <t>PA66003B</t>
  </si>
  <si>
    <t>PA66003R</t>
  </si>
  <si>
    <t>PA66003P</t>
  </si>
  <si>
    <t>PA66003G</t>
  </si>
  <si>
    <t>PA66003DB</t>
  </si>
  <si>
    <t>S61801</t>
  </si>
  <si>
    <t>PA51001L</t>
  </si>
  <si>
    <t>PA52001L</t>
  </si>
  <si>
    <t>PET211025</t>
  </si>
  <si>
    <t>PET231225</t>
  </si>
  <si>
    <t>PET323825</t>
  </si>
  <si>
    <t>PET415325</t>
  </si>
  <si>
    <t>PET231250</t>
  </si>
  <si>
    <t>PET231050</t>
  </si>
  <si>
    <t>PET232550</t>
  </si>
  <si>
    <t>TRAY, BLUE, 12.5X10X2.5CM</t>
  </si>
  <si>
    <t>TRAY, BLUE, 23X12.5X2.5CM</t>
  </si>
  <si>
    <t>TRAY, SMALL, 31.5X38X2.5CM</t>
  </si>
  <si>
    <t>TRAY, LARGE, 41.5X53X2.5CM</t>
  </si>
  <si>
    <t>TRAY, HALF DEEP, BLUE, 12X10X5CM</t>
  </si>
  <si>
    <t>TRAY, HALF DEEP, BLUE, 23X12X5CM</t>
  </si>
  <si>
    <t>TRAY, 2-COMP, BLUE, 23X10X5CM</t>
  </si>
  <si>
    <t>TRAY, 3-COMP, BLUE, 23X12.5X5CM</t>
  </si>
  <si>
    <t>PET121050</t>
  </si>
  <si>
    <t>PET232750</t>
  </si>
  <si>
    <t>TRAY, HALF DEEP, BLUE, 23X27X5CM</t>
  </si>
  <si>
    <t>PET372825</t>
  </si>
  <si>
    <t>TRAY, BLUE, 37.5X28X2.5CM</t>
  </si>
  <si>
    <t>NSW 1019</t>
  </si>
  <si>
    <t>SureSafe® N95 mask, flat fold, small</t>
  </si>
  <si>
    <t>SureSafe® N95 mask, flat fold, regular</t>
  </si>
  <si>
    <t>SureSafe® N95 mask, cone, small</t>
  </si>
  <si>
    <t>SureSafe® N95 mask, cone, medium</t>
  </si>
  <si>
    <t>SureSafe® N95 mask, cone, large</t>
  </si>
  <si>
    <t>PA25901</t>
  </si>
  <si>
    <t>PA25902</t>
  </si>
  <si>
    <t>PA25903</t>
  </si>
  <si>
    <t>PA25904</t>
  </si>
  <si>
    <t>PA25905</t>
  </si>
  <si>
    <t>PA25121B</t>
  </si>
  <si>
    <t>PA25122B</t>
  </si>
  <si>
    <t>PA25123B</t>
  </si>
  <si>
    <t>PA25161Y</t>
  </si>
  <si>
    <t>PA25162Y</t>
  </si>
  <si>
    <t>PA25163Y</t>
  </si>
  <si>
    <t>PA25164Y</t>
  </si>
  <si>
    <t>PA25001B</t>
  </si>
  <si>
    <t>PA25001G</t>
  </si>
  <si>
    <t>PA25002B</t>
  </si>
  <si>
    <t>PA25002G</t>
  </si>
  <si>
    <t>PA25003G</t>
  </si>
  <si>
    <t>PA25004G</t>
  </si>
  <si>
    <t>PA25601</t>
  </si>
  <si>
    <t>PA25602</t>
  </si>
  <si>
    <t>SureSafe® Face Shield, 3/4, clear</t>
  </si>
  <si>
    <t>SureSafe® Face Shield, full length, clear</t>
  </si>
  <si>
    <t>bx</t>
  </si>
  <si>
    <t>bx/ctn</t>
  </si>
  <si>
    <t>USD Carton</t>
  </si>
  <si>
    <t>Tender Price</t>
  </si>
  <si>
    <t>PA25124B</t>
  </si>
  <si>
    <t>ea price</t>
  </si>
  <si>
    <t>Surgical Mask 80, anti-fog, ear loop, blue</t>
  </si>
  <si>
    <t>Surgical Mask 80, anti-fog, ear loop, Green</t>
  </si>
  <si>
    <t>Surgical Mask 80, anti-fog, tie-on, blue</t>
  </si>
  <si>
    <t>Surgical Mask 80, anti-fog, tie-on, Green</t>
  </si>
  <si>
    <t>Surgical Mask with shield, 80, anti-fog, ear-loop, Green</t>
  </si>
  <si>
    <t>Surgical Mask with shield, 80, anti-fog, tie-on, Green</t>
  </si>
  <si>
    <t>Surgical Mask 120,ear loop,anti-fog, blue</t>
  </si>
  <si>
    <t>Surgical Mask 120,tie-on, anti-fog, blue</t>
  </si>
  <si>
    <t>Surgical Mask with shield, 120,ear loop,anti-fog, blue</t>
  </si>
  <si>
    <t>Surgical Mask with shield, 120,tie-on,anti-fog, blue</t>
  </si>
  <si>
    <t>Surgical Mark, 160, ear loop, anti-fog, yellow</t>
  </si>
  <si>
    <t>Surgical Mark, 160, tie-on, anti-fog, yellow</t>
  </si>
  <si>
    <t>Surgical Mark with shield, 160, ear-loop, anti-fog, yellow</t>
  </si>
  <si>
    <t>Surgical Mark with shield, 160, tie-on, anti-fog, yellow</t>
  </si>
  <si>
    <t>SC81005</t>
  </si>
  <si>
    <t>DRAPE UNIVERSAL PACKS</t>
  </si>
  <si>
    <t>S72249</t>
  </si>
  <si>
    <t>DRAPE ADHESIVE 80X90CM</t>
  </si>
  <si>
    <t>BOX</t>
  </si>
  <si>
    <t>F</t>
  </si>
  <si>
    <t>S60040</t>
  </si>
  <si>
    <t>N/S DRAPE CLINICOVER, MEDIUM, light weight, 60x90cm</t>
  </si>
  <si>
    <t xml:space="preserve">  PLAIN STANDARD GAUZE 10X10CM, NON-STERILE</t>
  </si>
  <si>
    <t xml:space="preserve">  X-RAY DETECT. GAUZE 10X10CM, ECONOMY-GRADE, NON-STERILE</t>
  </si>
  <si>
    <t xml:space="preserve">  X-RAY DETECT. GAUZE 10X10CM, PREMIUM-GRADE, NON-STERILE</t>
  </si>
  <si>
    <t>SW1541E</t>
  </si>
  <si>
    <t>SW1541</t>
  </si>
  <si>
    <t>WA1541E</t>
  </si>
  <si>
    <t>S72248</t>
  </si>
  <si>
    <t>DRAPE ADHESIVE 150x170CM</t>
  </si>
  <si>
    <t>S80002</t>
  </si>
  <si>
    <t>CPP.VRH.002</t>
  </si>
  <si>
    <t>UNIVERSAL DRAPE SET FOR VRH</t>
  </si>
  <si>
    <t>N/S THUMB LOOP GOWNS,BLUE, Large</t>
  </si>
  <si>
    <t>N/S THUMB LOOP GOWNS,BLUE, Regular</t>
  </si>
  <si>
    <t>PA65002B</t>
  </si>
  <si>
    <t>Woundcare</t>
  </si>
  <si>
    <t>Universal Drape Set I</t>
  </si>
  <si>
    <t>Universal Drape Set II</t>
  </si>
  <si>
    <t>PA56001</t>
  </si>
  <si>
    <t>PA56003</t>
  </si>
  <si>
    <t>PA56002</t>
  </si>
  <si>
    <t>PA56004</t>
  </si>
  <si>
    <t>N/S Brief, Dark Blue, Large</t>
  </si>
  <si>
    <t>N/S Brief, Dark Blue, XLarge</t>
  </si>
  <si>
    <t>N/S Brief, Dark Blue, XXLarge</t>
  </si>
  <si>
    <t>N/S Brief, Dark Blue, XXXLarge</t>
  </si>
  <si>
    <t>S70001B</t>
  </si>
  <si>
    <t>PA56005</t>
  </si>
  <si>
    <t>Pelvic V with tie, regular</t>
  </si>
  <si>
    <t>SC85010</t>
  </si>
  <si>
    <t>JUG PACK,1000ml Sterile</t>
  </si>
  <si>
    <t>JUG PACK,1500ml Sterile</t>
  </si>
  <si>
    <t>Box SIZE(L*W*H)cm</t>
  </si>
  <si>
    <t>USD FOB China Price</t>
  </si>
  <si>
    <t>AUD FOB China Price</t>
  </si>
  <si>
    <t>Freight Cost Box USD</t>
  </si>
  <si>
    <t>Freight Cost Box AUD</t>
  </si>
  <si>
    <t>Current AUD DOB China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</si>
</sst>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quot;$&quot;* #,##0.00_-;_-&quot;$&quot;* &quot;-&quot;??_-;_-@_-"/>
    <numFmt numFmtId="43" formatCode="_-* #,##0.00_-;\-* #,##0.00_-;_-* &quot;-&quot;??_-;_-@_-"/>
    <numFmt numFmtId="164" formatCode="0.0%"/>
    <numFmt numFmtId="165" formatCode="_-* #,##0\ _B_F_-;\-* #,##0\ _B_F_-;_-* &quot;-&quot;\ _B_F_-;_-@_-"/>
    <numFmt numFmtId="166" formatCode="0.00_)"/>
    <numFmt numFmtId="167" formatCode="General_)"/>
    <numFmt numFmtId="168" formatCode="_(&quot;$&quot;* #,##0_);_(&quot;$&quot;* \(#,##0\);_(&quot;$&quot;* &quot;-&quot;_);_(@_)"/>
    <numFmt numFmtId="169" formatCode="#,##0.000"/>
    <numFmt numFmtId="170" formatCode="&quot;$&quot;#,##0.00"/>
    <numFmt numFmtId="171" formatCode="_-[$$-C09]* #,##0.00_-;\-[$$-C09]* #,##0.00_-;_-[$$-C09]* &quot;-&quot;??_-;_-@_-"/>
    <numFmt numFmtId="172" formatCode="0.00000"/>
    <numFmt numFmtId="173" formatCode="_-&quot;$&quot;* #,##0.0000_-;\-&quot;$&quot;* #,##0.0000_-;_-&quot;$&quot;* &quot;-&quot;??_-;_-@_-"/>
    <numFmt numFmtId="174" formatCode="#,##0.0000"/>
    <numFmt numFmtId="175" formatCode="0.0000"/>
    <numFmt numFmtId="176" formatCode="0.000"/>
    <numFmt numFmtId="177" formatCode="[$USD]\ #,##0.00"/>
    <numFmt numFmtId="178" formatCode="&quot;$&quot;#,##0.000"/>
    <numFmt numFmtId="179" formatCode="0.0000_);[Red]\(0.0000\)"/>
  </numFmts>
  <fonts count="70">
    <font>
      <sz val="11"/>
      <color theme="1"/>
      <name val="Calibri"/>
      <family val="2"/>
      <scheme val="minor"/>
    </font>
    <font>
      <sz val="11"/>
      <color indexed="8"/>
      <name val="Calibri"/>
      <family val="2"/>
    </font>
    <font>
      <b/>
      <sz val="11"/>
      <color indexed="8"/>
      <name val="Calibri"/>
      <family val="2"/>
    </font>
    <font>
      <sz val="11"/>
      <color indexed="8"/>
      <name val="Calibri"/>
      <family val="2"/>
    </font>
    <font>
      <sz val="8"/>
      <name val="Calibri"/>
      <family val="2"/>
    </font>
    <font>
      <b/>
      <sz val="11"/>
      <color theme="1"/>
      <name val="Calibri"/>
      <family val="2"/>
      <scheme val="minor"/>
    </font>
    <font>
      <sz val="11"/>
      <name val="Calibri"/>
      <family val="2"/>
      <scheme val="minor"/>
    </font>
    <font>
      <sz val="10"/>
      <name val="Arial"/>
      <family val="2"/>
    </font>
    <font>
      <b/>
      <sz val="10"/>
      <name val="Arial"/>
      <family val="2"/>
    </font>
    <font>
      <sz val="10"/>
      <color indexed="8"/>
      <name val="Arial"/>
      <family val="2"/>
    </font>
    <font>
      <sz val="10"/>
      <name val="Arial"/>
      <family val="2"/>
    </font>
    <font>
      <sz val="8"/>
      <name val="Book Antiqua"/>
      <family val="1"/>
    </font>
    <font>
      <b/>
      <i/>
      <sz val="16"/>
      <name val="Helv"/>
    </font>
    <font>
      <sz val="7"/>
      <name val="Helv"/>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8"/>
      <name val="Arial"/>
      <family val="2"/>
    </font>
    <font>
      <sz val="10"/>
      <color indexed="39"/>
      <name val="Arial"/>
      <family val="2"/>
    </font>
    <font>
      <sz val="19"/>
      <color indexed="48"/>
      <name val="Arial"/>
      <family val="2"/>
    </font>
    <font>
      <sz val="10"/>
      <color indexed="10"/>
      <name val="Arial"/>
      <family val="2"/>
    </font>
    <font>
      <sz val="11"/>
      <name val="ＭＳ Ｐゴシック"/>
      <family val="3"/>
      <charset val="128"/>
    </font>
    <font>
      <b/>
      <i/>
      <sz val="10"/>
      <name val="Arial"/>
      <family val="2"/>
    </font>
    <font>
      <b/>
      <sz val="14"/>
      <color theme="1"/>
      <name val="Calibri"/>
      <family val="2"/>
      <scheme val="minor"/>
    </font>
    <font>
      <sz val="11"/>
      <color theme="1"/>
      <name val="Calibri"/>
      <family val="2"/>
      <scheme val="minor"/>
    </font>
    <font>
      <sz val="10"/>
      <name val="Verdana"/>
      <family val="2"/>
    </font>
    <font>
      <sz val="11"/>
      <color rgb="FFFF0000"/>
      <name val="Calibri"/>
      <family val="2"/>
      <scheme val="minor"/>
    </font>
    <font>
      <sz val="12"/>
      <color rgb="FF006100"/>
      <name val="Calibri"/>
      <family val="2"/>
      <scheme val="minor"/>
    </font>
    <font>
      <u/>
      <sz val="11"/>
      <color theme="10"/>
      <name val="Calibri"/>
      <family val="2"/>
      <scheme val="minor"/>
    </font>
    <font>
      <u/>
      <sz val="11"/>
      <color theme="11"/>
      <name val="Calibri"/>
      <family val="2"/>
      <scheme val="minor"/>
    </font>
    <font>
      <sz val="10"/>
      <color rgb="FF006100"/>
      <name val="Calibri"/>
      <family val="2"/>
      <scheme val="minor"/>
    </font>
    <font>
      <sz val="10"/>
      <color theme="1"/>
      <name val="Calibri"/>
      <family val="2"/>
      <scheme val="minor"/>
    </font>
    <font>
      <sz val="11"/>
      <color rgb="FF000000"/>
      <name val="Calibri"/>
      <family val="2"/>
      <scheme val="minor"/>
    </font>
    <font>
      <sz val="10"/>
      <color rgb="FF002060"/>
      <name val="Calibri"/>
      <family val="2"/>
      <scheme val="minor"/>
    </font>
    <font>
      <sz val="11"/>
      <color rgb="FF0000FF"/>
      <name val="Calibri"/>
      <family val="2"/>
      <scheme val="minor"/>
    </font>
    <font>
      <sz val="10"/>
      <name val="Arial"/>
      <family val="2"/>
    </font>
    <font>
      <sz val="11"/>
      <color theme="0"/>
      <name val="Calibri"/>
      <family val="2"/>
      <scheme val="minor"/>
    </font>
    <font>
      <sz val="12"/>
      <color rgb="FF000000"/>
      <name val="Calibri"/>
      <family val="2"/>
      <scheme val="minor"/>
    </font>
    <font>
      <b/>
      <sz val="11"/>
      <color rgb="FF000000"/>
      <name val="Calibri"/>
      <family val="2"/>
      <scheme val="minor"/>
    </font>
    <font>
      <sz val="9"/>
      <name val="Calibri"/>
      <family val="2"/>
      <scheme val="minor"/>
    </font>
    <font>
      <sz val="12"/>
      <color theme="1"/>
      <name val="Calibri"/>
      <family val="2"/>
      <scheme val="minor"/>
    </font>
    <font>
      <sz val="11"/>
      <name val="明朝"/>
      <family val="1"/>
      <charset val="136"/>
    </font>
    <font>
      <sz val="12"/>
      <name val="宋体"/>
      <charset val="134"/>
    </font>
    <font>
      <b/>
      <sz val="10"/>
      <color indexed="8"/>
      <name val="Calibri"/>
      <family val="2"/>
    </font>
    <font>
      <sz val="12"/>
      <name val="Arial"/>
      <family val="2"/>
    </font>
    <font>
      <sz val="12"/>
      <color indexed="17"/>
      <name val="宋体"/>
      <charset val="134"/>
    </font>
    <font>
      <sz val="11"/>
      <color indexed="8"/>
      <name val="宋体"/>
      <charset val="134"/>
    </font>
    <font>
      <sz val="11"/>
      <color indexed="42"/>
      <name val="宋体"/>
      <charset val="134"/>
    </font>
    <font>
      <b/>
      <sz val="18"/>
      <color indexed="62"/>
      <name val="宋体"/>
      <charset val="134"/>
    </font>
    <font>
      <sz val="11"/>
      <color indexed="20"/>
      <name val="宋体"/>
      <charset val="134"/>
    </font>
    <font>
      <sz val="11"/>
      <color indexed="17"/>
      <name val="宋体"/>
      <charset val="134"/>
    </font>
    <font>
      <sz val="12"/>
      <color indexed="10"/>
      <name val="Arial"/>
      <family val="2"/>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1"/>
      <color indexed="8"/>
      <name val="Calibri"/>
      <family val="2"/>
      <scheme val="minor"/>
    </font>
    <font>
      <b/>
      <sz val="11"/>
      <color indexed="8"/>
      <name val="Calibri"/>
      <family val="2"/>
      <scheme val="minor"/>
    </font>
    <font>
      <sz val="11"/>
      <color indexed="10"/>
      <name val="Calibri"/>
      <family val="2"/>
      <scheme val="minor"/>
    </font>
    <font>
      <sz val="11"/>
      <color rgb="FF006100"/>
      <name val="Calibri"/>
      <family val="2"/>
      <scheme val="minor"/>
    </font>
  </fonts>
  <fills count="57">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42"/>
        <bgColor indexed="64"/>
      </patternFill>
    </fill>
    <fill>
      <patternFill patternType="solid">
        <fgColor theme="7" tint="0.59999389629810485"/>
        <bgColor indexed="64"/>
      </patternFill>
    </fill>
    <fill>
      <patternFill patternType="solid">
        <fgColor rgb="FFFFC000"/>
        <bgColor indexed="64"/>
      </patternFill>
    </fill>
    <fill>
      <patternFill patternType="gray0625"/>
    </fill>
    <fill>
      <patternFill patternType="solid">
        <fgColor indexed="43"/>
      </patternFill>
    </fill>
    <fill>
      <patternFill patternType="solid">
        <fgColor indexed="40"/>
        <bgColor indexed="64"/>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FF00"/>
        <bgColor indexed="64"/>
      </patternFill>
    </fill>
    <fill>
      <patternFill patternType="solid">
        <fgColor theme="2" tint="-0.499984740745262"/>
        <bgColor indexed="64"/>
      </patternFill>
    </fill>
    <fill>
      <patternFill patternType="solid">
        <fgColor rgb="FFC6EFCE"/>
      </patternFill>
    </fill>
    <fill>
      <patternFill patternType="solid">
        <fgColor rgb="FF00B0F0"/>
        <bgColor indexed="64"/>
      </patternFill>
    </fill>
    <fill>
      <patternFill patternType="solid">
        <fgColor indexed="34"/>
        <bgColor indexed="64"/>
      </patternFill>
    </fill>
    <fill>
      <patternFill patternType="solid">
        <fgColor rgb="FF7CECE7"/>
        <bgColor indexed="64"/>
      </patternFill>
    </fill>
    <fill>
      <gradientFill degree="135">
        <stop position="0">
          <color theme="0"/>
        </stop>
        <stop position="1">
          <color theme="4" tint="0.59999389629810485"/>
        </stop>
      </gradientFill>
    </fill>
    <fill>
      <gradientFill degree="135">
        <stop position="0">
          <color theme="0"/>
        </stop>
        <stop position="1">
          <color rgb="FFE2F5A5"/>
        </stop>
      </gradientFill>
    </fill>
    <fill>
      <patternFill patternType="solid">
        <fgColor rgb="FFCCFFFF"/>
        <bgColor indexed="64"/>
      </patternFill>
    </fill>
    <fill>
      <patternFill patternType="solid">
        <fgColor theme="4" tint="-0.499984740745262"/>
        <bgColor indexed="64"/>
      </patternFill>
    </fill>
    <fill>
      <patternFill patternType="solid">
        <fgColor rgb="FF8D1766"/>
        <bgColor indexed="64"/>
      </patternFill>
    </fill>
    <fill>
      <patternFill patternType="solid">
        <fgColor rgb="FFFF99CC"/>
        <bgColor rgb="FF000000"/>
      </patternFill>
    </fill>
    <fill>
      <patternFill patternType="solid">
        <fgColor rgb="FF99CCFF"/>
        <bgColor rgb="FF000000"/>
      </patternFill>
    </fill>
    <fill>
      <patternFill patternType="solid">
        <fgColor rgb="FFFFFFFF"/>
        <bgColor rgb="FF000000"/>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44"/>
      </patternFill>
    </fill>
    <fill>
      <patternFill patternType="solid">
        <fgColor indexed="22"/>
      </patternFill>
    </fill>
    <fill>
      <patternFill patternType="solid">
        <fgColor indexed="49"/>
      </patternFill>
    </fill>
    <fill>
      <patternFill patternType="solid">
        <fgColor indexed="55"/>
      </patternFill>
    </fill>
    <fill>
      <patternFill patternType="solid">
        <fgColor indexed="42"/>
      </patternFill>
    </fill>
    <fill>
      <patternFill patternType="solid">
        <fgColor indexed="54"/>
      </patternFill>
    </fill>
    <fill>
      <patternFill patternType="solid">
        <fgColor theme="0"/>
        <bgColor indexed="64"/>
      </patternFill>
    </fill>
  </fills>
  <borders count="49">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thin">
        <color auto="1"/>
      </top>
      <bottom style="dotted">
        <color auto="1"/>
      </bottom>
      <diagonal/>
    </border>
    <border>
      <left/>
      <right style="thin">
        <color auto="1"/>
      </right>
      <top style="dotted">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641">
    <xf numFmtId="0" fontId="0" fillId="0" borderId="0"/>
    <xf numFmtId="9" fontId="3" fillId="0" borderId="0" applyFont="0" applyFill="0" applyBorder="0" applyAlignment="0" applyProtection="0"/>
    <xf numFmtId="0" fontId="7" fillId="0" borderId="0"/>
    <xf numFmtId="0" fontId="7" fillId="0" borderId="0"/>
    <xf numFmtId="0" fontId="9" fillId="0" borderId="0">
      <alignment vertical="top"/>
    </xf>
    <xf numFmtId="165" fontId="10" fillId="0" borderId="0" applyFont="0" applyFill="0" applyAlignment="0" applyProtection="0"/>
    <xf numFmtId="165" fontId="10" fillId="0" borderId="0" applyFont="0" applyFill="0" applyAlignment="0" applyProtection="0"/>
    <xf numFmtId="0" fontId="9" fillId="0" borderId="0">
      <alignment vertical="top"/>
    </xf>
    <xf numFmtId="0" fontId="10" fillId="0" borderId="0"/>
    <xf numFmtId="0" fontId="11" fillId="10" borderId="0" applyNumberFormat="0" applyFont="0" applyBorder="0" applyAlignment="0">
      <protection locked="0"/>
    </xf>
    <xf numFmtId="166" fontId="12"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4" fontId="14" fillId="11" borderId="15" applyNumberFormat="0" applyProtection="0">
      <alignment vertical="center"/>
    </xf>
    <xf numFmtId="4" fontId="15" fillId="5" borderId="15" applyNumberFormat="0" applyProtection="0">
      <alignment vertical="center"/>
    </xf>
    <xf numFmtId="4" fontId="14" fillId="5" borderId="15" applyNumberFormat="0" applyProtection="0">
      <alignment horizontal="left" vertical="center" indent="1"/>
    </xf>
    <xf numFmtId="0" fontId="14" fillId="5" borderId="15" applyNumberFormat="0" applyProtection="0">
      <alignment horizontal="left" vertical="top" indent="1"/>
    </xf>
    <xf numFmtId="4" fontId="14" fillId="12" borderId="0" applyNumberFormat="0" applyProtection="0">
      <alignment horizontal="left" vertical="center" indent="1"/>
    </xf>
    <xf numFmtId="4" fontId="16" fillId="13" borderId="15" applyNumberFormat="0" applyProtection="0">
      <alignment horizontal="right" vertical="center"/>
    </xf>
    <xf numFmtId="4" fontId="16" fillId="14" borderId="15" applyNumberFormat="0" applyProtection="0">
      <alignment horizontal="right" vertical="center"/>
    </xf>
    <xf numFmtId="4" fontId="16" fillId="15" borderId="15" applyNumberFormat="0" applyProtection="0">
      <alignment horizontal="right" vertical="center"/>
    </xf>
    <xf numFmtId="4" fontId="16" fillId="16" borderId="15" applyNumberFormat="0" applyProtection="0">
      <alignment horizontal="right" vertical="center"/>
    </xf>
    <xf numFmtId="4" fontId="16" fillId="17" borderId="15" applyNumberFormat="0" applyProtection="0">
      <alignment horizontal="right" vertical="center"/>
    </xf>
    <xf numFmtId="4" fontId="16" fillId="18" borderId="15" applyNumberFormat="0" applyProtection="0">
      <alignment horizontal="right" vertical="center"/>
    </xf>
    <xf numFmtId="4" fontId="16" fillId="19" borderId="15" applyNumberFormat="0" applyProtection="0">
      <alignment horizontal="right" vertical="center"/>
    </xf>
    <xf numFmtId="4" fontId="16" fillId="20" borderId="15" applyNumberFormat="0" applyProtection="0">
      <alignment horizontal="right" vertical="center"/>
    </xf>
    <xf numFmtId="4" fontId="16" fillId="21" borderId="15" applyNumberFormat="0" applyProtection="0">
      <alignment horizontal="right" vertical="center"/>
    </xf>
    <xf numFmtId="4" fontId="14" fillId="22" borderId="16" applyNumberFormat="0" applyProtection="0">
      <alignment horizontal="left" vertical="center" indent="1"/>
    </xf>
    <xf numFmtId="4" fontId="16" fillId="23" borderId="0" applyNumberFormat="0" applyProtection="0">
      <alignment horizontal="left" vertical="center" indent="1"/>
    </xf>
    <xf numFmtId="4" fontId="17" fillId="24" borderId="0" applyNumberFormat="0" applyProtection="0">
      <alignment horizontal="left" vertical="center" indent="1"/>
    </xf>
    <xf numFmtId="4" fontId="16" fillId="25" borderId="15" applyNumberFormat="0" applyProtection="0">
      <alignment horizontal="right" vertical="center"/>
    </xf>
    <xf numFmtId="4" fontId="18" fillId="23" borderId="0" applyNumberFormat="0" applyProtection="0">
      <alignment horizontal="left" vertical="center" indent="1"/>
    </xf>
    <xf numFmtId="4" fontId="18" fillId="12" borderId="0" applyNumberFormat="0" applyProtection="0">
      <alignment horizontal="left" vertical="center" indent="1"/>
    </xf>
    <xf numFmtId="0" fontId="7" fillId="24" borderId="15" applyNumberFormat="0" applyProtection="0">
      <alignment horizontal="left" vertical="center" indent="1"/>
    </xf>
    <xf numFmtId="0" fontId="7" fillId="24" borderId="15" applyNumberFormat="0" applyProtection="0">
      <alignment horizontal="left" vertical="top" indent="1"/>
    </xf>
    <xf numFmtId="0" fontId="7" fillId="12" borderId="15" applyNumberFormat="0" applyProtection="0">
      <alignment horizontal="left" vertical="center" indent="1"/>
    </xf>
    <xf numFmtId="0" fontId="7" fillId="12" borderId="15" applyNumberFormat="0" applyProtection="0">
      <alignment horizontal="left" vertical="top" indent="1"/>
    </xf>
    <xf numFmtId="0" fontId="7" fillId="6" borderId="15" applyNumberFormat="0" applyProtection="0">
      <alignment horizontal="left" vertical="center" indent="1"/>
    </xf>
    <xf numFmtId="0" fontId="7" fillId="6" borderId="15" applyNumberFormat="0" applyProtection="0">
      <alignment horizontal="left" vertical="top" indent="1"/>
    </xf>
    <xf numFmtId="0" fontId="7" fillId="26" borderId="15" applyNumberFormat="0" applyProtection="0">
      <alignment horizontal="left" vertical="center" indent="1"/>
    </xf>
    <xf numFmtId="0" fontId="7" fillId="26" borderId="15" applyNumberFormat="0" applyProtection="0">
      <alignment horizontal="left" vertical="top" indent="1"/>
    </xf>
    <xf numFmtId="4" fontId="16" fillId="27" borderId="15" applyNumberFormat="0" applyProtection="0">
      <alignment vertical="center"/>
    </xf>
    <xf numFmtId="4" fontId="19" fillId="27" borderId="15" applyNumberFormat="0" applyProtection="0">
      <alignment vertical="center"/>
    </xf>
    <xf numFmtId="4" fontId="16" fillId="27" borderId="15" applyNumberFormat="0" applyProtection="0">
      <alignment horizontal="left" vertical="center" indent="1"/>
    </xf>
    <xf numFmtId="0" fontId="16" fillId="27" borderId="15" applyNumberFormat="0" applyProtection="0">
      <alignment horizontal="left" vertical="top" indent="1"/>
    </xf>
    <xf numFmtId="4" fontId="16" fillId="23" borderId="15" applyNumberFormat="0" applyProtection="0">
      <alignment horizontal="right" vertical="center"/>
    </xf>
    <xf numFmtId="4" fontId="19" fillId="23" borderId="15" applyNumberFormat="0" applyProtection="0">
      <alignment horizontal="right" vertical="center"/>
    </xf>
    <xf numFmtId="4" fontId="16" fillId="25" borderId="15" applyNumberFormat="0" applyProtection="0">
      <alignment horizontal="left" vertical="center" indent="1"/>
    </xf>
    <xf numFmtId="0" fontId="16" fillId="12" borderId="15" applyNumberFormat="0" applyProtection="0">
      <alignment horizontal="left" vertical="top" indent="1"/>
    </xf>
    <xf numFmtId="4" fontId="20" fillId="28" borderId="0" applyNumberFormat="0" applyProtection="0">
      <alignment horizontal="left" vertical="center" indent="1"/>
    </xf>
    <xf numFmtId="4" fontId="21" fillId="23" borderId="15" applyNumberFormat="0" applyProtection="0">
      <alignment horizontal="right" vertical="center"/>
    </xf>
    <xf numFmtId="0" fontId="7" fillId="0" borderId="0" applyFont="0" applyFill="0" applyBorder="0" applyAlignment="0" applyProtection="0"/>
    <xf numFmtId="38" fontId="22" fillId="0" borderId="0" applyFont="0" applyFill="0" applyBorder="0" applyAlignment="0" applyProtection="0">
      <alignment vertical="center"/>
    </xf>
    <xf numFmtId="0" fontId="22" fillId="0" borderId="0">
      <alignment vertical="center"/>
    </xf>
    <xf numFmtId="168" fontId="23" fillId="0" borderId="0" applyFont="0" applyFill="0" applyBorder="0" applyAlignment="0" applyProtection="0"/>
    <xf numFmtId="43" fontId="25"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1" fillId="0" borderId="0" applyFont="0" applyFill="0" applyBorder="0" applyAlignment="0" applyProtection="0"/>
    <xf numFmtId="0" fontId="26" fillId="0" borderId="0"/>
    <xf numFmtId="0" fontId="28" fillId="34" borderId="0" applyNumberFormat="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44" fontId="25" fillId="0" borderId="0" applyFon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6"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1" fillId="0" borderId="0"/>
    <xf numFmtId="0" fontId="42" fillId="0" borderId="0"/>
    <xf numFmtId="0" fontId="41"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3" fillId="0" borderId="0"/>
    <xf numFmtId="0" fontId="47"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7" fillId="46" borderId="0" applyNumberFormat="0" applyBorder="0" applyAlignment="0" applyProtection="0">
      <alignment vertical="center"/>
    </xf>
    <xf numFmtId="0" fontId="47" fillId="49" borderId="0" applyNumberFormat="0" applyBorder="0" applyAlignment="0" applyProtection="0">
      <alignment vertical="center"/>
    </xf>
    <xf numFmtId="0" fontId="47" fillId="47" borderId="0" applyNumberFormat="0" applyBorder="0" applyAlignment="0" applyProtection="0">
      <alignment vertical="center"/>
    </xf>
    <xf numFmtId="0" fontId="47" fillId="51" borderId="0" applyNumberFormat="0" applyBorder="0" applyAlignment="0" applyProtection="0">
      <alignment vertical="center"/>
    </xf>
    <xf numFmtId="0" fontId="47" fillId="14" borderId="0" applyNumberFormat="0" applyBorder="0" applyAlignment="0" applyProtection="0">
      <alignment vertical="center"/>
    </xf>
    <xf numFmtId="0" fontId="47" fillId="11" borderId="0" applyNumberFormat="0" applyBorder="0" applyAlignment="0" applyProtection="0">
      <alignment vertical="center"/>
    </xf>
    <xf numFmtId="0" fontId="47" fillId="51" borderId="0" applyNumberFormat="0" applyBorder="0" applyAlignment="0" applyProtection="0">
      <alignment vertical="center"/>
    </xf>
    <xf numFmtId="0" fontId="47" fillId="50" borderId="0" applyNumberFormat="0" applyBorder="0" applyAlignment="0" applyProtection="0">
      <alignment vertical="center"/>
    </xf>
    <xf numFmtId="0" fontId="47" fillId="47" borderId="0" applyNumberFormat="0" applyBorder="0" applyAlignment="0" applyProtection="0">
      <alignment vertical="center"/>
    </xf>
    <xf numFmtId="0" fontId="48" fillId="52" borderId="0" applyNumberFormat="0" applyBorder="0" applyAlignment="0" applyProtection="0">
      <alignment vertical="center"/>
    </xf>
    <xf numFmtId="0" fontId="48" fillId="14" borderId="0" applyNumberFormat="0" applyBorder="0" applyAlignment="0" applyProtection="0">
      <alignment vertical="center"/>
    </xf>
    <xf numFmtId="0" fontId="48" fillId="11" borderId="0" applyNumberFormat="0" applyBorder="0" applyAlignment="0" applyProtection="0">
      <alignment vertical="center"/>
    </xf>
    <xf numFmtId="0" fontId="48" fillId="51" borderId="0" applyNumberFormat="0" applyBorder="0" applyAlignment="0" applyProtection="0">
      <alignment vertical="center"/>
    </xf>
    <xf numFmtId="0" fontId="48" fillId="52" borderId="0" applyNumberFormat="0" applyBorder="0" applyAlignment="0" applyProtection="0">
      <alignment vertical="center"/>
    </xf>
    <xf numFmtId="0" fontId="48" fillId="47" borderId="0" applyNumberFormat="0" applyBorder="0" applyAlignment="0" applyProtection="0">
      <alignment vertical="center"/>
    </xf>
    <xf numFmtId="0" fontId="7" fillId="0" borderId="0"/>
    <xf numFmtId="0" fontId="7" fillId="0" borderId="0"/>
    <xf numFmtId="0" fontId="53" fillId="0" borderId="0" applyNumberFormat="0" applyFill="0" applyBorder="0" applyAlignment="0" applyProtection="0">
      <alignment vertical="center"/>
    </xf>
    <xf numFmtId="0" fontId="54" fillId="0" borderId="34" applyNumberFormat="0" applyFill="0" applyAlignment="0" applyProtection="0">
      <alignment vertical="center"/>
    </xf>
    <xf numFmtId="0" fontId="55" fillId="0" borderId="35" applyNumberFormat="0" applyFill="0" applyAlignment="0" applyProtection="0">
      <alignment vertical="center"/>
    </xf>
    <xf numFmtId="0" fontId="56" fillId="0" borderId="36" applyNumberFormat="0" applyFill="0" applyAlignment="0" applyProtection="0">
      <alignment vertical="center"/>
    </xf>
    <xf numFmtId="0" fontId="56"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46" fillId="54" borderId="0" applyNumberFormat="0" applyBorder="0" applyAlignment="0" applyProtection="0"/>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7" fillId="0" borderId="40" applyNumberFormat="0" applyFill="0" applyAlignment="0" applyProtection="0">
      <alignment vertical="center"/>
    </xf>
    <xf numFmtId="0" fontId="58" fillId="51" borderId="32" applyNumberFormat="0" applyAlignment="0" applyProtection="0">
      <alignment vertical="center"/>
    </xf>
    <xf numFmtId="0" fontId="59" fillId="53" borderId="33" applyNumberFormat="0" applyAlignment="0" applyProtection="0">
      <alignment vertical="center"/>
    </xf>
    <xf numFmtId="0" fontId="60"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2" fillId="0" borderId="37" applyNumberFormat="0" applyFill="0" applyAlignment="0" applyProtection="0">
      <alignment vertical="center"/>
    </xf>
    <xf numFmtId="0" fontId="48" fillId="52" borderId="0" applyNumberFormat="0" applyBorder="0" applyAlignment="0" applyProtection="0">
      <alignment vertical="center"/>
    </xf>
    <xf numFmtId="0" fontId="48" fillId="15" borderId="0" applyNumberFormat="0" applyBorder="0" applyAlignment="0" applyProtection="0">
      <alignment vertical="center"/>
    </xf>
    <xf numFmtId="0" fontId="48" fillId="19" borderId="0" applyNumberFormat="0" applyBorder="0" applyAlignment="0" applyProtection="0">
      <alignment vertical="center"/>
    </xf>
    <xf numFmtId="0" fontId="48" fillId="55" borderId="0" applyNumberFormat="0" applyBorder="0" applyAlignment="0" applyProtection="0">
      <alignment vertical="center"/>
    </xf>
    <xf numFmtId="0" fontId="48" fillId="52" borderId="0" applyNumberFormat="0" applyBorder="0" applyAlignment="0" applyProtection="0">
      <alignment vertical="center"/>
    </xf>
    <xf numFmtId="0" fontId="48" fillId="18" borderId="0" applyNumberFormat="0" applyBorder="0" applyAlignment="0" applyProtection="0">
      <alignment vertical="center"/>
    </xf>
    <xf numFmtId="0" fontId="63" fillId="11" borderId="0" applyNumberFormat="0" applyBorder="0" applyAlignment="0" applyProtection="0">
      <alignment vertical="center"/>
    </xf>
    <xf numFmtId="0" fontId="64" fillId="51" borderId="39" applyNumberFormat="0" applyAlignment="0" applyProtection="0">
      <alignment vertical="center"/>
    </xf>
    <xf numFmtId="0" fontId="65" fillId="47" borderId="32" applyNumberFormat="0" applyAlignment="0" applyProtection="0">
      <alignment vertical="center"/>
    </xf>
    <xf numFmtId="0" fontId="43" fillId="48" borderId="38" applyNumberFormat="0" applyFont="0" applyAlignment="0" applyProtection="0">
      <alignment vertical="center"/>
    </xf>
    <xf numFmtId="0" fontId="43" fillId="0" borderId="0"/>
    <xf numFmtId="0" fontId="43" fillId="0" borderId="0"/>
    <xf numFmtId="0" fontId="43" fillId="0" borderId="0"/>
    <xf numFmtId="0" fontId="43" fillId="0" borderId="0"/>
    <xf numFmtId="0" fontId="43" fillId="0" borderId="0"/>
  </cellStyleXfs>
  <cellXfs count="567">
    <xf numFmtId="0" fontId="0" fillId="0" borderId="0" xfId="0"/>
    <xf numFmtId="0" fontId="1" fillId="0" borderId="0" xfId="0" applyFont="1" applyFill="1" applyBorder="1"/>
    <xf numFmtId="0" fontId="1" fillId="0" borderId="0" xfId="0" applyFont="1" applyFill="1" applyBorder="1" applyAlignment="1">
      <alignment horizontal="center" vertical="center"/>
    </xf>
    <xf numFmtId="0" fontId="0" fillId="0" borderId="0" xfId="0" applyAlignment="1">
      <alignment horizontal="center" vertical="center"/>
    </xf>
    <xf numFmtId="0" fontId="0" fillId="0" borderId="1" xfId="0" applyBorder="1"/>
    <xf numFmtId="0" fontId="0" fillId="0" borderId="2" xfId="0" applyBorder="1"/>
    <xf numFmtId="0" fontId="0" fillId="0" borderId="2" xfId="0" applyBorder="1" applyAlignment="1">
      <alignment horizontal="center" vertical="center"/>
    </xf>
    <xf numFmtId="0" fontId="0" fillId="0" borderId="3" xfId="0" applyBorder="1"/>
    <xf numFmtId="0" fontId="0" fillId="0" borderId="3" xfId="0" applyBorder="1" applyAlignment="1">
      <alignment horizontal="center" vertical="center"/>
    </xf>
    <xf numFmtId="0" fontId="0" fillId="0" borderId="1" xfId="0" applyBorder="1" applyAlignment="1">
      <alignment horizontal="center" vertical="center"/>
    </xf>
    <xf numFmtId="0" fontId="0" fillId="0" borderId="0" xfId="0" applyBorder="1"/>
    <xf numFmtId="0" fontId="1" fillId="0" borderId="0" xfId="0" applyFont="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164" fontId="0" fillId="3" borderId="2" xfId="1" applyNumberFormat="1" applyFont="1" applyFill="1" applyBorder="1" applyAlignment="1">
      <alignment horizontal="center"/>
    </xf>
    <xf numFmtId="164" fontId="0" fillId="4" borderId="2" xfId="1" applyNumberFormat="1" applyFont="1"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0" fontId="2" fillId="6" borderId="1" xfId="0" applyFont="1" applyFill="1" applyBorder="1" applyAlignment="1">
      <alignment horizontal="center" wrapText="1"/>
    </xf>
    <xf numFmtId="0" fontId="2" fillId="6" borderId="1" xfId="0" applyFont="1" applyFill="1" applyBorder="1" applyAlignment="1">
      <alignment wrapText="1"/>
    </xf>
    <xf numFmtId="0" fontId="2" fillId="6" borderId="1" xfId="0" applyFont="1" applyFill="1" applyBorder="1" applyAlignment="1">
      <alignment horizontal="center" vertical="center" wrapText="1"/>
    </xf>
    <xf numFmtId="0" fontId="0" fillId="0" borderId="0" xfId="0" applyAlignment="1">
      <alignment wrapText="1"/>
    </xf>
    <xf numFmtId="4" fontId="0" fillId="3" borderId="2" xfId="1" applyNumberFormat="1" applyFont="1" applyFill="1" applyBorder="1" applyAlignment="1">
      <alignment horizontal="center"/>
    </xf>
    <xf numFmtId="4" fontId="0" fillId="4" borderId="2" xfId="1" applyNumberFormat="1" applyFont="1" applyFill="1" applyBorder="1" applyAlignment="1">
      <alignment horizontal="center"/>
    </xf>
    <xf numFmtId="4" fontId="0" fillId="4" borderId="1" xfId="1" applyNumberFormat="1" applyFont="1" applyFill="1" applyBorder="1" applyAlignment="1">
      <alignment horizontal="center"/>
    </xf>
    <xf numFmtId="4" fontId="0" fillId="4" borderId="3" xfId="1" applyNumberFormat="1" applyFont="1" applyFill="1" applyBorder="1" applyAlignment="1">
      <alignment horizontal="center"/>
    </xf>
    <xf numFmtId="4" fontId="0" fillId="5" borderId="2" xfId="1" applyNumberFormat="1" applyFont="1" applyFill="1" applyBorder="1" applyAlignment="1">
      <alignment horizontal="center"/>
    </xf>
    <xf numFmtId="4" fontId="0" fillId="5" borderId="3" xfId="1" applyNumberFormat="1" applyFont="1" applyFill="1" applyBorder="1" applyAlignment="1">
      <alignment horizontal="center"/>
    </xf>
    <xf numFmtId="0" fontId="0" fillId="0" borderId="2" xfId="0" applyBorder="1"/>
    <xf numFmtId="0" fontId="0" fillId="0" borderId="2" xfId="0" applyBorder="1" applyAlignment="1">
      <alignment horizontal="center"/>
    </xf>
    <xf numFmtId="0" fontId="0" fillId="0" borderId="2" xfId="0" applyBorder="1" applyAlignment="1">
      <alignment horizontal="center" vertical="center"/>
    </xf>
    <xf numFmtId="0" fontId="0" fillId="5" borderId="2" xfId="0"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164" fontId="0" fillId="3" borderId="1" xfId="1" applyNumberFormat="1" applyFont="1" applyFill="1" applyBorder="1" applyAlignment="1">
      <alignment horizontal="center"/>
    </xf>
    <xf numFmtId="2" fontId="0" fillId="3" borderId="1" xfId="0" applyNumberFormat="1" applyFill="1" applyBorder="1" applyAlignment="1">
      <alignment horizontal="center"/>
    </xf>
    <xf numFmtId="164" fontId="0" fillId="3" borderId="2" xfId="1" applyNumberFormat="1" applyFont="1" applyFill="1" applyBorder="1" applyAlignment="1">
      <alignment horizontal="center"/>
    </xf>
    <xf numFmtId="2" fontId="0" fillId="3" borderId="2" xfId="0" applyNumberFormat="1" applyFill="1" applyBorder="1" applyAlignment="1">
      <alignment horizontal="center"/>
    </xf>
    <xf numFmtId="164" fontId="0" fillId="3" borderId="3" xfId="1" applyNumberFormat="1" applyFont="1" applyFill="1" applyBorder="1" applyAlignment="1">
      <alignment horizontal="center"/>
    </xf>
    <xf numFmtId="2" fontId="0" fillId="3" borderId="3" xfId="0" applyNumberFormat="1" applyFill="1" applyBorder="1" applyAlignment="1">
      <alignment horizontal="center"/>
    </xf>
    <xf numFmtId="2" fontId="0" fillId="4" borderId="1" xfId="0" applyNumberFormat="1" applyFill="1" applyBorder="1" applyAlignment="1">
      <alignment horizontal="center"/>
    </xf>
    <xf numFmtId="164" fontId="0" fillId="4" borderId="1" xfId="1" applyNumberFormat="1" applyFont="1" applyFill="1" applyBorder="1" applyAlignment="1">
      <alignment horizontal="center"/>
    </xf>
    <xf numFmtId="2" fontId="0" fillId="4" borderId="2" xfId="0" applyNumberFormat="1" applyFill="1" applyBorder="1" applyAlignment="1">
      <alignment horizontal="center"/>
    </xf>
    <xf numFmtId="164" fontId="0" fillId="4" borderId="2" xfId="1" applyNumberFormat="1" applyFont="1" applyFill="1" applyBorder="1" applyAlignment="1">
      <alignment horizontal="center"/>
    </xf>
    <xf numFmtId="2" fontId="0" fillId="4" borderId="3" xfId="0" applyNumberFormat="1" applyFill="1" applyBorder="1" applyAlignment="1">
      <alignment horizontal="center"/>
    </xf>
    <xf numFmtId="164" fontId="0" fillId="4" borderId="3" xfId="1" applyNumberFormat="1" applyFont="1" applyFill="1" applyBorder="1" applyAlignment="1">
      <alignment horizontal="center"/>
    </xf>
    <xf numFmtId="2" fontId="0" fillId="7" borderId="2" xfId="0" applyNumberFormat="1" applyFill="1" applyBorder="1" applyAlignment="1">
      <alignment horizontal="center" vertical="center"/>
    </xf>
    <xf numFmtId="2" fontId="0" fillId="7" borderId="3" xfId="0" applyNumberFormat="1" applyFill="1" applyBorder="1" applyAlignment="1">
      <alignment horizontal="center" vertical="center"/>
    </xf>
    <xf numFmtId="2" fontId="0" fillId="7" borderId="1" xfId="0" applyNumberFormat="1" applyFill="1" applyBorder="1" applyAlignment="1">
      <alignment horizontal="center" vertical="center"/>
    </xf>
    <xf numFmtId="0" fontId="0" fillId="0" borderId="2" xfId="0" applyFill="1" applyBorder="1"/>
    <xf numFmtId="4" fontId="1" fillId="0" borderId="0" xfId="0" applyNumberFormat="1" applyFont="1" applyFill="1" applyBorder="1" applyAlignment="1">
      <alignment horizontal="center"/>
    </xf>
    <xf numFmtId="4" fontId="2" fillId="6" borderId="1" xfId="0" applyNumberFormat="1" applyFont="1" applyFill="1" applyBorder="1" applyAlignment="1">
      <alignment horizontal="center" wrapText="1"/>
    </xf>
    <xf numFmtId="4" fontId="0" fillId="2" borderId="2" xfId="0" applyNumberFormat="1" applyFill="1" applyBorder="1" applyAlignment="1">
      <alignment horizontal="center"/>
    </xf>
    <xf numFmtId="4" fontId="0" fillId="2" borderId="3" xfId="0" applyNumberFormat="1" applyFill="1" applyBorder="1" applyAlignment="1">
      <alignment horizontal="center"/>
    </xf>
    <xf numFmtId="4" fontId="0" fillId="2" borderId="1" xfId="0" applyNumberFormat="1" applyFill="1" applyBorder="1" applyAlignment="1">
      <alignment horizontal="center"/>
    </xf>
    <xf numFmtId="4" fontId="0" fillId="0" borderId="0" xfId="0" applyNumberFormat="1" applyAlignment="1">
      <alignment horizontal="center"/>
    </xf>
    <xf numFmtId="4" fontId="0" fillId="8" borderId="2" xfId="0" applyNumberFormat="1" applyFill="1" applyBorder="1" applyAlignment="1">
      <alignment horizontal="center" vertical="center"/>
    </xf>
    <xf numFmtId="4" fontId="0" fillId="8" borderId="1" xfId="0" applyNumberFormat="1" applyFill="1" applyBorder="1" applyAlignment="1">
      <alignment horizontal="center" vertical="center"/>
    </xf>
    <xf numFmtId="4" fontId="0" fillId="8" borderId="3" xfId="0" applyNumberFormat="1" applyFill="1" applyBorder="1" applyAlignment="1">
      <alignment horizontal="center" vertical="center"/>
    </xf>
    <xf numFmtId="2" fontId="0" fillId="8" borderId="2" xfId="0" applyNumberFormat="1" applyFill="1" applyBorder="1" applyAlignment="1">
      <alignment horizontal="center" vertical="center"/>
    </xf>
    <xf numFmtId="4" fontId="0" fillId="3" borderId="2" xfId="0" applyNumberFormat="1" applyFill="1" applyBorder="1" applyAlignment="1">
      <alignment horizontal="center"/>
    </xf>
    <xf numFmtId="4" fontId="0" fillId="3" borderId="3" xfId="0" applyNumberFormat="1" applyFill="1" applyBorder="1" applyAlignment="1">
      <alignment horizontal="center"/>
    </xf>
    <xf numFmtId="4" fontId="0" fillId="3" borderId="1" xfId="0" applyNumberFormat="1" applyFill="1" applyBorder="1" applyAlignment="1">
      <alignment horizontal="center"/>
    </xf>
    <xf numFmtId="4" fontId="0" fillId="4" borderId="2" xfId="0" applyNumberFormat="1" applyFill="1" applyBorder="1" applyAlignment="1">
      <alignment horizontal="center"/>
    </xf>
    <xf numFmtId="4" fontId="0" fillId="4" borderId="3" xfId="0" applyNumberFormat="1" applyFill="1" applyBorder="1" applyAlignment="1">
      <alignment horizontal="center"/>
    </xf>
    <xf numFmtId="4" fontId="0" fillId="4" borderId="1" xfId="0" applyNumberFormat="1" applyFill="1" applyBorder="1" applyAlignment="1">
      <alignment horizontal="center"/>
    </xf>
    <xf numFmtId="4" fontId="0" fillId="5" borderId="2" xfId="0" applyNumberFormat="1" applyFill="1" applyBorder="1" applyAlignment="1">
      <alignment horizontal="center"/>
    </xf>
    <xf numFmtId="4" fontId="0" fillId="5" borderId="3" xfId="0" applyNumberFormat="1" applyFill="1" applyBorder="1" applyAlignment="1">
      <alignment horizontal="center"/>
    </xf>
    <xf numFmtId="4" fontId="0" fillId="5" borderId="1" xfId="0" applyNumberFormat="1" applyFill="1" applyBorder="1" applyAlignment="1">
      <alignment horizontal="center"/>
    </xf>
    <xf numFmtId="4" fontId="0" fillId="0" borderId="2" xfId="0" applyNumberFormat="1" applyFill="1" applyBorder="1" applyAlignment="1">
      <alignment horizontal="center"/>
    </xf>
    <xf numFmtId="4" fontId="0" fillId="0" borderId="3" xfId="0" applyNumberFormat="1" applyFill="1" applyBorder="1" applyAlignment="1">
      <alignment horizontal="center"/>
    </xf>
    <xf numFmtId="4" fontId="2" fillId="6" borderId="1" xfId="0" applyNumberFormat="1" applyFont="1" applyFill="1" applyBorder="1" applyAlignment="1">
      <alignment horizontal="center" vertical="center" wrapText="1"/>
    </xf>
    <xf numFmtId="4" fontId="0" fillId="0" borderId="2" xfId="0" applyNumberFormat="1" applyBorder="1" applyAlignment="1">
      <alignment horizontal="center"/>
    </xf>
    <xf numFmtId="4" fontId="0" fillId="0" borderId="3" xfId="0" applyNumberFormat="1" applyBorder="1" applyAlignment="1">
      <alignment horizontal="center"/>
    </xf>
    <xf numFmtId="4" fontId="0" fillId="0" borderId="1" xfId="0" applyNumberFormat="1" applyBorder="1" applyAlignment="1">
      <alignment horizontal="center"/>
    </xf>
    <xf numFmtId="4" fontId="0" fillId="3" borderId="1" xfId="1" applyNumberFormat="1" applyFont="1" applyFill="1" applyBorder="1" applyAlignment="1">
      <alignment horizontal="center"/>
    </xf>
    <xf numFmtId="4" fontId="0" fillId="3" borderId="3" xfId="1" applyNumberFormat="1" applyFont="1" applyFill="1" applyBorder="1" applyAlignment="1">
      <alignment horizontal="center"/>
    </xf>
    <xf numFmtId="0" fontId="0" fillId="0" borderId="2" xfId="0" applyNumberFormat="1" applyBorder="1" applyAlignment="1">
      <alignment horizontal="center"/>
    </xf>
    <xf numFmtId="0" fontId="0" fillId="0" borderId="1" xfId="0" applyNumberFormat="1" applyBorder="1" applyAlignment="1">
      <alignment horizontal="center"/>
    </xf>
    <xf numFmtId="0" fontId="0" fillId="0" borderId="3" xfId="0" applyNumberFormat="1" applyBorder="1" applyAlignment="1">
      <alignment horizontal="center"/>
    </xf>
    <xf numFmtId="0" fontId="0" fillId="0" borderId="3" xfId="0" applyFill="1" applyBorder="1"/>
    <xf numFmtId="0" fontId="6" fillId="0" borderId="2" xfId="0" applyFont="1" applyFill="1" applyBorder="1"/>
    <xf numFmtId="0" fontId="6" fillId="0" borderId="2" xfId="0" applyFont="1" applyFill="1" applyBorder="1" applyAlignment="1">
      <alignment horizontal="center"/>
    </xf>
    <xf numFmtId="0" fontId="6" fillId="0" borderId="3" xfId="0" applyFont="1" applyFill="1" applyBorder="1"/>
    <xf numFmtId="0" fontId="6" fillId="0" borderId="3" xfId="0" applyFont="1" applyFill="1" applyBorder="1" applyAlignment="1">
      <alignment horizontal="center"/>
    </xf>
    <xf numFmtId="0" fontId="0" fillId="0" borderId="3" xfId="0" applyFont="1" applyBorder="1" applyAlignment="1">
      <alignment horizontal="center"/>
    </xf>
    <xf numFmtId="4" fontId="0" fillId="2" borderId="3" xfId="0" applyNumberFormat="1" applyFont="1" applyFill="1" applyBorder="1" applyAlignment="1">
      <alignment horizontal="center"/>
    </xf>
    <xf numFmtId="2" fontId="0" fillId="3" borderId="3" xfId="0" applyNumberFormat="1" applyFont="1" applyFill="1" applyBorder="1" applyAlignment="1">
      <alignment horizontal="center"/>
    </xf>
    <xf numFmtId="4" fontId="0" fillId="3" borderId="3" xfId="0" applyNumberFormat="1" applyFont="1" applyFill="1" applyBorder="1" applyAlignment="1">
      <alignment horizontal="center"/>
    </xf>
    <xf numFmtId="2" fontId="0" fillId="4" borderId="3" xfId="0" applyNumberFormat="1" applyFont="1" applyFill="1" applyBorder="1" applyAlignment="1">
      <alignment horizontal="center"/>
    </xf>
    <xf numFmtId="4" fontId="0" fillId="4" borderId="3" xfId="0" applyNumberFormat="1" applyFont="1" applyFill="1" applyBorder="1" applyAlignment="1">
      <alignment horizontal="center"/>
    </xf>
    <xf numFmtId="4" fontId="0" fillId="5" borderId="3" xfId="0" applyNumberFormat="1" applyFont="1" applyFill="1" applyBorder="1" applyAlignment="1">
      <alignment horizontal="center"/>
    </xf>
    <xf numFmtId="0" fontId="0" fillId="5" borderId="3" xfId="0" applyFont="1" applyFill="1" applyBorder="1" applyAlignment="1">
      <alignment horizontal="center"/>
    </xf>
    <xf numFmtId="0" fontId="5" fillId="0" borderId="0" xfId="0" applyFont="1"/>
    <xf numFmtId="164" fontId="0" fillId="5" borderId="1" xfId="1" applyNumberFormat="1" applyFont="1" applyFill="1" applyBorder="1" applyAlignment="1">
      <alignment horizontal="center"/>
    </xf>
    <xf numFmtId="0" fontId="6" fillId="9" borderId="2" xfId="0" applyFont="1" applyFill="1" applyBorder="1"/>
    <xf numFmtId="0" fontId="6" fillId="9" borderId="2" xfId="0" applyFont="1" applyFill="1" applyBorder="1" applyAlignment="1">
      <alignment horizontal="center"/>
    </xf>
    <xf numFmtId="0" fontId="7" fillId="0" borderId="0" xfId="2"/>
    <xf numFmtId="0" fontId="7" fillId="0" borderId="0" xfId="2" applyAlignment="1">
      <alignment horizontal="center"/>
    </xf>
    <xf numFmtId="0" fontId="8" fillId="2" borderId="7" xfId="2" applyFont="1" applyFill="1" applyBorder="1" applyAlignment="1">
      <alignment horizontal="center"/>
    </xf>
    <xf numFmtId="0" fontId="8" fillId="2" borderId="1" xfId="2" applyFont="1" applyFill="1" applyBorder="1" applyAlignment="1">
      <alignment horizontal="center"/>
    </xf>
    <xf numFmtId="0" fontId="8" fillId="2" borderId="12" xfId="2" applyFont="1" applyFill="1" applyBorder="1" applyAlignment="1">
      <alignment horizontal="center"/>
    </xf>
    <xf numFmtId="49" fontId="8" fillId="2" borderId="1" xfId="2" applyNumberFormat="1" applyFont="1" applyFill="1" applyBorder="1" applyAlignment="1">
      <alignment horizontal="center"/>
    </xf>
    <xf numFmtId="49" fontId="8" fillId="2" borderId="13" xfId="2" applyNumberFormat="1" applyFont="1" applyFill="1" applyBorder="1" applyAlignment="1">
      <alignment horizontal="center"/>
    </xf>
    <xf numFmtId="49" fontId="7" fillId="0" borderId="2" xfId="2" applyNumberFormat="1" applyFill="1" applyBorder="1"/>
    <xf numFmtId="0" fontId="7" fillId="0" borderId="2" xfId="2" applyFill="1" applyBorder="1"/>
    <xf numFmtId="0" fontId="7" fillId="0" borderId="2" xfId="2" applyFill="1" applyBorder="1" applyAlignment="1">
      <alignment horizontal="center"/>
    </xf>
    <xf numFmtId="0" fontId="7" fillId="0" borderId="0" xfId="2" applyFill="1" applyBorder="1" applyAlignment="1">
      <alignment horizontal="center"/>
    </xf>
    <xf numFmtId="49" fontId="7" fillId="0" borderId="2" xfId="2" applyNumberFormat="1" applyFill="1" applyBorder="1" applyAlignment="1">
      <alignment horizontal="center"/>
    </xf>
    <xf numFmtId="49" fontId="7" fillId="0" borderId="0" xfId="2" applyNumberFormat="1" applyFill="1" applyAlignment="1">
      <alignment horizontal="center"/>
    </xf>
    <xf numFmtId="0" fontId="7" fillId="0" borderId="0" xfId="2" applyFill="1"/>
    <xf numFmtId="2" fontId="7" fillId="0" borderId="0" xfId="2" applyNumberFormat="1" applyFill="1"/>
    <xf numFmtId="2" fontId="7" fillId="0" borderId="2" xfId="2" applyNumberFormat="1" applyFill="1" applyBorder="1" applyAlignment="1">
      <alignment horizontal="center"/>
    </xf>
    <xf numFmtId="0" fontId="7" fillId="0" borderId="0" xfId="2" applyFill="1" applyAlignment="1">
      <alignment horizontal="center"/>
    </xf>
    <xf numFmtId="49" fontId="7" fillId="0" borderId="0" xfId="2" applyNumberFormat="1" applyFill="1" applyBorder="1" applyAlignment="1">
      <alignment horizontal="center"/>
    </xf>
    <xf numFmtId="49" fontId="7" fillId="0" borderId="8" xfId="2" applyNumberFormat="1" applyFill="1" applyBorder="1" applyAlignment="1">
      <alignment horizontal="center"/>
    </xf>
    <xf numFmtId="49" fontId="7" fillId="0" borderId="14" xfId="2" applyNumberFormat="1" applyFill="1" applyBorder="1" applyAlignment="1">
      <alignment horizontal="center"/>
    </xf>
    <xf numFmtId="49" fontId="7" fillId="0" borderId="3" xfId="2" applyNumberFormat="1" applyFill="1" applyBorder="1"/>
    <xf numFmtId="0" fontId="7" fillId="0" borderId="3" xfId="2" applyFill="1" applyBorder="1"/>
    <xf numFmtId="0" fontId="7" fillId="0" borderId="3" xfId="2" applyFill="1" applyBorder="1" applyAlignment="1">
      <alignment horizontal="center"/>
    </xf>
    <xf numFmtId="49" fontId="7" fillId="0" borderId="10" xfId="2" applyNumberFormat="1" applyFill="1" applyBorder="1" applyAlignment="1">
      <alignment horizontal="center"/>
    </xf>
    <xf numFmtId="49" fontId="7" fillId="0" borderId="3" xfId="2" applyNumberFormat="1" applyFill="1" applyBorder="1" applyAlignment="1">
      <alignment horizontal="center"/>
    </xf>
    <xf numFmtId="49" fontId="7" fillId="0" borderId="11" xfId="2" applyNumberFormat="1" applyFill="1" applyBorder="1" applyAlignment="1">
      <alignment horizontal="center"/>
    </xf>
    <xf numFmtId="2" fontId="7" fillId="0" borderId="3" xfId="2" applyNumberFormat="1" applyFill="1" applyBorder="1" applyAlignment="1">
      <alignment horizontal="center"/>
    </xf>
    <xf numFmtId="0" fontId="7" fillId="0" borderId="0" xfId="2" applyBorder="1"/>
    <xf numFmtId="49" fontId="7" fillId="0" borderId="0" xfId="2" applyNumberFormat="1" applyFill="1" applyBorder="1"/>
    <xf numFmtId="0" fontId="7" fillId="0" borderId="0" xfId="2" applyFill="1" applyBorder="1"/>
    <xf numFmtId="2" fontId="7" fillId="0" borderId="0" xfId="2" applyNumberFormat="1" applyFill="1" applyBorder="1" applyAlignment="1">
      <alignment horizontal="center"/>
    </xf>
    <xf numFmtId="49" fontId="7" fillId="0" borderId="0" xfId="2" applyNumberFormat="1" applyAlignment="1">
      <alignment horizontal="center"/>
    </xf>
    <xf numFmtId="49" fontId="7" fillId="0" borderId="0" xfId="2" applyNumberFormat="1"/>
    <xf numFmtId="49" fontId="0" fillId="0" borderId="2" xfId="0" applyNumberFormat="1" applyBorder="1" applyAlignment="1">
      <alignment horizontal="center"/>
    </xf>
    <xf numFmtId="2" fontId="0" fillId="0" borderId="0" xfId="0" applyNumberFormat="1"/>
    <xf numFmtId="4" fontId="0" fillId="0" borderId="0" xfId="0" applyNumberFormat="1"/>
    <xf numFmtId="0" fontId="6" fillId="29" borderId="2" xfId="0" applyFont="1" applyFill="1" applyBorder="1"/>
    <xf numFmtId="0" fontId="6" fillId="29" borderId="2" xfId="0" applyFont="1" applyFill="1" applyBorder="1" applyAlignment="1">
      <alignment horizontal="center"/>
    </xf>
    <xf numFmtId="0" fontId="6" fillId="30" borderId="2" xfId="0" applyFont="1" applyFill="1" applyBorder="1"/>
    <xf numFmtId="0" fontId="6" fillId="30" borderId="2" xfId="0" applyFont="1" applyFill="1" applyBorder="1" applyAlignment="1">
      <alignment horizontal="center"/>
    </xf>
    <xf numFmtId="2" fontId="0" fillId="29" borderId="2" xfId="0" applyNumberFormat="1" applyFill="1" applyBorder="1" applyAlignment="1">
      <alignment horizontal="center" vertical="center"/>
    </xf>
    <xf numFmtId="0" fontId="2" fillId="6" borderId="7" xfId="0" applyFont="1" applyFill="1" applyBorder="1" applyAlignment="1">
      <alignment wrapText="1"/>
    </xf>
    <xf numFmtId="2" fontId="0" fillId="0" borderId="1" xfId="0" applyNumberFormat="1" applyBorder="1" applyAlignment="1">
      <alignment horizontal="center"/>
    </xf>
    <xf numFmtId="2" fontId="0" fillId="0" borderId="2" xfId="0" applyNumberFormat="1" applyBorder="1" applyAlignment="1">
      <alignment horizontal="center"/>
    </xf>
    <xf numFmtId="0" fontId="5" fillId="9" borderId="7" xfId="0" applyFont="1" applyFill="1" applyBorder="1" applyAlignment="1">
      <alignment horizontal="center" wrapText="1"/>
    </xf>
    <xf numFmtId="0" fontId="24" fillId="0" borderId="0" xfId="0" applyFont="1"/>
    <xf numFmtId="0" fontId="1" fillId="0" borderId="0" xfId="0" applyFont="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xf>
    <xf numFmtId="0" fontId="1" fillId="0" borderId="2" xfId="0" applyFont="1" applyFill="1" applyBorder="1" applyAlignment="1">
      <alignment horizontal="center"/>
    </xf>
    <xf numFmtId="0" fontId="0" fillId="0" borderId="0" xfId="0" applyFill="1"/>
    <xf numFmtId="0" fontId="0" fillId="0" borderId="0" xfId="0" applyFill="1" applyBorder="1"/>
    <xf numFmtId="0" fontId="1" fillId="0" borderId="3" xfId="0" applyFont="1" applyFill="1" applyBorder="1" applyAlignment="1">
      <alignment horizontal="center"/>
    </xf>
    <xf numFmtId="0" fontId="1" fillId="0" borderId="1" xfId="0" applyFont="1" applyFill="1" applyBorder="1" applyAlignment="1">
      <alignment horizontal="center"/>
    </xf>
    <xf numFmtId="169" fontId="0" fillId="0" borderId="2" xfId="0" applyNumberFormat="1" applyBorder="1" applyAlignment="1">
      <alignment horizontal="center"/>
    </xf>
    <xf numFmtId="169" fontId="0" fillId="0" borderId="3" xfId="0" applyNumberFormat="1" applyBorder="1" applyAlignment="1">
      <alignment horizontal="center"/>
    </xf>
    <xf numFmtId="0" fontId="2" fillId="6" borderId="7" xfId="0" applyFont="1" applyFill="1" applyBorder="1" applyAlignment="1">
      <alignment horizontal="center" vertical="center" wrapText="1"/>
    </xf>
    <xf numFmtId="4" fontId="0" fillId="2" borderId="2" xfId="0" applyNumberFormat="1" applyFont="1" applyFill="1" applyBorder="1" applyAlignment="1">
      <alignment horizontal="center"/>
    </xf>
    <xf numFmtId="2" fontId="0" fillId="0" borderId="3" xfId="0" applyNumberFormat="1" applyBorder="1" applyAlignment="1">
      <alignment horizontal="center"/>
    </xf>
    <xf numFmtId="0" fontId="2" fillId="6" borderId="7" xfId="0" applyFont="1" applyFill="1" applyBorder="1" applyAlignment="1">
      <alignment horizontal="center" wrapText="1"/>
    </xf>
    <xf numFmtId="4" fontId="2" fillId="6" borderId="7" xfId="0" applyNumberFormat="1" applyFont="1" applyFill="1" applyBorder="1" applyAlignment="1">
      <alignment horizontal="center" wrapText="1"/>
    </xf>
    <xf numFmtId="0" fontId="9" fillId="0" borderId="2" xfId="0" applyFont="1" applyFill="1" applyBorder="1"/>
    <xf numFmtId="2" fontId="0" fillId="0" borderId="2" xfId="0" applyNumberFormat="1" applyFill="1" applyBorder="1" applyAlignment="1">
      <alignment horizontal="center"/>
    </xf>
    <xf numFmtId="0" fontId="0" fillId="0" borderId="0" xfId="0" applyBorder="1" applyAlignment="1">
      <alignment horizontal="center" vertical="center"/>
    </xf>
    <xf numFmtId="0" fontId="1" fillId="3" borderId="4" xfId="0" applyFont="1" applyFill="1" applyBorder="1" applyAlignment="1">
      <alignment vertical="center"/>
    </xf>
    <xf numFmtId="0" fontId="1" fillId="3" borderId="5" xfId="0" applyFont="1" applyFill="1" applyBorder="1" applyAlignment="1">
      <alignment vertical="center"/>
    </xf>
    <xf numFmtId="0" fontId="1" fillId="5" borderId="4" xfId="0" applyFont="1" applyFill="1" applyBorder="1" applyAlignment="1"/>
    <xf numFmtId="0" fontId="1" fillId="5" borderId="5" xfId="0" applyFont="1" applyFill="1" applyBorder="1" applyAlignment="1"/>
    <xf numFmtId="0" fontId="1" fillId="0" borderId="6" xfId="0" applyFont="1" applyFill="1" applyBorder="1" applyAlignment="1"/>
    <xf numFmtId="164" fontId="0" fillId="0" borderId="2" xfId="1" applyNumberFormat="1" applyFont="1" applyFill="1" applyBorder="1" applyAlignment="1">
      <alignment horizontal="center"/>
    </xf>
    <xf numFmtId="164" fontId="0" fillId="0" borderId="3" xfId="1" applyNumberFormat="1" applyFont="1" applyFill="1" applyBorder="1" applyAlignment="1">
      <alignment horizontal="center"/>
    </xf>
    <xf numFmtId="4" fontId="0" fillId="0" borderId="2" xfId="0" applyNumberFormat="1" applyBorder="1"/>
    <xf numFmtId="4" fontId="0" fillId="0" borderId="3" xfId="0" applyNumberFormat="1" applyBorder="1"/>
    <xf numFmtId="1" fontId="0" fillId="0" borderId="2" xfId="0" applyNumberFormat="1" applyBorder="1" applyAlignment="1">
      <alignment horizontal="center"/>
    </xf>
    <xf numFmtId="0" fontId="5" fillId="31" borderId="7" xfId="0" applyFont="1" applyFill="1" applyBorder="1" applyAlignment="1">
      <alignment horizontal="center" wrapText="1"/>
    </xf>
    <xf numFmtId="0" fontId="7" fillId="0" borderId="0" xfId="64"/>
    <xf numFmtId="2" fontId="7" fillId="0" borderId="0" xfId="64" applyNumberFormat="1"/>
    <xf numFmtId="1" fontId="7" fillId="0" borderId="0" xfId="64" applyNumberFormat="1"/>
    <xf numFmtId="2" fontId="0" fillId="0" borderId="1" xfId="0" applyNumberFormat="1" applyBorder="1"/>
    <xf numFmtId="2" fontId="0" fillId="0" borderId="2" xfId="0" applyNumberFormat="1" applyBorder="1"/>
    <xf numFmtId="0" fontId="0" fillId="0" borderId="10" xfId="0" applyBorder="1" applyAlignment="1">
      <alignment horizontal="center" vertical="center"/>
    </xf>
    <xf numFmtId="4" fontId="0" fillId="0" borderId="0" xfId="0" applyNumberFormat="1" applyBorder="1" applyAlignment="1">
      <alignment horizontal="center"/>
    </xf>
    <xf numFmtId="0" fontId="0" fillId="0" borderId="0" xfId="0" applyBorder="1" applyAlignment="1">
      <alignment horizontal="center"/>
    </xf>
    <xf numFmtId="0" fontId="5" fillId="0" borderId="0" xfId="0" applyFont="1" applyFill="1" applyBorder="1" applyAlignment="1">
      <alignment horizontal="center" wrapText="1"/>
    </xf>
    <xf numFmtId="0" fontId="0" fillId="0" borderId="8" xfId="0" applyBorder="1" applyAlignment="1">
      <alignment horizontal="center"/>
    </xf>
    <xf numFmtId="0" fontId="6" fillId="0" borderId="0" xfId="0" applyFont="1" applyFill="1" applyBorder="1"/>
    <xf numFmtId="1" fontId="0" fillId="0" borderId="2" xfId="0" applyNumberFormat="1" applyFill="1" applyBorder="1" applyAlignment="1">
      <alignment horizontal="center"/>
    </xf>
    <xf numFmtId="0" fontId="0" fillId="0" borderId="2" xfId="0" applyFill="1" applyBorder="1" applyAlignment="1">
      <alignment horizontal="center"/>
    </xf>
    <xf numFmtId="2" fontId="0" fillId="0" borderId="2" xfId="0" applyNumberFormat="1" applyFill="1" applyBorder="1"/>
    <xf numFmtId="0" fontId="7" fillId="0" borderId="2" xfId="0" applyFont="1" applyFill="1" applyBorder="1"/>
    <xf numFmtId="0" fontId="0" fillId="0" borderId="3" xfId="0" applyFill="1" applyBorder="1" applyAlignment="1">
      <alignment horizontal="center"/>
    </xf>
    <xf numFmtId="2" fontId="0" fillId="0" borderId="3" xfId="0" applyNumberFormat="1" applyFill="1" applyBorder="1"/>
    <xf numFmtId="4" fontId="0" fillId="4" borderId="2" xfId="70" applyNumberFormat="1" applyFont="1" applyFill="1" applyBorder="1" applyAlignment="1">
      <alignment horizontal="center"/>
    </xf>
    <xf numFmtId="4" fontId="0" fillId="4" borderId="3" xfId="70" applyNumberFormat="1" applyFont="1" applyFill="1" applyBorder="1" applyAlignment="1">
      <alignment horizontal="center"/>
    </xf>
    <xf numFmtId="0" fontId="6" fillId="0" borderId="1" xfId="0" applyFont="1" applyFill="1" applyBorder="1"/>
    <xf numFmtId="1" fontId="0" fillId="0" borderId="3" xfId="0" applyNumberFormat="1" applyBorder="1" applyAlignment="1">
      <alignment horizontal="center"/>
    </xf>
    <xf numFmtId="2" fontId="0" fillId="0" borderId="0" xfId="0" applyNumberFormat="1" applyAlignment="1">
      <alignment horizontal="center"/>
    </xf>
    <xf numFmtId="0" fontId="0" fillId="32" borderId="2" xfId="0" applyFill="1" applyBorder="1"/>
    <xf numFmtId="0" fontId="0" fillId="0" borderId="0" xfId="0" applyNumberFormat="1" applyBorder="1" applyAlignment="1">
      <alignment horizontal="center"/>
    </xf>
    <xf numFmtId="4" fontId="0" fillId="4" borderId="1" xfId="70" applyNumberFormat="1" applyFont="1" applyFill="1" applyBorder="1" applyAlignment="1">
      <alignment horizontal="center"/>
    </xf>
    <xf numFmtId="0" fontId="0" fillId="33" borderId="2" xfId="0" applyFill="1" applyBorder="1"/>
    <xf numFmtId="4" fontId="0" fillId="0" borderId="1" xfId="0" applyNumberFormat="1" applyFill="1" applyBorder="1" applyAlignment="1">
      <alignment horizontal="center"/>
    </xf>
    <xf numFmtId="4" fontId="0" fillId="0" borderId="2" xfId="1" applyNumberFormat="1" applyFont="1" applyFill="1" applyBorder="1" applyAlignment="1">
      <alignment horizontal="center"/>
    </xf>
    <xf numFmtId="2" fontId="0" fillId="0" borderId="3" xfId="0" applyNumberFormat="1" applyFill="1" applyBorder="1" applyAlignment="1">
      <alignment horizontal="center"/>
    </xf>
    <xf numFmtId="4" fontId="0" fillId="0" borderId="3" xfId="1" applyNumberFormat="1" applyFont="1" applyFill="1" applyBorder="1" applyAlignment="1">
      <alignment horizontal="center"/>
    </xf>
    <xf numFmtId="3" fontId="0" fillId="0" borderId="1" xfId="1" applyNumberFormat="1" applyFont="1" applyFill="1" applyBorder="1" applyAlignment="1">
      <alignment horizontal="center"/>
    </xf>
    <xf numFmtId="3" fontId="0" fillId="0" borderId="2" xfId="1" applyNumberFormat="1" applyFont="1" applyFill="1" applyBorder="1" applyAlignment="1">
      <alignment horizontal="center"/>
    </xf>
    <xf numFmtId="3" fontId="0" fillId="0" borderId="3" xfId="1" applyNumberFormat="1" applyFont="1" applyFill="1" applyBorder="1" applyAlignment="1">
      <alignment horizontal="center"/>
    </xf>
    <xf numFmtId="4" fontId="2" fillId="6" borderId="4" xfId="0" applyNumberFormat="1" applyFont="1" applyFill="1" applyBorder="1" applyAlignment="1">
      <alignment horizontal="center" wrapText="1"/>
    </xf>
    <xf numFmtId="170" fontId="0" fillId="0" borderId="0" xfId="0" applyNumberFormat="1" applyBorder="1" applyAlignment="1">
      <alignment horizontal="center"/>
    </xf>
    <xf numFmtId="170" fontId="0" fillId="0" borderId="2" xfId="0" applyNumberFormat="1" applyBorder="1" applyAlignment="1">
      <alignment horizontal="center"/>
    </xf>
    <xf numFmtId="170" fontId="0" fillId="0" borderId="10" xfId="0" applyNumberFormat="1" applyBorder="1" applyAlignment="1">
      <alignment horizontal="center"/>
    </xf>
    <xf numFmtId="170" fontId="0" fillId="0" borderId="3" xfId="0" applyNumberFormat="1" applyBorder="1" applyAlignment="1">
      <alignment horizontal="center"/>
    </xf>
    <xf numFmtId="0" fontId="0" fillId="30" borderId="2" xfId="0" applyFill="1" applyBorder="1" applyAlignment="1">
      <alignment horizontal="center"/>
    </xf>
    <xf numFmtId="0" fontId="0" fillId="30" borderId="3" xfId="0" applyFill="1" applyBorder="1" applyAlignment="1">
      <alignment horizontal="center"/>
    </xf>
    <xf numFmtId="4" fontId="27" fillId="0" borderId="1" xfId="1" applyNumberFormat="1" applyFont="1" applyFill="1" applyBorder="1" applyAlignment="1">
      <alignment horizontal="center"/>
    </xf>
    <xf numFmtId="0" fontId="0" fillId="0" borderId="8" xfId="0" applyNumberFormat="1" applyBorder="1" applyAlignment="1">
      <alignment horizontal="center"/>
    </xf>
    <xf numFmtId="4" fontId="0" fillId="0" borderId="2" xfId="70" applyNumberFormat="1" applyFont="1" applyFill="1" applyBorder="1" applyAlignment="1">
      <alignment horizontal="center"/>
    </xf>
    <xf numFmtId="4" fontId="0" fillId="0" borderId="3" xfId="70" applyNumberFormat="1" applyFont="1" applyFill="1" applyBorder="1" applyAlignment="1">
      <alignment horizontal="center"/>
    </xf>
    <xf numFmtId="0" fontId="9" fillId="0" borderId="2" xfId="0" applyFont="1" applyFill="1" applyBorder="1" applyAlignment="1">
      <alignment horizontal="center"/>
    </xf>
    <xf numFmtId="0" fontId="0" fillId="0" borderId="7" xfId="0" applyBorder="1"/>
    <xf numFmtId="0" fontId="0" fillId="0" borderId="7" xfId="0" applyBorder="1" applyAlignment="1">
      <alignment horizontal="center"/>
    </xf>
    <xf numFmtId="2" fontId="0" fillId="0" borderId="7" xfId="0" applyNumberFormat="1" applyBorder="1" applyAlignment="1">
      <alignment horizontal="center"/>
    </xf>
    <xf numFmtId="0" fontId="0" fillId="32" borderId="1" xfId="0" applyFill="1" applyBorder="1"/>
    <xf numFmtId="0" fontId="0" fillId="30" borderId="2" xfId="0" applyFill="1" applyBorder="1"/>
    <xf numFmtId="4" fontId="0" fillId="30" borderId="2" xfId="0" applyNumberFormat="1" applyFill="1" applyBorder="1" applyAlignment="1">
      <alignment horizontal="center"/>
    </xf>
    <xf numFmtId="0" fontId="0" fillId="32" borderId="3" xfId="0" applyFill="1" applyBorder="1"/>
    <xf numFmtId="0" fontId="0" fillId="32" borderId="3" xfId="0" applyFill="1" applyBorder="1" applyAlignment="1">
      <alignment horizontal="center"/>
    </xf>
    <xf numFmtId="4" fontId="0" fillId="32" borderId="3" xfId="0" applyNumberFormat="1" applyFill="1" applyBorder="1" applyAlignment="1">
      <alignment horizontal="center"/>
    </xf>
    <xf numFmtId="9" fontId="0" fillId="0" borderId="0" xfId="0" applyNumberFormat="1"/>
    <xf numFmtId="0" fontId="28" fillId="34" borderId="0" xfId="72"/>
    <xf numFmtId="0" fontId="28" fillId="34" borderId="0" xfId="72" applyBorder="1"/>
    <xf numFmtId="0" fontId="28" fillId="34" borderId="0" xfId="72" applyAlignment="1">
      <alignment horizontal="center"/>
    </xf>
    <xf numFmtId="4" fontId="28" fillId="34" borderId="0" xfId="72" applyNumberFormat="1" applyAlignment="1">
      <alignment horizontal="center"/>
    </xf>
    <xf numFmtId="9" fontId="32" fillId="0" borderId="17" xfId="70" applyFont="1" applyBorder="1" applyAlignment="1">
      <alignment horizontal="center"/>
    </xf>
    <xf numFmtId="9" fontId="32" fillId="0" borderId="18" xfId="70" applyFont="1" applyBorder="1" applyAlignment="1">
      <alignment horizontal="center"/>
    </xf>
    <xf numFmtId="9" fontId="32" fillId="0" borderId="19" xfId="70" applyFont="1" applyBorder="1" applyAlignment="1">
      <alignment horizontal="center"/>
    </xf>
    <xf numFmtId="0" fontId="32" fillId="0" borderId="17" xfId="0" applyFont="1" applyBorder="1" applyAlignment="1">
      <alignment horizontal="center" vertical="center"/>
    </xf>
    <xf numFmtId="4" fontId="32" fillId="0" borderId="17" xfId="0" applyNumberFormat="1" applyFont="1" applyBorder="1" applyAlignment="1">
      <alignment horizontal="center"/>
    </xf>
    <xf numFmtId="4" fontId="31" fillId="35" borderId="17" xfId="72" applyNumberFormat="1" applyFont="1" applyFill="1" applyBorder="1" applyAlignment="1">
      <alignment horizontal="center"/>
    </xf>
    <xf numFmtId="0" fontId="32" fillId="0" borderId="17" xfId="0" applyFont="1" applyBorder="1"/>
    <xf numFmtId="0" fontId="32" fillId="0" borderId="18" xfId="0" applyFont="1" applyBorder="1" applyAlignment="1">
      <alignment horizontal="center" vertical="center"/>
    </xf>
    <xf numFmtId="4" fontId="32" fillId="0" borderId="18" xfId="0" applyNumberFormat="1" applyFont="1" applyBorder="1" applyAlignment="1">
      <alignment horizontal="center"/>
    </xf>
    <xf numFmtId="4" fontId="31" fillId="35" borderId="18" xfId="72" applyNumberFormat="1" applyFont="1" applyFill="1" applyBorder="1" applyAlignment="1">
      <alignment horizontal="center"/>
    </xf>
    <xf numFmtId="0" fontId="32" fillId="0" borderId="18" xfId="0" applyFont="1" applyBorder="1"/>
    <xf numFmtId="0" fontId="32" fillId="0" borderId="19" xfId="0" applyFont="1" applyBorder="1" applyAlignment="1">
      <alignment horizontal="center" vertical="center"/>
    </xf>
    <xf numFmtId="4" fontId="32" fillId="0" borderId="19" xfId="0" applyNumberFormat="1" applyFont="1" applyBorder="1" applyAlignment="1">
      <alignment horizontal="center"/>
    </xf>
    <xf numFmtId="4" fontId="31" fillId="35" borderId="19" xfId="72" applyNumberFormat="1" applyFont="1" applyFill="1" applyBorder="1" applyAlignment="1">
      <alignment horizontal="center"/>
    </xf>
    <xf numFmtId="0" fontId="32" fillId="0" borderId="19" xfId="0" applyFont="1" applyBorder="1"/>
    <xf numFmtId="0" fontId="31" fillId="34" borderId="18" xfId="72" applyFont="1" applyBorder="1"/>
    <xf numFmtId="0" fontId="31" fillId="34" borderId="19" xfId="72" applyFont="1" applyBorder="1"/>
    <xf numFmtId="2" fontId="0" fillId="3" borderId="22" xfId="0" applyNumberFormat="1" applyFill="1" applyBorder="1" applyAlignment="1">
      <alignment horizontal="center"/>
    </xf>
    <xf numFmtId="4" fontId="0" fillId="3" borderId="22" xfId="1" applyNumberFormat="1" applyFont="1" applyFill="1" applyBorder="1" applyAlignment="1">
      <alignment horizontal="center"/>
    </xf>
    <xf numFmtId="164" fontId="0" fillId="3" borderId="22" xfId="1" applyNumberFormat="1" applyFont="1" applyFill="1" applyBorder="1" applyAlignment="1">
      <alignment horizontal="center"/>
    </xf>
    <xf numFmtId="2" fontId="0" fillId="4" borderId="22" xfId="0" applyNumberFormat="1" applyFill="1" applyBorder="1" applyAlignment="1">
      <alignment horizontal="center"/>
    </xf>
    <xf numFmtId="4" fontId="0" fillId="4" borderId="22" xfId="1" applyNumberFormat="1" applyFont="1" applyFill="1" applyBorder="1" applyAlignment="1">
      <alignment horizontal="center"/>
    </xf>
    <xf numFmtId="164" fontId="0" fillId="4" borderId="22" xfId="1" applyNumberFormat="1" applyFont="1" applyFill="1" applyBorder="1" applyAlignment="1">
      <alignment horizontal="center"/>
    </xf>
    <xf numFmtId="4" fontId="0" fillId="5" borderId="22" xfId="0" applyNumberFormat="1" applyFill="1" applyBorder="1" applyAlignment="1">
      <alignment horizontal="center"/>
    </xf>
    <xf numFmtId="164" fontId="0" fillId="5" borderId="22" xfId="1" applyNumberFormat="1" applyFont="1" applyFill="1" applyBorder="1" applyAlignment="1">
      <alignment horizontal="center"/>
    </xf>
    <xf numFmtId="4" fontId="0" fillId="0" borderId="23" xfId="0" applyNumberFormat="1" applyBorder="1" applyAlignment="1">
      <alignment horizontal="center"/>
    </xf>
    <xf numFmtId="2" fontId="0" fillId="0" borderId="0" xfId="0" applyNumberFormat="1" applyBorder="1" applyAlignment="1">
      <alignment horizontal="center"/>
    </xf>
    <xf numFmtId="9" fontId="32" fillId="0" borderId="24" xfId="70" applyFont="1" applyBorder="1" applyAlignment="1">
      <alignment horizontal="center"/>
    </xf>
    <xf numFmtId="0" fontId="32" fillId="0" borderId="24" xfId="0" applyFont="1" applyBorder="1" applyAlignment="1">
      <alignment horizontal="center" vertical="center"/>
    </xf>
    <xf numFmtId="4" fontId="32" fillId="0" borderId="24" xfId="0" applyNumberFormat="1" applyFont="1" applyBorder="1" applyAlignment="1">
      <alignment horizontal="center"/>
    </xf>
    <xf numFmtId="4" fontId="31" fillId="35" borderId="24" xfId="72" applyNumberFormat="1" applyFont="1" applyFill="1" applyBorder="1" applyAlignment="1">
      <alignment horizontal="center"/>
    </xf>
    <xf numFmtId="0" fontId="32" fillId="0" borderId="24" xfId="0" applyFont="1" applyBorder="1"/>
    <xf numFmtId="4" fontId="0" fillId="2" borderId="26" xfId="0" applyNumberFormat="1" applyFill="1" applyBorder="1" applyAlignment="1">
      <alignment horizontal="center"/>
    </xf>
    <xf numFmtId="2" fontId="0" fillId="3" borderId="26" xfId="0" applyNumberFormat="1" applyFill="1" applyBorder="1" applyAlignment="1">
      <alignment horizontal="center"/>
    </xf>
    <xf numFmtId="4" fontId="0" fillId="3" borderId="26" xfId="1" applyNumberFormat="1" applyFont="1" applyFill="1" applyBorder="1" applyAlignment="1">
      <alignment horizontal="center"/>
    </xf>
    <xf numFmtId="164" fontId="0" fillId="3" borderId="26" xfId="1" applyNumberFormat="1" applyFont="1" applyFill="1" applyBorder="1" applyAlignment="1">
      <alignment horizontal="center"/>
    </xf>
    <xf numFmtId="2" fontId="0" fillId="4" borderId="26" xfId="0" applyNumberFormat="1" applyFill="1" applyBorder="1" applyAlignment="1">
      <alignment horizontal="center"/>
    </xf>
    <xf numFmtId="4" fontId="0" fillId="4" borderId="26" xfId="1" applyNumberFormat="1" applyFont="1" applyFill="1" applyBorder="1" applyAlignment="1">
      <alignment horizontal="center"/>
    </xf>
    <xf numFmtId="164" fontId="0" fillId="4" borderId="26" xfId="1" applyNumberFormat="1" applyFont="1" applyFill="1" applyBorder="1" applyAlignment="1">
      <alignment horizontal="center"/>
    </xf>
    <xf numFmtId="4" fontId="0" fillId="5" borderId="26" xfId="0" applyNumberFormat="1" applyFill="1" applyBorder="1" applyAlignment="1">
      <alignment horizontal="center"/>
    </xf>
    <xf numFmtId="164" fontId="0" fillId="5" borderId="26" xfId="1" applyNumberFormat="1" applyFont="1" applyFill="1" applyBorder="1" applyAlignment="1">
      <alignment horizontal="center"/>
    </xf>
    <xf numFmtId="0" fontId="31" fillId="34" borderId="27" xfId="72" applyFont="1" applyBorder="1"/>
    <xf numFmtId="0" fontId="32" fillId="0" borderId="27" xfId="0" applyFont="1" applyBorder="1" applyAlignment="1">
      <alignment horizontal="center" vertical="center"/>
    </xf>
    <xf numFmtId="4" fontId="32" fillId="0" borderId="27" xfId="0" applyNumberFormat="1" applyFont="1" applyBorder="1" applyAlignment="1">
      <alignment horizontal="center"/>
    </xf>
    <xf numFmtId="0" fontId="0" fillId="0" borderId="25" xfId="0" applyNumberFormat="1" applyBorder="1" applyAlignment="1">
      <alignment horizontal="center"/>
    </xf>
    <xf numFmtId="0" fontId="31" fillId="34" borderId="25" xfId="72" applyFont="1" applyBorder="1"/>
    <xf numFmtId="0" fontId="31" fillId="34" borderId="25" xfId="72" applyFont="1" applyBorder="1" applyAlignment="1">
      <alignment horizontal="center"/>
    </xf>
    <xf numFmtId="2" fontId="31" fillId="34" borderId="25" xfId="72" applyNumberFormat="1" applyFont="1" applyBorder="1" applyAlignment="1">
      <alignment horizontal="center"/>
    </xf>
    <xf numFmtId="2" fontId="0" fillId="36" borderId="0" xfId="0" applyNumberFormat="1" applyFill="1" applyAlignment="1"/>
    <xf numFmtId="171" fontId="0" fillId="0" borderId="0" xfId="0" applyNumberFormat="1"/>
    <xf numFmtId="1" fontId="0" fillId="0" borderId="0" xfId="0" applyNumberFormat="1"/>
    <xf numFmtId="0" fontId="33" fillId="0" borderId="0" xfId="0" applyFont="1"/>
    <xf numFmtId="172" fontId="0" fillId="0" borderId="0" xfId="0" applyNumberFormat="1" applyAlignment="1">
      <alignment horizontal="center"/>
    </xf>
    <xf numFmtId="4" fontId="0" fillId="2" borderId="28" xfId="0" applyNumberFormat="1" applyFill="1" applyBorder="1" applyAlignment="1">
      <alignment horizontal="center"/>
    </xf>
    <xf numFmtId="2" fontId="0" fillId="3" borderId="28" xfId="0" applyNumberFormat="1" applyFill="1" applyBorder="1" applyAlignment="1">
      <alignment horizontal="center"/>
    </xf>
    <xf numFmtId="4" fontId="0" fillId="3" borderId="28" xfId="1" applyNumberFormat="1" applyFont="1" applyFill="1" applyBorder="1" applyAlignment="1">
      <alignment horizontal="center"/>
    </xf>
    <xf numFmtId="164" fontId="0" fillId="3" borderId="28" xfId="1" applyNumberFormat="1" applyFont="1" applyFill="1" applyBorder="1" applyAlignment="1">
      <alignment horizontal="center"/>
    </xf>
    <xf numFmtId="2" fontId="0" fillId="4" borderId="28" xfId="0" applyNumberFormat="1" applyFill="1" applyBorder="1" applyAlignment="1">
      <alignment horizontal="center"/>
    </xf>
    <xf numFmtId="4" fontId="0" fillId="4" borderId="28" xfId="1" applyNumberFormat="1" applyFont="1" applyFill="1" applyBorder="1" applyAlignment="1">
      <alignment horizontal="center"/>
    </xf>
    <xf numFmtId="164" fontId="0" fillId="4" borderId="28" xfId="1" applyNumberFormat="1" applyFont="1" applyFill="1" applyBorder="1" applyAlignment="1">
      <alignment horizontal="center"/>
    </xf>
    <xf numFmtId="4" fontId="0" fillId="5" borderId="28" xfId="0" applyNumberFormat="1" applyFill="1" applyBorder="1" applyAlignment="1">
      <alignment horizontal="center"/>
    </xf>
    <xf numFmtId="164" fontId="0" fillId="5" borderId="28" xfId="1" applyNumberFormat="1" applyFont="1" applyFill="1" applyBorder="1" applyAlignment="1">
      <alignment horizontal="center"/>
    </xf>
    <xf numFmtId="4" fontId="0" fillId="0" borderId="28" xfId="0" applyNumberFormat="1" applyBorder="1" applyAlignment="1">
      <alignment horizontal="center"/>
    </xf>
    <xf numFmtId="0" fontId="0" fillId="37" borderId="28" xfId="0" applyFill="1" applyBorder="1" applyAlignment="1" applyProtection="1">
      <alignment horizontal="center"/>
      <protection locked="0"/>
    </xf>
    <xf numFmtId="0" fontId="0" fillId="37" borderId="28" xfId="0" applyFill="1" applyBorder="1" applyAlignment="1">
      <alignment horizontal="center"/>
    </xf>
    <xf numFmtId="0" fontId="32" fillId="0" borderId="28" xfId="0" applyFont="1" applyBorder="1" applyAlignment="1">
      <alignment horizontal="center" vertical="center"/>
    </xf>
    <xf numFmtId="4" fontId="32" fillId="0" borderId="28" xfId="0" applyNumberFormat="1" applyFont="1" applyBorder="1" applyAlignment="1">
      <alignment horizontal="center"/>
    </xf>
    <xf numFmtId="4" fontId="32" fillId="0" borderId="21" xfId="0" applyNumberFormat="1" applyFont="1" applyBorder="1" applyAlignment="1">
      <alignment horizontal="center"/>
    </xf>
    <xf numFmtId="173" fontId="0" fillId="0" borderId="0" xfId="129" applyNumberFormat="1" applyFont="1"/>
    <xf numFmtId="0" fontId="34" fillId="38" borderId="20" xfId="72" applyFont="1" applyFill="1" applyBorder="1"/>
    <xf numFmtId="0" fontId="34" fillId="38" borderId="19" xfId="72" applyFont="1" applyFill="1" applyBorder="1"/>
    <xf numFmtId="0" fontId="34" fillId="38" borderId="19" xfId="72" applyFont="1" applyFill="1" applyBorder="1" applyAlignment="1">
      <alignment horizontal="center"/>
    </xf>
    <xf numFmtId="0" fontId="34" fillId="38" borderId="17" xfId="72" applyFont="1" applyFill="1" applyBorder="1"/>
    <xf numFmtId="0" fontId="34" fillId="38" borderId="17" xfId="72" applyFont="1" applyFill="1" applyBorder="1" applyAlignment="1">
      <alignment horizontal="center"/>
    </xf>
    <xf numFmtId="0" fontId="34" fillId="38" borderId="6" xfId="72" applyFont="1" applyFill="1" applyBorder="1"/>
    <xf numFmtId="0" fontId="34" fillId="38" borderId="28" xfId="72" applyFont="1" applyFill="1" applyBorder="1"/>
    <xf numFmtId="0" fontId="34" fillId="38" borderId="28" xfId="72" applyFont="1" applyFill="1" applyBorder="1" applyAlignment="1">
      <alignment horizontal="center"/>
    </xf>
    <xf numFmtId="0" fontId="0" fillId="39" borderId="28" xfId="0" applyFill="1" applyBorder="1"/>
    <xf numFmtId="0" fontId="6" fillId="39" borderId="28" xfId="0" applyFont="1" applyFill="1" applyBorder="1"/>
    <xf numFmtId="0" fontId="0" fillId="39" borderId="28" xfId="0" applyFill="1" applyBorder="1" applyAlignment="1">
      <alignment horizontal="center"/>
    </xf>
    <xf numFmtId="0" fontId="0" fillId="40" borderId="28" xfId="0" applyFill="1" applyBorder="1"/>
    <xf numFmtId="0" fontId="0" fillId="40" borderId="28" xfId="0" applyFill="1" applyBorder="1" applyProtection="1">
      <protection locked="0"/>
    </xf>
    <xf numFmtId="0" fontId="6" fillId="40" borderId="28" xfId="0" applyFont="1" applyFill="1" applyBorder="1"/>
    <xf numFmtId="4" fontId="0" fillId="0" borderId="11" xfId="0" applyNumberFormat="1" applyBorder="1" applyAlignment="1">
      <alignment horizontal="center"/>
    </xf>
    <xf numFmtId="0" fontId="0" fillId="0" borderId="28" xfId="0" applyFill="1" applyBorder="1" applyAlignment="1">
      <alignment horizontal="left"/>
    </xf>
    <xf numFmtId="0" fontId="6" fillId="0" borderId="28" xfId="0" applyFont="1" applyFill="1" applyBorder="1" applyAlignment="1">
      <alignment horizontal="left"/>
    </xf>
    <xf numFmtId="0" fontId="0" fillId="0" borderId="28" xfId="0" applyFill="1" applyBorder="1" applyAlignment="1" applyProtection="1">
      <alignment horizontal="left"/>
      <protection locked="0"/>
    </xf>
    <xf numFmtId="0" fontId="0" fillId="0" borderId="28" xfId="0" applyFill="1" applyBorder="1" applyAlignment="1">
      <alignment horizontal="center"/>
    </xf>
    <xf numFmtId="4" fontId="0" fillId="0" borderId="28" xfId="0" applyNumberFormat="1" applyFill="1" applyBorder="1" applyAlignment="1">
      <alignment horizontal="center"/>
    </xf>
    <xf numFmtId="2" fontId="0" fillId="0" borderId="28" xfId="0" applyNumberFormat="1" applyFill="1" applyBorder="1" applyAlignment="1">
      <alignment horizontal="center"/>
    </xf>
    <xf numFmtId="4" fontId="0" fillId="0" borderId="28" xfId="1" applyNumberFormat="1" applyFont="1" applyFill="1" applyBorder="1" applyAlignment="1">
      <alignment horizontal="center"/>
    </xf>
    <xf numFmtId="164" fontId="0" fillId="0" borderId="28" xfId="1" applyNumberFormat="1" applyFont="1" applyFill="1" applyBorder="1" applyAlignment="1">
      <alignment horizontal="center"/>
    </xf>
    <xf numFmtId="0" fontId="0" fillId="0" borderId="28" xfId="0" applyFill="1" applyBorder="1" applyAlignment="1" applyProtection="1">
      <alignment horizontal="center"/>
      <protection locked="0"/>
    </xf>
    <xf numFmtId="170" fontId="0" fillId="0" borderId="28" xfId="0" applyNumberFormat="1" applyFill="1" applyBorder="1" applyAlignment="1">
      <alignment horizontal="center"/>
    </xf>
    <xf numFmtId="9" fontId="0" fillId="0" borderId="28" xfId="0" applyNumberFormat="1" applyFill="1" applyBorder="1" applyAlignment="1">
      <alignment horizontal="center"/>
    </xf>
    <xf numFmtId="4" fontId="0" fillId="3" borderId="2" xfId="70" applyNumberFormat="1" applyFont="1" applyFill="1" applyBorder="1" applyAlignment="1">
      <alignment horizontal="center"/>
    </xf>
    <xf numFmtId="164" fontId="0" fillId="3" borderId="2" xfId="70" applyNumberFormat="1" applyFont="1" applyFill="1" applyBorder="1" applyAlignment="1">
      <alignment horizontal="center"/>
    </xf>
    <xf numFmtId="4" fontId="0" fillId="3" borderId="28" xfId="70" applyNumberFormat="1" applyFont="1" applyFill="1" applyBorder="1" applyAlignment="1">
      <alignment horizontal="center"/>
    </xf>
    <xf numFmtId="164" fontId="0" fillId="3" borderId="28" xfId="70" applyNumberFormat="1" applyFont="1" applyFill="1" applyBorder="1" applyAlignment="1">
      <alignment horizontal="center"/>
    </xf>
    <xf numFmtId="4" fontId="0" fillId="4" borderId="28" xfId="70" applyNumberFormat="1" applyFont="1" applyFill="1" applyBorder="1" applyAlignment="1">
      <alignment horizontal="center"/>
    </xf>
    <xf numFmtId="164" fontId="0" fillId="4" borderId="28" xfId="70" applyNumberFormat="1" applyFont="1" applyFill="1" applyBorder="1" applyAlignment="1">
      <alignment horizontal="center"/>
    </xf>
    <xf numFmtId="164" fontId="0" fillId="5" borderId="28" xfId="70" applyNumberFormat="1" applyFont="1" applyFill="1" applyBorder="1" applyAlignment="1">
      <alignment horizontal="center"/>
    </xf>
    <xf numFmtId="4" fontId="0" fillId="2" borderId="29" xfId="0" applyNumberFormat="1" applyFill="1" applyBorder="1" applyAlignment="1">
      <alignment horizontal="center"/>
    </xf>
    <xf numFmtId="2" fontId="0" fillId="3" borderId="29" xfId="0" applyNumberFormat="1" applyFill="1" applyBorder="1" applyAlignment="1">
      <alignment horizontal="center"/>
    </xf>
    <xf numFmtId="4" fontId="0" fillId="3" borderId="29" xfId="1" applyNumberFormat="1" applyFont="1" applyFill="1" applyBorder="1" applyAlignment="1">
      <alignment horizontal="center"/>
    </xf>
    <xf numFmtId="164" fontId="0" fillId="3" borderId="29" xfId="1" applyNumberFormat="1" applyFont="1" applyFill="1" applyBorder="1" applyAlignment="1">
      <alignment horizontal="center"/>
    </xf>
    <xf numFmtId="2" fontId="0" fillId="4" borderId="29" xfId="0" applyNumberFormat="1" applyFill="1" applyBorder="1" applyAlignment="1">
      <alignment horizontal="center"/>
    </xf>
    <xf numFmtId="4" fontId="0" fillId="4" borderId="29" xfId="1" applyNumberFormat="1" applyFont="1" applyFill="1" applyBorder="1" applyAlignment="1">
      <alignment horizontal="center"/>
    </xf>
    <xf numFmtId="164" fontId="0" fillId="4" borderId="29" xfId="1" applyNumberFormat="1" applyFont="1" applyFill="1" applyBorder="1" applyAlignment="1">
      <alignment horizontal="center"/>
    </xf>
    <xf numFmtId="4" fontId="0" fillId="5" borderId="29" xfId="0" applyNumberFormat="1" applyFill="1" applyBorder="1" applyAlignment="1">
      <alignment horizontal="center"/>
    </xf>
    <xf numFmtId="164" fontId="0" fillId="5" borderId="29" xfId="1" applyNumberFormat="1" applyFont="1" applyFill="1" applyBorder="1" applyAlignment="1">
      <alignment horizontal="center"/>
    </xf>
    <xf numFmtId="4" fontId="0" fillId="0" borderId="29" xfId="0" applyNumberFormat="1" applyBorder="1" applyAlignment="1">
      <alignment horizontal="center"/>
    </xf>
    <xf numFmtId="0" fontId="0" fillId="0" borderId="0" xfId="0" applyFill="1" applyAlignment="1">
      <alignment horizontal="center"/>
    </xf>
    <xf numFmtId="0" fontId="37" fillId="41" borderId="28" xfId="0" applyFont="1" applyFill="1" applyBorder="1"/>
    <xf numFmtId="0" fontId="37" fillId="41" borderId="29" xfId="0" applyFont="1" applyFill="1" applyBorder="1" applyAlignment="1">
      <alignment horizontal="center"/>
    </xf>
    <xf numFmtId="0" fontId="37" fillId="42" borderId="28" xfId="0" applyFont="1" applyFill="1" applyBorder="1"/>
    <xf numFmtId="0" fontId="37" fillId="42" borderId="29" xfId="0" applyFont="1" applyFill="1" applyBorder="1" applyAlignment="1">
      <alignment horizontal="center"/>
    </xf>
    <xf numFmtId="175" fontId="0" fillId="3" borderId="2" xfId="0" applyNumberFormat="1" applyFill="1" applyBorder="1" applyAlignment="1">
      <alignment horizontal="center"/>
    </xf>
    <xf numFmtId="175" fontId="0" fillId="3" borderId="3" xfId="0" applyNumberFormat="1" applyFill="1" applyBorder="1" applyAlignment="1">
      <alignment horizontal="center"/>
    </xf>
    <xf numFmtId="175" fontId="0" fillId="4" borderId="2" xfId="0" applyNumberFormat="1" applyFill="1" applyBorder="1" applyAlignment="1">
      <alignment horizontal="center"/>
    </xf>
    <xf numFmtId="174" fontId="0" fillId="5" borderId="2" xfId="0" applyNumberFormat="1" applyFill="1" applyBorder="1" applyAlignment="1">
      <alignment horizontal="center"/>
    </xf>
    <xf numFmtId="174" fontId="0" fillId="5" borderId="3" xfId="0" applyNumberFormat="1" applyFill="1" applyBorder="1" applyAlignment="1">
      <alignment horizontal="center"/>
    </xf>
    <xf numFmtId="176" fontId="0" fillId="4" borderId="2" xfId="0" applyNumberFormat="1" applyFill="1" applyBorder="1" applyAlignment="1">
      <alignment horizontal="center"/>
    </xf>
    <xf numFmtId="0" fontId="0" fillId="0" borderId="2" xfId="0" applyBorder="1" applyAlignment="1">
      <alignment wrapText="1"/>
    </xf>
    <xf numFmtId="0" fontId="38" fillId="0" borderId="29" xfId="0" applyFont="1" applyBorder="1"/>
    <xf numFmtId="0" fontId="38" fillId="0" borderId="6" xfId="0" applyFont="1" applyBorder="1"/>
    <xf numFmtId="0" fontId="6" fillId="0" borderId="6" xfId="0" applyFont="1" applyBorder="1"/>
    <xf numFmtId="0" fontId="38" fillId="0" borderId="6" xfId="0" applyFont="1" applyBorder="1" applyAlignment="1">
      <alignment horizontal="center"/>
    </xf>
    <xf numFmtId="2" fontId="38" fillId="43" borderId="6" xfId="0" applyNumberFormat="1" applyFont="1" applyFill="1" applyBorder="1" applyAlignment="1">
      <alignment horizontal="center"/>
    </xf>
    <xf numFmtId="0" fontId="38" fillId="0" borderId="3" xfId="0" applyFont="1" applyBorder="1"/>
    <xf numFmtId="0" fontId="38" fillId="0" borderId="11" xfId="0" applyFont="1" applyBorder="1" applyProtection="1">
      <protection locked="0"/>
    </xf>
    <xf numFmtId="0" fontId="6" fillId="0" borderId="11" xfId="0" applyFont="1" applyBorder="1"/>
    <xf numFmtId="0" fontId="38" fillId="0" borderId="11" xfId="0" applyFont="1" applyBorder="1" applyAlignment="1" applyProtection="1">
      <alignment horizontal="center"/>
      <protection locked="0"/>
    </xf>
    <xf numFmtId="0" fontId="38" fillId="0" borderId="11" xfId="0" applyFont="1" applyBorder="1" applyAlignment="1">
      <alignment horizontal="center"/>
    </xf>
    <xf numFmtId="2" fontId="38" fillId="43" borderId="11" xfId="0" applyNumberFormat="1" applyFont="1" applyFill="1" applyBorder="1" applyAlignment="1">
      <alignment horizontal="center"/>
    </xf>
    <xf numFmtId="0" fontId="0" fillId="0" borderId="29" xfId="0" applyFill="1" applyBorder="1"/>
    <xf numFmtId="0" fontId="0" fillId="0" borderId="29" xfId="0" applyBorder="1" applyAlignment="1">
      <alignment vertical="center"/>
    </xf>
    <xf numFmtId="0" fontId="0" fillId="0" borderId="29" xfId="0" applyBorder="1"/>
    <xf numFmtId="0" fontId="0" fillId="0" borderId="29" xfId="0" applyBorder="1" applyAlignment="1">
      <alignment horizontal="center"/>
    </xf>
    <xf numFmtId="0" fontId="2" fillId="6" borderId="26" xfId="0" applyFont="1" applyFill="1" applyBorder="1" applyAlignment="1">
      <alignment horizontal="center" wrapText="1"/>
    </xf>
    <xf numFmtId="0" fontId="0" fillId="0" borderId="26" xfId="0" applyBorder="1" applyAlignment="1">
      <alignment horizontal="center"/>
    </xf>
    <xf numFmtId="0" fontId="34" fillId="38" borderId="26" xfId="72" applyFont="1" applyFill="1" applyBorder="1" applyAlignment="1">
      <alignment horizontal="center"/>
    </xf>
    <xf numFmtId="0" fontId="34" fillId="38" borderId="2" xfId="72" applyFont="1" applyFill="1" applyBorder="1" applyAlignment="1">
      <alignment horizontal="center"/>
    </xf>
    <xf numFmtId="0" fontId="34" fillId="38" borderId="3" xfId="72" applyFont="1" applyFill="1" applyBorder="1" applyAlignment="1">
      <alignment horizontal="center"/>
    </xf>
    <xf numFmtId="0" fontId="0" fillId="39" borderId="26" xfId="0" applyFill="1" applyBorder="1" applyAlignment="1">
      <alignment horizontal="center"/>
    </xf>
    <xf numFmtId="0" fontId="0" fillId="39" borderId="2" xfId="0" applyFill="1" applyBorder="1" applyAlignment="1">
      <alignment horizontal="center"/>
    </xf>
    <xf numFmtId="0" fontId="0" fillId="39" borderId="3" xfId="0" applyFill="1" applyBorder="1" applyAlignment="1">
      <alignment horizontal="center"/>
    </xf>
    <xf numFmtId="0" fontId="0" fillId="37" borderId="29" xfId="0" applyFill="1" applyBorder="1" applyAlignment="1">
      <alignment horizontal="center"/>
    </xf>
    <xf numFmtId="4" fontId="2" fillId="6" borderId="29" xfId="0" applyNumberFormat="1" applyFont="1" applyFill="1" applyBorder="1" applyAlignment="1">
      <alignment horizontal="center" wrapText="1"/>
    </xf>
    <xf numFmtId="4" fontId="0" fillId="0" borderId="26" xfId="0" applyNumberFormat="1" applyFill="1" applyBorder="1" applyAlignment="1">
      <alignment horizontal="center"/>
    </xf>
    <xf numFmtId="0" fontId="2" fillId="6" borderId="4" xfId="0" applyFont="1" applyFill="1" applyBorder="1" applyAlignment="1">
      <alignment horizontal="center" wrapText="1"/>
    </xf>
    <xf numFmtId="0" fontId="0" fillId="30" borderId="0" xfId="0" applyFill="1" applyBorder="1" applyAlignment="1">
      <alignment horizontal="center"/>
    </xf>
    <xf numFmtId="0" fontId="0" fillId="30" borderId="10" xfId="0" applyFill="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2" fontId="31" fillId="34" borderId="26" xfId="72" applyNumberFormat="1" applyFont="1" applyBorder="1" applyAlignment="1">
      <alignment horizontal="center"/>
    </xf>
    <xf numFmtId="2" fontId="31" fillId="34" borderId="2" xfId="72" applyNumberFormat="1" applyFont="1" applyBorder="1" applyAlignment="1">
      <alignment horizontal="center"/>
    </xf>
    <xf numFmtId="2" fontId="31" fillId="34" borderId="3" xfId="72" applyNumberFormat="1" applyFont="1" applyBorder="1" applyAlignment="1">
      <alignment horizontal="center"/>
    </xf>
    <xf numFmtId="170" fontId="0" fillId="0" borderId="29" xfId="0" applyNumberFormat="1" applyBorder="1"/>
    <xf numFmtId="9" fontId="0" fillId="0" borderId="29" xfId="0" applyNumberFormat="1" applyBorder="1"/>
    <xf numFmtId="9" fontId="0" fillId="0" borderId="29" xfId="0" applyNumberFormat="1" applyBorder="1" applyAlignment="1">
      <alignment horizontal="center"/>
    </xf>
    <xf numFmtId="0" fontId="6" fillId="0" borderId="29" xfId="0" applyFont="1" applyFill="1" applyBorder="1"/>
    <xf numFmtId="0" fontId="0" fillId="0" borderId="29" xfId="0" applyFill="1" applyBorder="1" applyAlignment="1">
      <alignment horizontal="center"/>
    </xf>
    <xf numFmtId="164" fontId="0" fillId="0" borderId="29" xfId="1" applyNumberFormat="1" applyFont="1" applyFill="1" applyBorder="1" applyAlignment="1">
      <alignment horizontal="center"/>
    </xf>
    <xf numFmtId="170" fontId="0" fillId="0" borderId="29" xfId="0" applyNumberFormat="1" applyFill="1" applyBorder="1" applyAlignment="1"/>
    <xf numFmtId="164" fontId="0" fillId="0" borderId="29" xfId="1" applyNumberFormat="1" applyFont="1" applyFill="1" applyBorder="1" applyAlignment="1">
      <alignment horizontal="right"/>
    </xf>
    <xf numFmtId="170" fontId="0" fillId="0" borderId="29" xfId="0" applyNumberFormat="1" applyFill="1" applyBorder="1" applyAlignment="1">
      <alignment horizontal="right"/>
    </xf>
    <xf numFmtId="177" fontId="0" fillId="0" borderId="29" xfId="0" applyNumberFormat="1" applyBorder="1" applyAlignment="1">
      <alignment horizontal="center"/>
    </xf>
    <xf numFmtId="177" fontId="0" fillId="0" borderId="29" xfId="0" applyNumberFormat="1" applyFill="1" applyBorder="1" applyAlignment="1">
      <alignment horizontal="center"/>
    </xf>
    <xf numFmtId="177" fontId="0" fillId="0" borderId="0" xfId="0" applyNumberFormat="1"/>
    <xf numFmtId="177" fontId="0" fillId="0" borderId="29" xfId="0" applyNumberFormat="1" applyFont="1" applyBorder="1" applyAlignment="1">
      <alignment horizontal="center"/>
    </xf>
    <xf numFmtId="0" fontId="2" fillId="6" borderId="26" xfId="0" applyFont="1" applyFill="1" applyBorder="1" applyAlignment="1">
      <alignment wrapText="1"/>
    </xf>
    <xf numFmtId="4" fontId="39" fillId="44" borderId="26" xfId="0" applyNumberFormat="1" applyFont="1" applyFill="1" applyBorder="1" applyAlignment="1">
      <alignment horizontal="center" wrapText="1"/>
    </xf>
    <xf numFmtId="4" fontId="2" fillId="6" borderId="26" xfId="0" applyNumberFormat="1" applyFont="1" applyFill="1" applyBorder="1" applyAlignment="1">
      <alignment horizontal="center" wrapText="1"/>
    </xf>
    <xf numFmtId="177" fontId="0" fillId="0" borderId="3" xfId="0" applyNumberFormat="1" applyFill="1" applyBorder="1" applyAlignment="1">
      <alignment horizontal="center"/>
    </xf>
    <xf numFmtId="170" fontId="0" fillId="0" borderId="3" xfId="0" applyNumberFormat="1" applyFill="1" applyBorder="1" applyAlignment="1">
      <alignment horizontal="right"/>
    </xf>
    <xf numFmtId="170" fontId="0" fillId="0" borderId="3" xfId="0" applyNumberFormat="1" applyFill="1" applyBorder="1" applyAlignment="1"/>
    <xf numFmtId="164" fontId="0" fillId="0" borderId="3" xfId="1" applyNumberFormat="1" applyFont="1" applyFill="1" applyBorder="1" applyAlignment="1">
      <alignment horizontal="right"/>
    </xf>
    <xf numFmtId="0" fontId="0" fillId="0" borderId="29" xfId="0" applyFill="1" applyBorder="1" applyProtection="1">
      <protection locked="0"/>
    </xf>
    <xf numFmtId="170" fontId="33" fillId="0" borderId="29" xfId="0" applyNumberFormat="1" applyFont="1" applyFill="1" applyBorder="1"/>
    <xf numFmtId="170" fontId="0" fillId="0" borderId="29" xfId="0" applyNumberFormat="1" applyFill="1" applyBorder="1"/>
    <xf numFmtId="9" fontId="0" fillId="0" borderId="29" xfId="0" applyNumberFormat="1" applyFill="1" applyBorder="1" applyAlignment="1">
      <alignment horizontal="center"/>
    </xf>
    <xf numFmtId="9" fontId="0" fillId="0" borderId="29" xfId="0" applyNumberFormat="1" applyFill="1" applyBorder="1"/>
    <xf numFmtId="9" fontId="0" fillId="0" borderId="29" xfId="0" applyNumberFormat="1" applyFill="1" applyBorder="1" applyAlignment="1">
      <alignment horizontal="right"/>
    </xf>
    <xf numFmtId="0" fontId="38" fillId="0" borderId="29" xfId="0" applyFont="1" applyFill="1" applyBorder="1"/>
    <xf numFmtId="0" fontId="38" fillId="0" borderId="29" xfId="0" applyFont="1" applyFill="1" applyBorder="1" applyAlignment="1">
      <alignment horizontal="center"/>
    </xf>
    <xf numFmtId="177" fontId="0" fillId="0" borderId="29" xfId="0" applyNumberFormat="1" applyFill="1" applyBorder="1"/>
    <xf numFmtId="0" fontId="38" fillId="0" borderId="29" xfId="0" applyFont="1" applyFill="1" applyBorder="1" applyProtection="1">
      <protection locked="0"/>
    </xf>
    <xf numFmtId="0" fontId="38" fillId="0" borderId="29" xfId="0" applyFont="1" applyFill="1" applyBorder="1" applyAlignment="1" applyProtection="1">
      <alignment horizontal="center"/>
      <protection locked="0"/>
    </xf>
    <xf numFmtId="4" fontId="0" fillId="0" borderId="29" xfId="0" applyNumberFormat="1" applyFill="1" applyBorder="1" applyAlignment="1">
      <alignment horizontal="right"/>
    </xf>
    <xf numFmtId="4" fontId="0" fillId="0" borderId="29" xfId="1" applyNumberFormat="1" applyFont="1" applyFill="1" applyBorder="1" applyAlignment="1">
      <alignment horizontal="right"/>
    </xf>
    <xf numFmtId="9" fontId="0" fillId="0" borderId="29" xfId="1" applyNumberFormat="1" applyFont="1" applyFill="1" applyBorder="1" applyAlignment="1">
      <alignment horizontal="right"/>
    </xf>
    <xf numFmtId="2" fontId="0" fillId="0" borderId="29" xfId="0" applyNumberFormat="1" applyFill="1" applyBorder="1" applyAlignment="1">
      <alignment horizontal="center"/>
    </xf>
    <xf numFmtId="4" fontId="0" fillId="0" borderId="29" xfId="1" applyNumberFormat="1" applyFont="1" applyFill="1" applyBorder="1" applyAlignment="1">
      <alignment horizontal="center"/>
    </xf>
    <xf numFmtId="177" fontId="0" fillId="0" borderId="2" xfId="0" applyNumberFormat="1" applyBorder="1" applyAlignment="1">
      <alignment horizontal="center"/>
    </xf>
    <xf numFmtId="164" fontId="0" fillId="3" borderId="29" xfId="70" applyNumberFormat="1" applyFont="1" applyFill="1" applyBorder="1" applyAlignment="1">
      <alignment horizontal="center"/>
    </xf>
    <xf numFmtId="164" fontId="0" fillId="4" borderId="29" xfId="70" applyNumberFormat="1" applyFont="1" applyFill="1" applyBorder="1" applyAlignment="1">
      <alignment horizontal="center"/>
    </xf>
    <xf numFmtId="164" fontId="0" fillId="5" borderId="29" xfId="70" applyNumberFormat="1" applyFont="1" applyFill="1" applyBorder="1" applyAlignment="1">
      <alignment horizontal="center"/>
    </xf>
    <xf numFmtId="0" fontId="0" fillId="30" borderId="0" xfId="0" applyFill="1" applyAlignment="1">
      <alignment horizontal="center"/>
    </xf>
    <xf numFmtId="178" fontId="0" fillId="0" borderId="0" xfId="0" applyNumberFormat="1" applyAlignment="1">
      <alignment horizontal="center"/>
    </xf>
    <xf numFmtId="178" fontId="0" fillId="3" borderId="2" xfId="0" applyNumberFormat="1" applyFill="1" applyBorder="1" applyAlignment="1">
      <alignment horizontal="center"/>
    </xf>
    <xf numFmtId="178" fontId="0" fillId="4" borderId="2" xfId="0" applyNumberFormat="1" applyFill="1" applyBorder="1" applyAlignment="1">
      <alignment horizontal="center"/>
    </xf>
    <xf numFmtId="178" fontId="0" fillId="5" borderId="2" xfId="0" applyNumberFormat="1" applyFill="1" applyBorder="1" applyAlignment="1">
      <alignment horizontal="center"/>
    </xf>
    <xf numFmtId="170" fontId="0" fillId="3" borderId="2" xfId="1" applyNumberFormat="1" applyFont="1" applyFill="1" applyBorder="1" applyAlignment="1">
      <alignment horizontal="center"/>
    </xf>
    <xf numFmtId="0" fontId="34" fillId="38" borderId="0" xfId="72" applyFont="1" applyFill="1" applyBorder="1"/>
    <xf numFmtId="0" fontId="34" fillId="38" borderId="0" xfId="72" applyFont="1" applyFill="1" applyBorder="1" applyAlignment="1">
      <alignment horizontal="center"/>
    </xf>
    <xf numFmtId="4" fontId="0" fillId="2" borderId="0" xfId="0" applyNumberFormat="1" applyFill="1" applyBorder="1" applyAlignment="1">
      <alignment horizontal="center"/>
    </xf>
    <xf numFmtId="2" fontId="0" fillId="3" borderId="0" xfId="0" applyNumberFormat="1" applyFill="1" applyBorder="1" applyAlignment="1">
      <alignment horizontal="center"/>
    </xf>
    <xf numFmtId="4" fontId="0" fillId="3" borderId="0" xfId="1" applyNumberFormat="1" applyFont="1" applyFill="1" applyBorder="1" applyAlignment="1">
      <alignment horizontal="center"/>
    </xf>
    <xf numFmtId="164" fontId="0" fillId="3" borderId="0" xfId="1" applyNumberFormat="1" applyFont="1" applyFill="1" applyBorder="1" applyAlignment="1">
      <alignment horizontal="center"/>
    </xf>
    <xf numFmtId="2" fontId="0" fillId="4" borderId="0" xfId="0" applyNumberFormat="1" applyFill="1" applyBorder="1" applyAlignment="1">
      <alignment horizontal="center"/>
    </xf>
    <xf numFmtId="4" fontId="0" fillId="4" borderId="0" xfId="1" applyNumberFormat="1" applyFont="1" applyFill="1" applyBorder="1" applyAlignment="1">
      <alignment horizontal="center"/>
    </xf>
    <xf numFmtId="164" fontId="0" fillId="4" borderId="0" xfId="1" applyNumberFormat="1" applyFont="1" applyFill="1" applyBorder="1" applyAlignment="1">
      <alignment horizontal="center"/>
    </xf>
    <xf numFmtId="4" fontId="0" fillId="5" borderId="0" xfId="0" applyNumberFormat="1" applyFill="1" applyBorder="1" applyAlignment="1">
      <alignment horizontal="center"/>
    </xf>
    <xf numFmtId="164" fontId="0" fillId="5" borderId="0" xfId="1" applyNumberFormat="1" applyFont="1" applyFill="1" applyBorder="1" applyAlignment="1">
      <alignment horizontal="center"/>
    </xf>
    <xf numFmtId="0" fontId="32" fillId="0" borderId="0" xfId="0" applyFont="1" applyBorder="1" applyAlignment="1">
      <alignment horizontal="center" vertical="center"/>
    </xf>
    <xf numFmtId="4" fontId="32" fillId="0" borderId="0" xfId="0" applyNumberFormat="1" applyFont="1" applyBorder="1" applyAlignment="1">
      <alignment horizontal="center"/>
    </xf>
    <xf numFmtId="0" fontId="40" fillId="45" borderId="30" xfId="0" applyFont="1" applyFill="1" applyBorder="1" applyAlignment="1">
      <alignment vertical="center"/>
    </xf>
    <xf numFmtId="0" fontId="40" fillId="45" borderId="31" xfId="0" applyFont="1" applyFill="1" applyBorder="1" applyAlignment="1">
      <alignment vertical="center"/>
    </xf>
    <xf numFmtId="0" fontId="34" fillId="38" borderId="2" xfId="72" applyFont="1" applyFill="1" applyBorder="1"/>
    <xf numFmtId="0" fontId="32" fillId="0" borderId="2" xfId="0" applyFont="1" applyBorder="1" applyAlignment="1">
      <alignment horizontal="center" vertical="center"/>
    </xf>
    <xf numFmtId="4" fontId="32" fillId="0" borderId="2" xfId="0" applyNumberFormat="1" applyFont="1" applyBorder="1" applyAlignment="1">
      <alignment horizontal="center"/>
    </xf>
    <xf numFmtId="4" fontId="31" fillId="35" borderId="0" xfId="72" applyNumberFormat="1" applyFont="1" applyFill="1" applyBorder="1" applyAlignment="1">
      <alignment horizontal="center"/>
    </xf>
    <xf numFmtId="9" fontId="32" fillId="0" borderId="0" xfId="70" applyFont="1" applyBorder="1" applyAlignment="1">
      <alignment horizontal="center"/>
    </xf>
    <xf numFmtId="0" fontId="32" fillId="0" borderId="0" xfId="0" applyFont="1" applyBorder="1"/>
    <xf numFmtId="0" fontId="35" fillId="32" borderId="2" xfId="0" applyFont="1" applyFill="1" applyBorder="1"/>
    <xf numFmtId="0" fontId="0" fillId="0" borderId="28" xfId="0" applyBorder="1"/>
    <xf numFmtId="0" fontId="35" fillId="32" borderId="1" xfId="0" applyFont="1" applyFill="1" applyBorder="1"/>
    <xf numFmtId="0" fontId="35" fillId="0" borderId="2" xfId="0" applyFont="1" applyFill="1" applyBorder="1"/>
    <xf numFmtId="0" fontId="35" fillId="0" borderId="2" xfId="0" applyFont="1" applyFill="1" applyBorder="1" applyAlignment="1">
      <alignment horizontal="center"/>
    </xf>
    <xf numFmtId="0" fontId="0" fillId="0" borderId="28" xfId="0" applyBorder="1" applyAlignment="1">
      <alignment horizontal="center"/>
    </xf>
    <xf numFmtId="0" fontId="35" fillId="0" borderId="1" xfId="0" applyFont="1" applyFill="1" applyBorder="1" applyAlignment="1">
      <alignment horizontal="center"/>
    </xf>
    <xf numFmtId="4" fontId="35" fillId="2" borderId="2" xfId="0" applyNumberFormat="1" applyFont="1" applyFill="1" applyBorder="1" applyAlignment="1">
      <alignment horizontal="center"/>
    </xf>
    <xf numFmtId="2" fontId="35" fillId="3" borderId="2" xfId="0" applyNumberFormat="1" applyFont="1" applyFill="1" applyBorder="1" applyAlignment="1">
      <alignment horizontal="center"/>
    </xf>
    <xf numFmtId="175" fontId="0" fillId="3" borderId="28" xfId="0" applyNumberFormat="1" applyFill="1" applyBorder="1" applyAlignment="1">
      <alignment horizontal="center"/>
    </xf>
    <xf numFmtId="175" fontId="0" fillId="3" borderId="29" xfId="0" applyNumberFormat="1" applyFill="1" applyBorder="1" applyAlignment="1">
      <alignment horizontal="center"/>
    </xf>
    <xf numFmtId="4" fontId="35" fillId="3" borderId="2" xfId="1" applyNumberFormat="1" applyFont="1" applyFill="1" applyBorder="1" applyAlignment="1">
      <alignment horizontal="center"/>
    </xf>
    <xf numFmtId="4" fontId="0" fillId="3" borderId="28" xfId="0" applyNumberFormat="1" applyFill="1" applyBorder="1" applyAlignment="1">
      <alignment horizontal="center"/>
    </xf>
    <xf numFmtId="4" fontId="0" fillId="3" borderId="29" xfId="0" applyNumberFormat="1" applyFill="1" applyBorder="1" applyAlignment="1">
      <alignment horizontal="center"/>
    </xf>
    <xf numFmtId="164" fontId="35" fillId="3" borderId="2" xfId="1" applyNumberFormat="1" applyFont="1" applyFill="1" applyBorder="1" applyAlignment="1">
      <alignment horizontal="center"/>
    </xf>
    <xf numFmtId="4" fontId="35" fillId="5" borderId="2" xfId="0" applyNumberFormat="1" applyFont="1" applyFill="1" applyBorder="1" applyAlignment="1">
      <alignment horizontal="center"/>
    </xf>
    <xf numFmtId="174" fontId="0" fillId="5" borderId="28" xfId="0" applyNumberFormat="1" applyFill="1" applyBorder="1" applyAlignment="1">
      <alignment horizontal="center"/>
    </xf>
    <xf numFmtId="169" fontId="35" fillId="5" borderId="2" xfId="0" applyNumberFormat="1" applyFont="1" applyFill="1" applyBorder="1" applyAlignment="1">
      <alignment horizontal="center"/>
    </xf>
    <xf numFmtId="174" fontId="0" fillId="5" borderId="29" xfId="0" applyNumberFormat="1" applyFill="1" applyBorder="1" applyAlignment="1">
      <alignment horizontal="center"/>
    </xf>
    <xf numFmtId="4" fontId="35" fillId="5" borderId="2" xfId="1" applyNumberFormat="1" applyFont="1" applyFill="1" applyBorder="1" applyAlignment="1">
      <alignment horizontal="center"/>
    </xf>
    <xf numFmtId="164" fontId="35" fillId="5" borderId="2" xfId="1" applyNumberFormat="1" applyFont="1" applyFill="1" applyBorder="1" applyAlignment="1">
      <alignment horizontal="center"/>
    </xf>
    <xf numFmtId="169" fontId="0" fillId="0" borderId="1" xfId="0" applyNumberFormat="1" applyBorder="1" applyAlignment="1">
      <alignment horizontal="center"/>
    </xf>
    <xf numFmtId="4" fontId="0" fillId="0" borderId="8" xfId="0" applyNumberFormat="1" applyBorder="1" applyAlignment="1">
      <alignment horizontal="center"/>
    </xf>
    <xf numFmtId="0" fontId="5" fillId="31" borderId="0" xfId="0" applyFont="1" applyFill="1" applyBorder="1" applyAlignment="1">
      <alignment horizontal="center" wrapText="1"/>
    </xf>
    <xf numFmtId="4" fontId="0" fillId="0" borderId="7" xfId="0" applyNumberFormat="1" applyBorder="1" applyAlignment="1">
      <alignment horizontal="center"/>
    </xf>
    <xf numFmtId="4" fontId="0" fillId="0" borderId="0" xfId="0" applyNumberFormat="1" applyFill="1" applyBorder="1" applyAlignment="1">
      <alignment horizontal="center"/>
    </xf>
    <xf numFmtId="0" fontId="0" fillId="39" borderId="0" xfId="0" applyFill="1" applyBorder="1"/>
    <xf numFmtId="0" fontId="0" fillId="39" borderId="0" xfId="0" applyFill="1" applyBorder="1" applyAlignment="1">
      <alignment horizontal="center"/>
    </xf>
    <xf numFmtId="4" fontId="32" fillId="0" borderId="26" xfId="0" applyNumberFormat="1" applyFont="1" applyBorder="1" applyAlignment="1">
      <alignment horizontal="center"/>
    </xf>
    <xf numFmtId="0" fontId="2" fillId="6" borderId="48" xfId="0" applyFont="1" applyFill="1" applyBorder="1" applyAlignment="1">
      <alignment horizontal="center" wrapText="1"/>
    </xf>
    <xf numFmtId="0" fontId="0" fillId="0" borderId="41" xfId="0" applyBorder="1" applyAlignment="1">
      <alignment horizontal="center"/>
    </xf>
    <xf numFmtId="0" fontId="37" fillId="41" borderId="41" xfId="0" applyFont="1" applyFill="1" applyBorder="1" applyAlignment="1">
      <alignment horizontal="center"/>
    </xf>
    <xf numFmtId="0" fontId="37" fillId="42" borderId="41" xfId="0" applyFont="1" applyFill="1" applyBorder="1" applyAlignment="1">
      <alignment horizontal="center"/>
    </xf>
    <xf numFmtId="0" fontId="0" fillId="37" borderId="41" xfId="0" applyFill="1" applyBorder="1" applyAlignment="1">
      <alignment horizontal="center"/>
    </xf>
    <xf numFmtId="0" fontId="34" fillId="38" borderId="48" xfId="72" applyFont="1" applyFill="1" applyBorder="1" applyAlignment="1">
      <alignment horizontal="center"/>
    </xf>
    <xf numFmtId="0" fontId="0" fillId="39" borderId="48" xfId="0" applyFill="1" applyBorder="1" applyAlignment="1">
      <alignment horizontal="center"/>
    </xf>
    <xf numFmtId="0" fontId="38" fillId="0" borderId="43" xfId="0" applyFont="1" applyBorder="1"/>
    <xf numFmtId="4" fontId="2" fillId="6" borderId="41" xfId="0" applyNumberFormat="1" applyFont="1" applyFill="1" applyBorder="1" applyAlignment="1">
      <alignment horizontal="center" wrapText="1"/>
    </xf>
    <xf numFmtId="4" fontId="0" fillId="0" borderId="48" xfId="0" applyNumberFormat="1" applyFill="1" applyBorder="1" applyAlignment="1">
      <alignment horizontal="center"/>
    </xf>
    <xf numFmtId="0" fontId="2" fillId="6" borderId="42" xfId="0" applyFont="1" applyFill="1" applyBorder="1" applyAlignment="1">
      <alignment horizontal="center" wrapText="1"/>
    </xf>
    <xf numFmtId="2" fontId="0" fillId="0" borderId="48" xfId="0" applyNumberFormat="1" applyBorder="1" applyAlignment="1">
      <alignment horizontal="center"/>
    </xf>
    <xf numFmtId="2" fontId="0" fillId="0" borderId="41" xfId="0" applyNumberFormat="1" applyBorder="1" applyAlignment="1">
      <alignment horizontal="center"/>
    </xf>
    <xf numFmtId="2" fontId="31" fillId="34" borderId="48" xfId="72" applyNumberFormat="1" applyFont="1" applyBorder="1" applyAlignment="1">
      <alignment horizontal="center"/>
    </xf>
    <xf numFmtId="0" fontId="67" fillId="6" borderId="42" xfId="0" applyFont="1" applyFill="1" applyBorder="1" applyAlignment="1">
      <alignment horizontal="center" wrapText="1"/>
    </xf>
    <xf numFmtId="4" fontId="67" fillId="6" borderId="41" xfId="0" applyNumberFormat="1" applyFont="1" applyFill="1" applyBorder="1" applyAlignment="1">
      <alignment horizontal="center" wrapText="1"/>
    </xf>
    <xf numFmtId="2" fontId="25" fillId="0" borderId="3" xfId="0" applyNumberFormat="1" applyFont="1" applyFill="1" applyBorder="1" applyAlignment="1">
      <alignment horizontal="center"/>
    </xf>
    <xf numFmtId="0" fontId="25" fillId="30" borderId="0" xfId="0" applyFont="1" applyFill="1" applyBorder="1" applyAlignment="1">
      <alignment horizontal="center"/>
    </xf>
    <xf numFmtId="0" fontId="6" fillId="0" borderId="41" xfId="588" applyFont="1" applyFill="1" applyBorder="1" applyAlignment="1">
      <alignment vertical="center" wrapText="1"/>
    </xf>
    <xf numFmtId="0" fontId="6" fillId="0" borderId="41" xfId="588" applyFont="1" applyFill="1" applyBorder="1" applyAlignment="1">
      <alignment horizontal="center"/>
    </xf>
    <xf numFmtId="0" fontId="6" fillId="0" borderId="41" xfId="588" applyFont="1" applyFill="1" applyBorder="1" applyAlignment="1">
      <alignment vertical="center"/>
    </xf>
    <xf numFmtId="0" fontId="25" fillId="0" borderId="0" xfId="0" applyFont="1" applyAlignment="1">
      <alignment horizontal="center"/>
    </xf>
    <xf numFmtId="4" fontId="25" fillId="0" borderId="0" xfId="0" applyNumberFormat="1" applyFont="1" applyAlignment="1">
      <alignment horizontal="center"/>
    </xf>
    <xf numFmtId="0" fontId="25" fillId="0" borderId="0" xfId="0" applyFont="1"/>
    <xf numFmtId="0" fontId="25" fillId="30" borderId="10" xfId="0" applyFont="1" applyFill="1" applyBorder="1" applyAlignment="1">
      <alignment horizontal="center"/>
    </xf>
    <xf numFmtId="2" fontId="25" fillId="0" borderId="48" xfId="0" applyNumberFormat="1" applyFont="1" applyBorder="1" applyAlignment="1">
      <alignment horizontal="center"/>
    </xf>
    <xf numFmtId="2" fontId="25" fillId="0" borderId="3" xfId="0" applyNumberFormat="1" applyFont="1" applyBorder="1" applyAlignment="1">
      <alignment horizontal="center"/>
    </xf>
    <xf numFmtId="0" fontId="25" fillId="0" borderId="0" xfId="0" applyNumberFormat="1" applyFont="1" applyBorder="1" applyAlignment="1">
      <alignment horizontal="center"/>
    </xf>
    <xf numFmtId="2" fontId="25" fillId="4" borderId="28" xfId="0" applyNumberFormat="1" applyFont="1" applyFill="1" applyBorder="1" applyAlignment="1">
      <alignment horizontal="center"/>
    </xf>
    <xf numFmtId="2" fontId="33" fillId="43" borderId="11" xfId="0" applyNumberFormat="1" applyFont="1" applyFill="1" applyBorder="1" applyAlignment="1">
      <alignment horizontal="center"/>
    </xf>
    <xf numFmtId="0" fontId="66" fillId="0" borderId="41" xfId="588" applyFont="1" applyFill="1" applyBorder="1" applyAlignment="1">
      <alignment horizontal="left" wrapText="1"/>
    </xf>
    <xf numFmtId="0" fontId="6" fillId="0" borderId="41" xfId="588" applyFont="1" applyFill="1" applyBorder="1"/>
    <xf numFmtId="174" fontId="0" fillId="56" borderId="2" xfId="0" applyNumberFormat="1" applyFill="1" applyBorder="1" applyAlignment="1">
      <alignment horizontal="center"/>
    </xf>
    <xf numFmtId="4" fontId="25" fillId="0" borderId="0" xfId="0" applyNumberFormat="1" applyFont="1" applyBorder="1" applyAlignment="1">
      <alignment horizontal="center"/>
    </xf>
    <xf numFmtId="179" fontId="45" fillId="0" borderId="41" xfId="636" applyNumberFormat="1" applyFont="1" applyFill="1" applyBorder="1" applyAlignment="1">
      <alignment horizontal="center"/>
    </xf>
    <xf numFmtId="179" fontId="52" fillId="0" borderId="41" xfId="636" applyNumberFormat="1" applyFont="1" applyFill="1" applyBorder="1" applyAlignment="1">
      <alignment horizontal="center"/>
    </xf>
    <xf numFmtId="179" fontId="45" fillId="0" borderId="0" xfId="636" applyNumberFormat="1" applyFont="1" applyFill="1" applyAlignment="1">
      <alignment horizontal="center"/>
    </xf>
    <xf numFmtId="4" fontId="25" fillId="0" borderId="2" xfId="0" applyNumberFormat="1" applyFont="1" applyBorder="1" applyAlignment="1">
      <alignment horizontal="center"/>
    </xf>
    <xf numFmtId="2" fontId="25" fillId="0" borderId="2" xfId="0" applyNumberFormat="1" applyFont="1" applyBorder="1" applyAlignment="1">
      <alignment horizontal="center"/>
    </xf>
    <xf numFmtId="0" fontId="25" fillId="0" borderId="41" xfId="0" applyFont="1" applyBorder="1" applyAlignment="1">
      <alignment horizontal="center"/>
    </xf>
    <xf numFmtId="4" fontId="25" fillId="32" borderId="3" xfId="0" applyNumberFormat="1" applyFont="1" applyFill="1" applyBorder="1" applyAlignment="1">
      <alignment horizontal="center"/>
    </xf>
    <xf numFmtId="4" fontId="25" fillId="30" borderId="2" xfId="0" applyNumberFormat="1" applyFont="1" applyFill="1" applyBorder="1" applyAlignment="1">
      <alignment horizontal="center"/>
    </xf>
    <xf numFmtId="2" fontId="25" fillId="0" borderId="41" xfId="0" applyNumberFormat="1" applyFont="1" applyBorder="1" applyAlignment="1">
      <alignment horizontal="center"/>
    </xf>
    <xf numFmtId="4" fontId="25" fillId="0" borderId="48" xfId="0" applyNumberFormat="1" applyFont="1" applyFill="1" applyBorder="1" applyAlignment="1">
      <alignment horizontal="center"/>
    </xf>
    <xf numFmtId="179" fontId="6" fillId="0" borderId="41" xfId="637" applyNumberFormat="1" applyFont="1" applyFill="1" applyBorder="1" applyAlignment="1">
      <alignment horizontal="center"/>
    </xf>
    <xf numFmtId="179" fontId="68" fillId="0" borderId="41" xfId="637" applyNumberFormat="1" applyFont="1" applyFill="1" applyBorder="1" applyAlignment="1">
      <alignment horizontal="center"/>
    </xf>
    <xf numFmtId="179" fontId="6" fillId="0" borderId="41" xfId="636" applyNumberFormat="1" applyFont="1" applyFill="1" applyBorder="1" applyAlignment="1">
      <alignment horizontal="center"/>
    </xf>
    <xf numFmtId="179" fontId="6" fillId="0" borderId="0" xfId="636" applyNumberFormat="1" applyFont="1" applyFill="1" applyAlignment="1">
      <alignment horizontal="center"/>
    </xf>
    <xf numFmtId="2" fontId="69" fillId="34" borderId="48" xfId="72" applyNumberFormat="1" applyFont="1" applyBorder="1" applyAlignment="1">
      <alignment horizontal="center"/>
    </xf>
    <xf numFmtId="2" fontId="69" fillId="34" borderId="2" xfId="72" applyNumberFormat="1" applyFont="1" applyBorder="1" applyAlignment="1">
      <alignment horizontal="center"/>
    </xf>
    <xf numFmtId="2" fontId="69" fillId="34" borderId="3" xfId="72" applyNumberFormat="1" applyFont="1" applyBorder="1" applyAlignment="1">
      <alignment horizontal="center"/>
    </xf>
    <xf numFmtId="179" fontId="6" fillId="0" borderId="2" xfId="637" applyNumberFormat="1" applyFont="1" applyFill="1" applyBorder="1" applyAlignment="1">
      <alignment horizont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6" xfId="0" applyFont="1" applyFill="1" applyBorder="1" applyAlignment="1">
      <alignment horizontal="center" vertical="center"/>
    </xf>
    <xf numFmtId="0" fontId="1" fillId="5" borderId="42" xfId="0" applyFont="1" applyFill="1" applyBorder="1" applyAlignment="1">
      <alignment horizontal="center"/>
    </xf>
    <xf numFmtId="0" fontId="1" fillId="5" borderId="45" xfId="0" applyFont="1" applyFill="1" applyBorder="1" applyAlignment="1">
      <alignment horizontal="center"/>
    </xf>
    <xf numFmtId="0" fontId="1" fillId="5" borderId="43" xfId="0" applyFont="1" applyFill="1" applyBorder="1" applyAlignment="1">
      <alignment horizontal="center"/>
    </xf>
    <xf numFmtId="0" fontId="44" fillId="6" borderId="44" xfId="588" applyFont="1" applyFill="1" applyBorder="1" applyAlignment="1">
      <alignment horizontal="center" vertical="center" wrapText="1"/>
    </xf>
    <xf numFmtId="0" fontId="44" fillId="6" borderId="46" xfId="588" applyFont="1" applyFill="1" applyBorder="1" applyAlignment="1">
      <alignment horizontal="center" vertical="center" wrapText="1"/>
    </xf>
    <xf numFmtId="0" fontId="44" fillId="6" borderId="47" xfId="588" applyFont="1" applyFill="1" applyBorder="1" applyAlignment="1">
      <alignment horizontal="center" vertical="center" wrapText="1"/>
    </xf>
    <xf numFmtId="0" fontId="44" fillId="6" borderId="9" xfId="588" applyFont="1" applyFill="1" applyBorder="1" applyAlignment="1">
      <alignment horizontal="center" vertical="center" wrapText="1"/>
    </xf>
    <xf numFmtId="0" fontId="44" fillId="6" borderId="10" xfId="588" applyFont="1" applyFill="1" applyBorder="1" applyAlignment="1">
      <alignment horizontal="center" vertical="center" wrapText="1"/>
    </xf>
    <xf numFmtId="0" fontId="44" fillId="6" borderId="11" xfId="588" applyFont="1" applyFill="1" applyBorder="1" applyAlignment="1">
      <alignment horizontal="center" vertical="center" wrapText="1"/>
    </xf>
    <xf numFmtId="0" fontId="1" fillId="5" borderId="4"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49" fontId="8" fillId="2" borderId="9" xfId="2" applyNumberFormat="1" applyFont="1" applyFill="1" applyBorder="1" applyAlignment="1">
      <alignment horizontal="center"/>
    </xf>
    <xf numFmtId="49" fontId="8" fillId="2" borderId="10" xfId="2" applyNumberFormat="1" applyFont="1" applyFill="1" applyBorder="1" applyAlignment="1">
      <alignment horizontal="center"/>
    </xf>
    <xf numFmtId="49" fontId="8" fillId="2" borderId="11" xfId="2" applyNumberFormat="1" applyFont="1" applyFill="1" applyBorder="1" applyAlignment="1">
      <alignment horizontal="center"/>
    </xf>
    <xf numFmtId="0" fontId="24" fillId="30" borderId="10" xfId="0" applyFont="1" applyFill="1" applyBorder="1" applyAlignment="1">
      <alignment horizontal="center"/>
    </xf>
    <xf numFmtId="43" fontId="24" fillId="30" borderId="4" xfId="60" applyFont="1" applyFill="1" applyBorder="1" applyAlignment="1">
      <alignment horizontal="center"/>
    </xf>
    <xf numFmtId="43" fontId="24" fillId="30" borderId="5" xfId="60" applyFont="1" applyFill="1" applyBorder="1" applyAlignment="1">
      <alignment horizontal="center"/>
    </xf>
    <xf numFmtId="43" fontId="24" fillId="30" borderId="6" xfId="60" applyFont="1" applyFill="1" applyBorder="1" applyAlignment="1">
      <alignment horizontal="center"/>
    </xf>
  </cellXfs>
  <cellStyles count="641">
    <cellStyle name="_AUS Mktg Revenue Plan FY10 Linked" xfId="3"/>
    <cellStyle name="_CMP-I FY10 Plan Rev &amp; GP Template" xfId="4"/>
    <cellStyle name="_HPV - TOP 5 GOWN CUSTOMERS" xfId="5"/>
    <cellStyle name="_HPV - TOP 5 PROTECTIVE APPAREL CUSTOMERS" xfId="6"/>
    <cellStyle name="_Viasys FY09 Revenue Budget 2008-09-02 w- Bangladesh, Sri Lanka, Nepal" xfId="7"/>
    <cellStyle name="=C:\WINNT\SYSTEM32\COMMAND.COM" xfId="8"/>
    <cellStyle name="20% - 强调文字颜色 1" xfId="589"/>
    <cellStyle name="20% - 强调文字颜色 2" xfId="590"/>
    <cellStyle name="20% - 强调文字颜色 3" xfId="591"/>
    <cellStyle name="20% - 强调文字颜色 4" xfId="592"/>
    <cellStyle name="20% - 强调文字颜色 5" xfId="593"/>
    <cellStyle name="20% - 强调文字颜色 6" xfId="594"/>
    <cellStyle name="40% - 强调文字颜色 1" xfId="595"/>
    <cellStyle name="40% - 强调文字颜色 2" xfId="596"/>
    <cellStyle name="40% - 强调文字颜色 3" xfId="597"/>
    <cellStyle name="40% - 强调文字颜色 4" xfId="598"/>
    <cellStyle name="40% - 强调文字颜色 5" xfId="599"/>
    <cellStyle name="40% - 强调文字颜色 6" xfId="600"/>
    <cellStyle name="60% - 强调文字颜色 1" xfId="601"/>
    <cellStyle name="60% - 强调文字颜色 2" xfId="602"/>
    <cellStyle name="60% - 强调文字颜色 3" xfId="603"/>
    <cellStyle name="60% - 强调文字颜色 4" xfId="604"/>
    <cellStyle name="60% - 强调文字颜色 5" xfId="605"/>
    <cellStyle name="60% - 强调文字颜色 6" xfId="606"/>
    <cellStyle name="AMAZON" xfId="9"/>
    <cellStyle name="Comma" xfId="60" builtinId="3"/>
    <cellStyle name="Currency" xfId="129" builtinId="4"/>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3" builtinId="9" hidden="1"/>
    <cellStyle name="Followed Hyperlink" xfId="585" builtinId="9" hidden="1"/>
    <cellStyle name="Followed Hyperlink" xfId="587" builtinId="9" hidden="1"/>
    <cellStyle name="Good" xfId="72" builtinId="26"/>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82" builtinId="8" hidden="1"/>
    <cellStyle name="Hyperlink" xfId="584" builtinId="8" hidden="1"/>
    <cellStyle name="Hyperlink" xfId="586" builtinId="8" hidden="1"/>
    <cellStyle name="Normal" xfId="0" builtinId="0"/>
    <cellStyle name="Normal - Style1" xfId="10"/>
    <cellStyle name="Normal - Style2" xfId="11"/>
    <cellStyle name="Normal - Style3" xfId="12"/>
    <cellStyle name="Normal - Style4" xfId="13"/>
    <cellStyle name="Normal - Style5" xfId="14"/>
    <cellStyle name="Normal - Style6" xfId="15"/>
    <cellStyle name="Normal - Style7" xfId="16"/>
    <cellStyle name="Normal - Style8" xfId="17"/>
    <cellStyle name="Normal 10" xfId="68"/>
    <cellStyle name="Normal 11" xfId="69"/>
    <cellStyle name="Normal 12" xfId="71"/>
    <cellStyle name="Normal 13" xfId="220"/>
    <cellStyle name="Normal 14" xfId="579"/>
    <cellStyle name="Normal 15" xfId="581"/>
    <cellStyle name="Normal 16" xfId="588"/>
    <cellStyle name="Normal 17" xfId="636"/>
    <cellStyle name="Normal 18" xfId="638"/>
    <cellStyle name="Normal 19" xfId="639"/>
    <cellStyle name="Normal 2" xfId="2"/>
    <cellStyle name="Normal 20" xfId="637"/>
    <cellStyle name="Normal 21" xfId="640"/>
    <cellStyle name="Normal 22" xfId="607"/>
    <cellStyle name="Normal 24" xfId="608"/>
    <cellStyle name="Normal 3" xfId="61"/>
    <cellStyle name="Normal 4" xfId="62"/>
    <cellStyle name="Normal 5" xfId="63"/>
    <cellStyle name="Normal 6" xfId="64"/>
    <cellStyle name="Normal 7" xfId="65"/>
    <cellStyle name="Normal 8" xfId="66"/>
    <cellStyle name="Normal 9" xfId="67"/>
    <cellStyle name="Percent" xfId="1" builtinId="5"/>
    <cellStyle name="Percent 2" xfId="70"/>
    <cellStyle name="SAPBEXaggData" xfId="18"/>
    <cellStyle name="SAPBEXaggDataEmph" xfId="19"/>
    <cellStyle name="SAPBEXaggItem" xfId="20"/>
    <cellStyle name="SAPBEXaggItemX" xfId="21"/>
    <cellStyle name="SAPBEXchaText" xfId="22"/>
    <cellStyle name="SAPBEXexcBad7" xfId="23"/>
    <cellStyle name="SAPBEXexcBad8" xfId="24"/>
    <cellStyle name="SAPBEXexcBad9" xfId="25"/>
    <cellStyle name="SAPBEXexcCritical4" xfId="26"/>
    <cellStyle name="SAPBEXexcCritical5" xfId="27"/>
    <cellStyle name="SAPBEXexcCritical6" xfId="28"/>
    <cellStyle name="SAPBEXexcGood1" xfId="29"/>
    <cellStyle name="SAPBEXexcGood2" xfId="30"/>
    <cellStyle name="SAPBEXexcGood3" xfId="31"/>
    <cellStyle name="SAPBEXfilterDrill" xfId="32"/>
    <cellStyle name="SAPBEXfilterItem" xfId="33"/>
    <cellStyle name="SAPBEXfilterText" xfId="34"/>
    <cellStyle name="SAPBEXformats" xfId="35"/>
    <cellStyle name="SAPBEXheaderItem" xfId="36"/>
    <cellStyle name="SAPBEXheaderText" xfId="37"/>
    <cellStyle name="SAPBEXHLevel0" xfId="38"/>
    <cellStyle name="SAPBEXHLevel0X" xfId="39"/>
    <cellStyle name="SAPBEXHLevel1" xfId="40"/>
    <cellStyle name="SAPBEXHLevel1X" xfId="41"/>
    <cellStyle name="SAPBEXHLevel2" xfId="42"/>
    <cellStyle name="SAPBEXHLevel2X" xfId="43"/>
    <cellStyle name="SAPBEXHLevel3" xfId="44"/>
    <cellStyle name="SAPBEXHLevel3X" xfId="45"/>
    <cellStyle name="SAPBEXresData" xfId="46"/>
    <cellStyle name="SAPBEXresDataEmph" xfId="47"/>
    <cellStyle name="SAPBEXresItem" xfId="48"/>
    <cellStyle name="SAPBEXresItemX" xfId="49"/>
    <cellStyle name="SAPBEXstdData" xfId="50"/>
    <cellStyle name="SAPBEXstdDataEmph" xfId="51"/>
    <cellStyle name="SAPBEXstdItem" xfId="52"/>
    <cellStyle name="SAPBEXstdItemX" xfId="53"/>
    <cellStyle name="SAPBEXtitle" xfId="54"/>
    <cellStyle name="SAPBEXundefined" xfId="55"/>
    <cellStyle name="Style 1" xfId="56"/>
    <cellStyle name="Style 1 2" xfId="580"/>
    <cellStyle name="好" xfId="617"/>
    <cellStyle name="好_07Cobes" xfId="618"/>
    <cellStyle name="好_Container in Transit" xfId="619"/>
    <cellStyle name="差" xfId="615"/>
    <cellStyle name="差_Container in Transit" xfId="616"/>
    <cellStyle name="强调文字颜色 1" xfId="626"/>
    <cellStyle name="强调文字颜色 2" xfId="627"/>
    <cellStyle name="强调文字颜色 3" xfId="628"/>
    <cellStyle name="强调文字颜色 4" xfId="629"/>
    <cellStyle name="强调文字颜色 5" xfId="630"/>
    <cellStyle name="强调文字颜色 6" xfId="631"/>
    <cellStyle name="标题" xfId="609"/>
    <cellStyle name="标题 1" xfId="610"/>
    <cellStyle name="标题 2" xfId="611"/>
    <cellStyle name="标题 3" xfId="612"/>
    <cellStyle name="标题 4" xfId="613"/>
    <cellStyle name="标题_Container in Transit" xfId="614"/>
    <cellStyle name="桁区切り_FY07 Prem Plan Market2" xfId="57"/>
    <cellStyle name="检查单元格" xfId="622"/>
    <cellStyle name="標準_FY07 Prem Plan Market2" xfId="58"/>
    <cellStyle name="汇总" xfId="620"/>
    <cellStyle name="注释" xfId="635"/>
    <cellStyle name="解释性文本" xfId="623"/>
    <cellStyle name="警告文本" xfId="624"/>
    <cellStyle name="计算" xfId="621"/>
    <cellStyle name="输入" xfId="634"/>
    <cellStyle name="输出" xfId="633"/>
    <cellStyle name="适中" xfId="632"/>
    <cellStyle name="通貨_FY07 KM Prelim Plan1" xfId="59"/>
    <cellStyle name="链接单元格" xfId="625"/>
  </cellStyles>
  <dxfs count="1">
    <dxf>
      <fill>
        <patternFill>
          <bgColor indexed="10"/>
        </patternFill>
      </fill>
    </dxf>
  </dxfs>
  <tableStyles count="0" defaultTableStyle="TableStyleMedium2" defaultPivotStyle="PivotStyleLight16"/>
  <colors>
    <mruColors>
      <color rgb="FF8D1766"/>
      <color rgb="FFAFD9C6"/>
      <color rgb="FFF4E5FB"/>
      <color rgb="FFF0DBF9"/>
      <color rgb="FFFFD0B9"/>
      <color rgb="FFCCFFFF"/>
      <color rgb="FF9CE4A3"/>
      <color rgb="FFACF2B8"/>
      <color rgb="FFE2F5A5"/>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15240</xdr:colOff>
      <xdr:row>0</xdr:row>
      <xdr:rowOff>0</xdr:rowOff>
    </xdr:from>
    <xdr:to>
      <xdr:col>15</xdr:col>
      <xdr:colOff>22860</xdr:colOff>
      <xdr:row>0</xdr:row>
      <xdr:rowOff>175260</xdr:rowOff>
    </xdr:to>
    <xdr:sp macro="[0]!exchangeRate" textlink="">
      <xdr:nvSpPr>
        <xdr:cNvPr id="3" name="Rectangle 2"/>
        <xdr:cNvSpPr/>
      </xdr:nvSpPr>
      <xdr:spPr>
        <a:xfrm>
          <a:off x="12070080" y="0"/>
          <a:ext cx="754380" cy="17526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AU" sz="800"/>
            <a:t>Update cost</a:t>
          </a:r>
        </a:p>
        <a:p>
          <a:pPr algn="l"/>
          <a:endParaRPr lang="en-A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billing_david.AUMPSCD.000/My%20Documents/Book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ocuments/2009/Tenders/Healthscope%20Gowns_09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nance/Budgets/FY10/Aust/Intl/templates/CMP-I%20FY10%20Plan%20Rev%20&amp;%20GP%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ftGownPortfoli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ummary"/>
      <sheetName val="Viasys"/>
      <sheetName val="Infusion"/>
      <sheetName val="Dispensing"/>
      <sheetName val="MPT"/>
      <sheetName val="Enturia"/>
      <sheetName val="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AED</v>
          </cell>
        </row>
        <row r="4">
          <cell r="A4" t="str">
            <v>ARS</v>
          </cell>
        </row>
        <row r="5">
          <cell r="A5" t="str">
            <v>AUD</v>
          </cell>
        </row>
        <row r="6">
          <cell r="A6" t="str">
            <v>BRL</v>
          </cell>
        </row>
        <row r="7">
          <cell r="A7" t="str">
            <v>CAD</v>
          </cell>
        </row>
        <row r="8">
          <cell r="A8" t="str">
            <v>CHF</v>
          </cell>
        </row>
        <row r="9">
          <cell r="A9" t="str">
            <v>CNY</v>
          </cell>
        </row>
        <row r="10">
          <cell r="A10" t="str">
            <v>DKK</v>
          </cell>
        </row>
        <row r="11">
          <cell r="A11" t="str">
            <v>DOP</v>
          </cell>
        </row>
        <row r="12">
          <cell r="A12" t="str">
            <v>EUR</v>
          </cell>
        </row>
        <row r="13">
          <cell r="A13" t="str">
            <v>FJD</v>
          </cell>
        </row>
        <row r="14">
          <cell r="A14" t="str">
            <v>GBP</v>
          </cell>
        </row>
        <row r="15">
          <cell r="A15" t="str">
            <v>HUF</v>
          </cell>
        </row>
        <row r="16">
          <cell r="A16" t="str">
            <v>IDR</v>
          </cell>
        </row>
        <row r="17">
          <cell r="A17" t="str">
            <v>JPY</v>
          </cell>
        </row>
        <row r="18">
          <cell r="A18" t="str">
            <v>LVL</v>
          </cell>
        </row>
        <row r="19">
          <cell r="A19" t="str">
            <v>MXN</v>
          </cell>
        </row>
        <row r="20">
          <cell r="A20" t="str">
            <v>MYR</v>
          </cell>
        </row>
        <row r="21">
          <cell r="A21" t="str">
            <v>NOK</v>
          </cell>
        </row>
        <row r="22">
          <cell r="A22" t="str">
            <v>NZD</v>
          </cell>
        </row>
        <row r="23">
          <cell r="A23" t="str">
            <v>PLN</v>
          </cell>
        </row>
        <row r="24">
          <cell r="A24" t="str">
            <v>SAR</v>
          </cell>
        </row>
        <row r="25">
          <cell r="A25" t="str">
            <v>SEK</v>
          </cell>
        </row>
        <row r="26">
          <cell r="A26" t="str">
            <v>SGD</v>
          </cell>
        </row>
        <row r="27">
          <cell r="A27" t="str">
            <v>THB</v>
          </cell>
        </row>
        <row r="28">
          <cell r="A28" t="str">
            <v>ZAR</v>
          </cell>
        </row>
        <row r="29">
          <cell r="A29" t="str">
            <v>INR</v>
          </cell>
        </row>
        <row r="30">
          <cell r="A30" t="str">
            <v>ISK</v>
          </cell>
        </row>
        <row r="31">
          <cell r="A31" t="str">
            <v>HKD</v>
          </cell>
        </row>
        <row r="32">
          <cell r="A32" t="str">
            <v>USD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Q507"/>
  <sheetViews>
    <sheetView tabSelected="1" zoomScale="110" zoomScaleNormal="110" zoomScaleSheetLayoutView="85" zoomScalePageLayoutView="125" workbookViewId="0">
      <pane xSplit="3" ySplit="2" topLeftCell="D3" activePane="bottomRight" state="frozen"/>
      <selection activeCell="B34" sqref="B34"/>
      <selection pane="topRight" activeCell="B34" sqref="B34"/>
      <selection pane="bottomLeft" activeCell="B34" sqref="B34"/>
      <selection pane="bottomRight" activeCell="C41" sqref="C41"/>
    </sheetView>
  </sheetViews>
  <sheetFormatPr defaultColWidth="8.85546875" defaultRowHeight="15"/>
  <cols>
    <col min="1" max="1" width="12.7109375" customWidth="1"/>
    <col min="2" max="2" width="14.28515625" customWidth="1"/>
    <col min="3" max="3" width="40.7109375" customWidth="1"/>
    <col min="4" max="4" width="13.85546875" style="15" customWidth="1"/>
    <col min="5" max="5" width="15.140625" style="15" customWidth="1"/>
    <col min="6" max="6" width="4.85546875" style="60" customWidth="1"/>
    <col min="7" max="7" width="4" style="15" customWidth="1"/>
    <col min="8" max="8" width="4.85546875" style="60" customWidth="1"/>
    <col min="9" max="9" width="12.7109375" style="15" customWidth="1"/>
    <col min="10" max="10" width="11.140625" style="15" customWidth="1"/>
    <col min="11" max="12" width="14" style="15" customWidth="1"/>
    <col min="13" max="15" width="11.140625" style="15" customWidth="1"/>
    <col min="16" max="16" width="9.28515625" style="60" customWidth="1"/>
    <col min="17" max="17" width="9.28515625" style="15" customWidth="1"/>
    <col min="18" max="19" width="8.85546875" style="15" customWidth="1"/>
    <col min="20" max="20" width="9.28515625" style="15" hidden="1" customWidth="1"/>
    <col min="21" max="21" width="9.28515625" style="60" hidden="1" customWidth="1"/>
    <col min="22" max="22" width="13" style="15" customWidth="1"/>
    <col min="23" max="24" width="8.85546875" style="60" customWidth="1"/>
    <col min="25" max="25" width="8.85546875" style="15" customWidth="1"/>
    <col min="26" max="26" width="8.42578125" style="60" hidden="1" customWidth="1"/>
    <col min="27" max="28" width="7.140625" style="60" hidden="1" customWidth="1"/>
    <col min="29" max="29" width="11.5703125" style="60" customWidth="1"/>
    <col min="30" max="30" width="9.85546875" customWidth="1"/>
    <col min="31" max="31" width="11" bestFit="1" customWidth="1"/>
    <col min="32" max="32" width="12.85546875" style="60" bestFit="1" customWidth="1"/>
    <col min="33" max="33" width="10.28515625" style="60" bestFit="1" customWidth="1"/>
    <col min="34" max="34" width="10.85546875" style="15" bestFit="1" customWidth="1"/>
    <col min="35" max="35" width="8.85546875" style="15"/>
    <col min="36" max="36" width="3.28515625" style="15" customWidth="1"/>
    <col min="37" max="39" width="10.7109375" customWidth="1"/>
    <col min="41" max="41" width="11.28515625" bestFit="1" customWidth="1"/>
    <col min="42" max="42" width="45.7109375" bestFit="1" customWidth="1"/>
  </cols>
  <sheetData>
    <row r="1" spans="1:43" ht="15" customHeight="1">
      <c r="B1" s="1"/>
      <c r="C1" s="1"/>
      <c r="D1" s="11"/>
      <c r="E1" s="11"/>
      <c r="F1" s="551" t="s">
        <v>2163</v>
      </c>
      <c r="G1" s="552"/>
      <c r="H1" s="553"/>
      <c r="I1" s="11"/>
      <c r="J1" s="11"/>
      <c r="K1" s="11"/>
      <c r="L1" s="11"/>
      <c r="M1" s="11"/>
      <c r="N1" s="11"/>
      <c r="O1" s="11"/>
      <c r="P1" s="55"/>
      <c r="Q1" s="542" t="s">
        <v>347</v>
      </c>
      <c r="R1" s="543"/>
      <c r="S1" s="544"/>
      <c r="T1" s="545" t="s">
        <v>348</v>
      </c>
      <c r="U1" s="546"/>
      <c r="V1" s="547"/>
      <c r="W1" s="548" t="s">
        <v>369</v>
      </c>
      <c r="X1" s="549"/>
      <c r="Y1" s="550"/>
    </row>
    <row r="2" spans="1:43" s="26" customFormat="1" ht="60">
      <c r="A2" s="24" t="s">
        <v>350</v>
      </c>
      <c r="B2" s="24" t="s">
        <v>344</v>
      </c>
      <c r="C2" s="24" t="s">
        <v>345</v>
      </c>
      <c r="D2" s="23" t="s">
        <v>358</v>
      </c>
      <c r="E2" s="23" t="s">
        <v>902</v>
      </c>
      <c r="F2" s="554"/>
      <c r="G2" s="555"/>
      <c r="H2" s="556"/>
      <c r="I2" s="23" t="s">
        <v>357</v>
      </c>
      <c r="J2" s="375" t="s">
        <v>1683</v>
      </c>
      <c r="K2" s="490" t="s">
        <v>2166</v>
      </c>
      <c r="L2" s="490" t="s">
        <v>2167</v>
      </c>
      <c r="M2" s="490" t="s">
        <v>2164</v>
      </c>
      <c r="N2" s="490" t="s">
        <v>2168</v>
      </c>
      <c r="O2" s="490" t="s">
        <v>2165</v>
      </c>
      <c r="P2" s="56" t="s">
        <v>906</v>
      </c>
      <c r="Q2" s="23" t="s">
        <v>360</v>
      </c>
      <c r="R2" s="23" t="s">
        <v>361</v>
      </c>
      <c r="S2" s="23" t="s">
        <v>359</v>
      </c>
      <c r="T2" s="23" t="s">
        <v>362</v>
      </c>
      <c r="U2" s="56" t="s">
        <v>363</v>
      </c>
      <c r="V2" s="23" t="s">
        <v>359</v>
      </c>
      <c r="W2" s="56" t="s">
        <v>365</v>
      </c>
      <c r="X2" s="56" t="s">
        <v>364</v>
      </c>
      <c r="Y2" s="23" t="s">
        <v>359</v>
      </c>
      <c r="Z2" s="76" t="s">
        <v>371</v>
      </c>
      <c r="AA2" s="76" t="s">
        <v>372</v>
      </c>
      <c r="AB2" s="76" t="s">
        <v>374</v>
      </c>
      <c r="AC2" s="76" t="s">
        <v>375</v>
      </c>
      <c r="AD2" s="26" t="s">
        <v>1419</v>
      </c>
      <c r="AF2" s="76" t="s">
        <v>378</v>
      </c>
      <c r="AG2" s="76" t="s">
        <v>931</v>
      </c>
      <c r="AH2" s="146" t="s">
        <v>903</v>
      </c>
      <c r="AI2" s="146" t="s">
        <v>904</v>
      </c>
      <c r="AJ2" s="185"/>
    </row>
    <row r="3" spans="1:43">
      <c r="A3" s="86" t="s">
        <v>370</v>
      </c>
      <c r="B3" s="86" t="s">
        <v>2141</v>
      </c>
      <c r="C3" s="86" t="s">
        <v>2142</v>
      </c>
      <c r="D3" s="87">
        <v>10</v>
      </c>
      <c r="E3" s="87" t="s">
        <v>2</v>
      </c>
      <c r="F3" s="510">
        <v>55</v>
      </c>
      <c r="G3" s="510">
        <v>27</v>
      </c>
      <c r="H3" s="510">
        <v>42</v>
      </c>
      <c r="I3" s="34"/>
      <c r="J3" s="34"/>
      <c r="K3" s="34">
        <f t="shared" ref="K3:K66" si="0" xml:space="preserve"> IFERROR(1200 * (F3*G3*H3)/26180000,"Not available")</f>
        <v>2.8588235294117648</v>
      </c>
      <c r="L3" s="34">
        <f t="shared" ref="L3:L34" si="1">IFERROR(K3*1.39, "Not available")</f>
        <v>3.9737647058823526</v>
      </c>
      <c r="M3" s="522">
        <v>1.0457000000000001</v>
      </c>
      <c r="N3" s="522">
        <v>1.4535229999999999</v>
      </c>
      <c r="O3" s="522">
        <f t="shared" ref="O3:O34" si="2">M3*1.39</f>
        <v>1.4535229999999999</v>
      </c>
      <c r="P3" s="57">
        <f t="shared" ref="P3:P34" si="3">N3*1.39</f>
        <v>2.0203969699999997</v>
      </c>
      <c r="Q3" s="42">
        <v>13.65</v>
      </c>
      <c r="R3" s="27">
        <v>136.5</v>
      </c>
      <c r="S3" s="41"/>
      <c r="T3" s="47"/>
      <c r="U3" s="28"/>
      <c r="V3" s="48"/>
      <c r="W3" s="71"/>
      <c r="X3" s="71"/>
      <c r="Y3" s="37"/>
      <c r="Z3" s="77"/>
      <c r="AA3" s="77"/>
      <c r="AB3" s="77"/>
      <c r="AC3" s="77"/>
      <c r="AF3" s="79"/>
      <c r="AG3" s="79"/>
      <c r="AH3" s="144"/>
      <c r="AI3" s="79"/>
      <c r="AJ3" s="183"/>
    </row>
    <row r="4" spans="1:43">
      <c r="A4" s="33" t="s">
        <v>351</v>
      </c>
      <c r="B4" s="33" t="s">
        <v>1822</v>
      </c>
      <c r="C4" s="33" t="s">
        <v>1286</v>
      </c>
      <c r="D4" s="34">
        <v>1000</v>
      </c>
      <c r="E4" s="34" t="s">
        <v>2</v>
      </c>
      <c r="F4" s="510">
        <v>55</v>
      </c>
      <c r="G4" s="510">
        <v>27</v>
      </c>
      <c r="H4" s="510">
        <v>42</v>
      </c>
      <c r="I4" s="34" t="e">
        <f>VLOOKUP(B4,Pallets!B:F,5,FALSE)</f>
        <v>#N/A</v>
      </c>
      <c r="J4" s="34"/>
      <c r="K4" s="34">
        <f t="shared" si="0"/>
        <v>2.8588235294117648</v>
      </c>
      <c r="L4" s="34">
        <f t="shared" si="1"/>
        <v>3.9737647058823526</v>
      </c>
      <c r="M4" s="522">
        <v>1.0900000000000001</v>
      </c>
      <c r="N4" s="522">
        <v>1.5151000000000001</v>
      </c>
      <c r="O4" s="522">
        <f t="shared" si="2"/>
        <v>1.5151000000000001</v>
      </c>
      <c r="P4" s="57">
        <f t="shared" si="3"/>
        <v>2.1059890000000001</v>
      </c>
      <c r="Q4" s="353">
        <f t="shared" ref="Q4:Q26" si="4">+R4/D4</f>
        <v>4.5956249999999997E-2</v>
      </c>
      <c r="R4" s="65">
        <v>45.956249999999997</v>
      </c>
      <c r="S4" s="41">
        <f t="shared" ref="S4:S26" si="5">+(R4-P4)/R4</f>
        <v>0.95417404596763222</v>
      </c>
      <c r="T4" s="355">
        <f t="shared" ref="T4:T26" si="6">+U4/D4</f>
        <v>4.0850000000000004E-2</v>
      </c>
      <c r="U4" s="28">
        <v>40.85</v>
      </c>
      <c r="V4" s="48">
        <f>+(U4-$P4)/U4</f>
        <v>0.94844580171358628</v>
      </c>
      <c r="W4" s="356">
        <f t="shared" ref="W4:W26" si="7">+X4/D4</f>
        <v>3.6764999999999999E-2</v>
      </c>
      <c r="X4" s="71">
        <v>36.765000000000001</v>
      </c>
      <c r="Y4" s="37">
        <f t="shared" ref="Y4:Y26" si="8">+(X4-$P4)/X4</f>
        <v>0.94271755745954033</v>
      </c>
      <c r="Z4" s="77">
        <v>0.08</v>
      </c>
      <c r="AA4" s="77"/>
      <c r="AB4" s="77"/>
      <c r="AC4" s="77"/>
      <c r="AD4">
        <v>43.42</v>
      </c>
      <c r="AE4" s="231">
        <f t="shared" ref="AE4:AE26" si="9">AD4/X4</f>
        <v>1.1810145518835851</v>
      </c>
      <c r="AF4" s="77"/>
      <c r="AG4" s="77"/>
      <c r="AH4" s="34"/>
      <c r="AI4" s="34"/>
      <c r="AJ4" s="184"/>
    </row>
    <row r="5" spans="1:43">
      <c r="A5" s="33" t="s">
        <v>351</v>
      </c>
      <c r="B5" s="33" t="s">
        <v>1823</v>
      </c>
      <c r="C5" s="33" t="s">
        <v>1287</v>
      </c>
      <c r="D5" s="34">
        <v>500</v>
      </c>
      <c r="E5" s="34" t="s">
        <v>2</v>
      </c>
      <c r="F5" s="510">
        <v>55</v>
      </c>
      <c r="G5" s="510">
        <v>27</v>
      </c>
      <c r="H5" s="510">
        <v>42</v>
      </c>
      <c r="I5" s="34" t="e">
        <f>VLOOKUP(B5,Pallets!B:F,5,FALSE)</f>
        <v>#N/A</v>
      </c>
      <c r="J5" s="34"/>
      <c r="K5" s="34">
        <f t="shared" si="0"/>
        <v>2.8588235294117648</v>
      </c>
      <c r="L5" s="34">
        <f t="shared" si="1"/>
        <v>3.9737647058823526</v>
      </c>
      <c r="M5" s="522">
        <v>1.1419999999999999</v>
      </c>
      <c r="N5" s="522">
        <v>1.5873799999999998</v>
      </c>
      <c r="O5" s="522">
        <f t="shared" si="2"/>
        <v>1.5873799999999998</v>
      </c>
      <c r="P5" s="57">
        <f t="shared" si="3"/>
        <v>2.2064581999999997</v>
      </c>
      <c r="Q5" s="353">
        <f t="shared" si="4"/>
        <v>0.11328750000000001</v>
      </c>
      <c r="R5" s="65">
        <v>56.643750000000004</v>
      </c>
      <c r="S5" s="41">
        <f t="shared" si="5"/>
        <v>0.96104674920004418</v>
      </c>
      <c r="T5" s="355">
        <f t="shared" si="6"/>
        <v>0.1007</v>
      </c>
      <c r="U5" s="28">
        <v>50.35</v>
      </c>
      <c r="V5" s="48">
        <f t="shared" ref="V5:V26" si="10">+(U5-P5)/U5</f>
        <v>0.95617759285004966</v>
      </c>
      <c r="W5" s="356">
        <f t="shared" si="7"/>
        <v>9.0630000000000016E-2</v>
      </c>
      <c r="X5" s="71">
        <v>45.315000000000005</v>
      </c>
      <c r="Y5" s="37">
        <f t="shared" si="8"/>
        <v>0.95130843650005514</v>
      </c>
      <c r="Z5" s="156">
        <v>0.152</v>
      </c>
      <c r="AA5" s="77"/>
      <c r="AB5" s="77"/>
      <c r="AC5" s="77"/>
      <c r="AD5">
        <v>43.25</v>
      </c>
      <c r="AE5" s="231">
        <f t="shared" si="9"/>
        <v>0.95443010040825327</v>
      </c>
      <c r="AF5" s="77"/>
      <c r="AG5" s="77"/>
      <c r="AH5" s="34"/>
      <c r="AI5" s="34"/>
      <c r="AJ5" s="184"/>
    </row>
    <row r="6" spans="1:43">
      <c r="A6" s="33" t="s">
        <v>351</v>
      </c>
      <c r="B6" s="33" t="s">
        <v>1824</v>
      </c>
      <c r="C6" s="33" t="s">
        <v>1288</v>
      </c>
      <c r="D6" s="34">
        <v>500</v>
      </c>
      <c r="E6" s="34" t="s">
        <v>2</v>
      </c>
      <c r="F6" s="510">
        <v>55</v>
      </c>
      <c r="G6" s="510">
        <v>27</v>
      </c>
      <c r="H6" s="510">
        <v>42</v>
      </c>
      <c r="I6" s="34" t="e">
        <f>VLOOKUP(B6,Pallets!B:F,5,FALSE)</f>
        <v>#N/A</v>
      </c>
      <c r="J6" s="34"/>
      <c r="K6" s="34">
        <f t="shared" si="0"/>
        <v>2.8588235294117648</v>
      </c>
      <c r="L6" s="34">
        <f t="shared" si="1"/>
        <v>3.9737647058823526</v>
      </c>
      <c r="M6" s="522">
        <v>1.1722999999999999</v>
      </c>
      <c r="N6" s="522">
        <v>1.6294969999999998</v>
      </c>
      <c r="O6" s="522">
        <f t="shared" si="2"/>
        <v>1.6294969999999998</v>
      </c>
      <c r="P6" s="57">
        <f t="shared" si="3"/>
        <v>2.2650008299999995</v>
      </c>
      <c r="Q6" s="353">
        <f t="shared" si="4"/>
        <v>0.15390000000000001</v>
      </c>
      <c r="R6" s="65">
        <v>76.95</v>
      </c>
      <c r="S6" s="41">
        <f t="shared" si="5"/>
        <v>0.97056529135802461</v>
      </c>
      <c r="T6" s="355">
        <f t="shared" si="6"/>
        <v>0.1368</v>
      </c>
      <c r="U6" s="28">
        <v>68.400000000000006</v>
      </c>
      <c r="V6" s="48">
        <f t="shared" si="10"/>
        <v>0.96688595277777767</v>
      </c>
      <c r="W6" s="356">
        <f t="shared" si="7"/>
        <v>0.12312000000000002</v>
      </c>
      <c r="X6" s="71">
        <v>61.560000000000009</v>
      </c>
      <c r="Y6" s="37">
        <f t="shared" si="8"/>
        <v>0.96320661419753095</v>
      </c>
      <c r="Z6" s="156">
        <v>0.20399999999999999</v>
      </c>
      <c r="AA6" s="77"/>
      <c r="AB6" s="77"/>
      <c r="AC6" s="77"/>
      <c r="AD6">
        <v>89.76</v>
      </c>
      <c r="AE6" s="231">
        <f t="shared" si="9"/>
        <v>1.4580896686159843</v>
      </c>
      <c r="AF6" s="77"/>
      <c r="AG6" s="77"/>
      <c r="AH6" s="34"/>
      <c r="AI6" s="34"/>
      <c r="AJ6" s="184"/>
    </row>
    <row r="7" spans="1:43">
      <c r="A7" s="33" t="s">
        <v>351</v>
      </c>
      <c r="B7" s="33" t="s">
        <v>1825</v>
      </c>
      <c r="C7" s="33" t="s">
        <v>1289</v>
      </c>
      <c r="D7" s="34">
        <v>300</v>
      </c>
      <c r="E7" s="34" t="s">
        <v>2</v>
      </c>
      <c r="F7" s="510">
        <v>55</v>
      </c>
      <c r="G7" s="510">
        <v>27</v>
      </c>
      <c r="H7" s="510">
        <v>42</v>
      </c>
      <c r="I7" s="34">
        <v>36</v>
      </c>
      <c r="J7" s="34"/>
      <c r="K7" s="34">
        <f t="shared" si="0"/>
        <v>2.8588235294117648</v>
      </c>
      <c r="L7" s="34">
        <f t="shared" si="1"/>
        <v>3.9737647058823526</v>
      </c>
      <c r="M7" s="522">
        <v>1.2632000000000001</v>
      </c>
      <c r="N7" s="522">
        <v>1.7558480000000001</v>
      </c>
      <c r="O7" s="522">
        <f t="shared" si="2"/>
        <v>1.7558480000000001</v>
      </c>
      <c r="P7" s="57">
        <f t="shared" si="3"/>
        <v>2.4406287199999999</v>
      </c>
      <c r="Q7" s="353">
        <f t="shared" si="4"/>
        <v>0.363375</v>
      </c>
      <c r="R7" s="65">
        <v>109.0125</v>
      </c>
      <c r="S7" s="41">
        <f t="shared" si="5"/>
        <v>0.97761147831670669</v>
      </c>
      <c r="T7" s="355">
        <f t="shared" si="6"/>
        <v>0.32300000000000001</v>
      </c>
      <c r="U7" s="28">
        <v>96.9</v>
      </c>
      <c r="V7" s="48">
        <f t="shared" si="10"/>
        <v>0.97481291310629503</v>
      </c>
      <c r="W7" s="356">
        <f t="shared" si="7"/>
        <v>0.29070000000000001</v>
      </c>
      <c r="X7" s="71">
        <v>87.210000000000008</v>
      </c>
      <c r="Y7" s="37">
        <f t="shared" si="8"/>
        <v>0.97201434789588348</v>
      </c>
      <c r="Z7" s="77">
        <v>0.5</v>
      </c>
      <c r="AA7" s="77"/>
      <c r="AB7" s="77"/>
      <c r="AC7" s="77"/>
      <c r="AD7">
        <v>72.959999999999994</v>
      </c>
      <c r="AE7" s="231">
        <f t="shared" si="9"/>
        <v>0.83660130718954229</v>
      </c>
      <c r="AF7" s="77"/>
      <c r="AG7" s="77"/>
      <c r="AH7" s="34"/>
      <c r="AI7" s="34"/>
      <c r="AJ7" s="184"/>
    </row>
    <row r="8" spans="1:43">
      <c r="A8" s="33" t="s">
        <v>351</v>
      </c>
      <c r="B8" s="33" t="s">
        <v>1826</v>
      </c>
      <c r="C8" s="33" t="s">
        <v>1290</v>
      </c>
      <c r="D8" s="34">
        <v>150</v>
      </c>
      <c r="E8" s="34" t="s">
        <v>2</v>
      </c>
      <c r="F8" s="510">
        <v>55</v>
      </c>
      <c r="G8" s="510">
        <v>27</v>
      </c>
      <c r="H8" s="510">
        <v>42</v>
      </c>
      <c r="I8" s="34" t="e">
        <f>VLOOKUP(B8,Pallets!B:F,5,FALSE)</f>
        <v>#N/A</v>
      </c>
      <c r="J8" s="34"/>
      <c r="K8" s="34">
        <f t="shared" si="0"/>
        <v>2.8588235294117648</v>
      </c>
      <c r="L8" s="34">
        <f t="shared" si="1"/>
        <v>3.9737647058823526</v>
      </c>
      <c r="M8" s="522">
        <v>1.22</v>
      </c>
      <c r="N8" s="522">
        <v>1.6957999999999998</v>
      </c>
      <c r="O8" s="522">
        <f t="shared" si="2"/>
        <v>1.6957999999999998</v>
      </c>
      <c r="P8" s="57">
        <f t="shared" si="3"/>
        <v>2.3571619999999993</v>
      </c>
      <c r="Q8" s="353">
        <f t="shared" si="4"/>
        <v>0.3705</v>
      </c>
      <c r="R8" s="65">
        <v>55.574999999999996</v>
      </c>
      <c r="S8" s="41">
        <f t="shared" si="5"/>
        <v>0.95758592892487626</v>
      </c>
      <c r="T8" s="355">
        <f t="shared" si="6"/>
        <v>0.32933333333333331</v>
      </c>
      <c r="U8" s="28">
        <v>49.4</v>
      </c>
      <c r="V8" s="48">
        <f t="shared" si="10"/>
        <v>0.95228417004048582</v>
      </c>
      <c r="W8" s="356">
        <f t="shared" si="7"/>
        <v>0.2964</v>
      </c>
      <c r="X8" s="71">
        <v>44.46</v>
      </c>
      <c r="Y8" s="37">
        <f t="shared" si="8"/>
        <v>0.94698241115609527</v>
      </c>
      <c r="Z8" s="156">
        <v>0.49299999999999999</v>
      </c>
      <c r="AA8" s="77"/>
      <c r="AB8" s="77"/>
      <c r="AC8" s="77"/>
      <c r="AD8">
        <v>60.59</v>
      </c>
      <c r="AE8" s="231">
        <f t="shared" si="9"/>
        <v>1.3627980206927577</v>
      </c>
      <c r="AF8" s="77"/>
      <c r="AG8" s="77"/>
      <c r="AH8" s="34"/>
      <c r="AI8" s="34"/>
      <c r="AJ8" s="184"/>
    </row>
    <row r="9" spans="1:43">
      <c r="A9" s="33" t="s">
        <v>351</v>
      </c>
      <c r="B9" s="33" t="s">
        <v>1827</v>
      </c>
      <c r="C9" s="33" t="s">
        <v>1291</v>
      </c>
      <c r="D9" s="34">
        <v>150</v>
      </c>
      <c r="E9" s="34" t="s">
        <v>2</v>
      </c>
      <c r="F9" s="510">
        <v>55</v>
      </c>
      <c r="G9" s="510">
        <v>27</v>
      </c>
      <c r="H9" s="510">
        <v>42</v>
      </c>
      <c r="I9" s="34">
        <v>36</v>
      </c>
      <c r="J9" s="34"/>
      <c r="K9" s="34">
        <f t="shared" si="0"/>
        <v>2.8588235294117648</v>
      </c>
      <c r="L9" s="34">
        <f t="shared" si="1"/>
        <v>3.9737647058823526</v>
      </c>
      <c r="M9" s="522">
        <v>1.3136000000000001</v>
      </c>
      <c r="N9" s="522">
        <v>1.825904</v>
      </c>
      <c r="O9" s="522">
        <f t="shared" si="2"/>
        <v>1.825904</v>
      </c>
      <c r="P9" s="57">
        <f t="shared" si="3"/>
        <v>2.5380065599999999</v>
      </c>
      <c r="Q9" s="353">
        <f t="shared" si="4"/>
        <v>0.55574999999999997</v>
      </c>
      <c r="R9" s="65">
        <v>83.362499999999997</v>
      </c>
      <c r="S9" s="41">
        <f t="shared" si="5"/>
        <v>0.96955457717798776</v>
      </c>
      <c r="T9" s="355">
        <f t="shared" si="6"/>
        <v>0.49399999999999994</v>
      </c>
      <c r="U9" s="28">
        <v>74.099999999999994</v>
      </c>
      <c r="V9" s="48">
        <f t="shared" si="10"/>
        <v>0.96574889932523622</v>
      </c>
      <c r="W9" s="356">
        <f t="shared" si="7"/>
        <v>0.4446</v>
      </c>
      <c r="X9" s="71">
        <v>66.69</v>
      </c>
      <c r="Y9" s="37">
        <f t="shared" si="8"/>
        <v>0.96194322147248468</v>
      </c>
      <c r="Z9" s="156">
        <v>0.68</v>
      </c>
      <c r="AA9" s="77"/>
      <c r="AB9" s="77"/>
      <c r="AC9" s="77"/>
      <c r="AD9">
        <v>76.709999999999994</v>
      </c>
      <c r="AE9" s="231">
        <f t="shared" si="9"/>
        <v>1.150247413405308</v>
      </c>
      <c r="AF9" s="77"/>
      <c r="AG9" s="77"/>
      <c r="AH9" s="34"/>
      <c r="AI9" s="34"/>
      <c r="AJ9" s="184"/>
    </row>
    <row r="10" spans="1:43">
      <c r="A10" s="33" t="s">
        <v>351</v>
      </c>
      <c r="B10" s="33" t="s">
        <v>1828</v>
      </c>
      <c r="C10" s="33" t="s">
        <v>1292</v>
      </c>
      <c r="D10" s="34">
        <v>100</v>
      </c>
      <c r="E10" s="34" t="s">
        <v>2</v>
      </c>
      <c r="F10" s="510">
        <v>55</v>
      </c>
      <c r="G10" s="510">
        <v>27</v>
      </c>
      <c r="H10" s="510">
        <v>42</v>
      </c>
      <c r="I10" s="34" t="e">
        <f>VLOOKUP(B10,Pallets!B:F,5,FALSE)</f>
        <v>#N/A</v>
      </c>
      <c r="J10" s="34"/>
      <c r="K10" s="34">
        <f t="shared" si="0"/>
        <v>2.8588235294117648</v>
      </c>
      <c r="L10" s="34">
        <f t="shared" si="1"/>
        <v>3.9737647058823526</v>
      </c>
      <c r="M10" s="522">
        <v>1.3338000000000001</v>
      </c>
      <c r="N10" s="522">
        <v>1.853982</v>
      </c>
      <c r="O10" s="522">
        <f t="shared" si="2"/>
        <v>1.853982</v>
      </c>
      <c r="P10" s="57">
        <f t="shared" si="3"/>
        <v>2.5770349799999996</v>
      </c>
      <c r="Q10" s="353">
        <f t="shared" si="4"/>
        <v>0.80156249999999996</v>
      </c>
      <c r="R10" s="65">
        <v>80.15625</v>
      </c>
      <c r="S10" s="41">
        <f t="shared" si="5"/>
        <v>0.96784985600000006</v>
      </c>
      <c r="T10" s="355">
        <f t="shared" si="6"/>
        <v>0.71250000000000002</v>
      </c>
      <c r="U10" s="28">
        <v>71.25</v>
      </c>
      <c r="V10" s="48">
        <f t="shared" si="10"/>
        <v>0.96383108800000006</v>
      </c>
      <c r="W10" s="356">
        <f t="shared" si="7"/>
        <v>0.64124999999999999</v>
      </c>
      <c r="X10" s="71">
        <v>64.125</v>
      </c>
      <c r="Y10" s="37">
        <f t="shared" si="8"/>
        <v>0.95981231999999994</v>
      </c>
      <c r="Z10" s="156">
        <v>1.0900000000000001</v>
      </c>
      <c r="AA10" s="77"/>
      <c r="AB10" s="77"/>
      <c r="AC10" s="77"/>
      <c r="AD10">
        <v>67.540000000000006</v>
      </c>
      <c r="AE10" s="231">
        <f t="shared" si="9"/>
        <v>1.0532553606237818</v>
      </c>
      <c r="AF10" s="77"/>
      <c r="AG10" s="77"/>
      <c r="AH10" s="34"/>
      <c r="AI10" s="34"/>
      <c r="AJ10" s="184"/>
    </row>
    <row r="11" spans="1:43">
      <c r="A11" s="33" t="s">
        <v>351</v>
      </c>
      <c r="B11" s="33" t="s">
        <v>1829</v>
      </c>
      <c r="C11" s="33" t="s">
        <v>1293</v>
      </c>
      <c r="D11" s="34">
        <v>100</v>
      </c>
      <c r="E11" s="34" t="s">
        <v>2</v>
      </c>
      <c r="F11" s="510">
        <v>55</v>
      </c>
      <c r="G11" s="510">
        <v>27</v>
      </c>
      <c r="H11" s="510">
        <v>42</v>
      </c>
      <c r="I11" s="34">
        <v>28</v>
      </c>
      <c r="J11" s="34"/>
      <c r="K11" s="34">
        <f t="shared" si="0"/>
        <v>2.8588235294117648</v>
      </c>
      <c r="L11" s="34">
        <f t="shared" si="1"/>
        <v>3.9737647058823526</v>
      </c>
      <c r="M11" s="522">
        <v>1.3641000000000001</v>
      </c>
      <c r="N11" s="522">
        <v>1.896099</v>
      </c>
      <c r="O11" s="522">
        <f t="shared" si="2"/>
        <v>1.896099</v>
      </c>
      <c r="P11" s="57">
        <f t="shared" si="3"/>
        <v>2.6355776099999999</v>
      </c>
      <c r="Q11" s="353">
        <f t="shared" si="4"/>
        <v>0.67331249999999998</v>
      </c>
      <c r="R11" s="65">
        <v>67.331249999999997</v>
      </c>
      <c r="S11" s="41">
        <f t="shared" si="5"/>
        <v>0.96085654714564195</v>
      </c>
      <c r="T11" s="355">
        <f t="shared" si="6"/>
        <v>0.59850000000000003</v>
      </c>
      <c r="U11" s="28">
        <v>59.85</v>
      </c>
      <c r="V11" s="48">
        <f t="shared" si="10"/>
        <v>0.95596361553884712</v>
      </c>
      <c r="W11" s="356">
        <f t="shared" si="7"/>
        <v>0.53865000000000007</v>
      </c>
      <c r="X11" s="71">
        <v>53.865000000000002</v>
      </c>
      <c r="Y11" s="37">
        <f t="shared" si="8"/>
        <v>0.95107068393205241</v>
      </c>
      <c r="Z11" s="156">
        <v>0.91</v>
      </c>
      <c r="AA11" s="77"/>
      <c r="AB11" s="77"/>
      <c r="AC11" s="77"/>
      <c r="AD11">
        <v>70.64</v>
      </c>
      <c r="AE11" s="231">
        <f t="shared" si="9"/>
        <v>1.3114267149354868</v>
      </c>
      <c r="AF11" s="77"/>
      <c r="AG11" s="77"/>
      <c r="AH11" s="34"/>
      <c r="AI11" s="34"/>
      <c r="AJ11" s="184"/>
    </row>
    <row r="12" spans="1:43" s="10" customFormat="1">
      <c r="A12" s="33" t="s">
        <v>351</v>
      </c>
      <c r="B12" s="33" t="s">
        <v>1830</v>
      </c>
      <c r="C12" s="33" t="s">
        <v>1294</v>
      </c>
      <c r="D12" s="34">
        <v>100</v>
      </c>
      <c r="E12" s="34" t="s">
        <v>2</v>
      </c>
      <c r="F12" s="510">
        <v>55</v>
      </c>
      <c r="G12" s="510">
        <v>27</v>
      </c>
      <c r="H12" s="510">
        <v>42</v>
      </c>
      <c r="I12" s="34" t="e">
        <f>VLOOKUP(B12,Pallets!B:F,5,FALSE)</f>
        <v>#N/A</v>
      </c>
      <c r="J12" s="34"/>
      <c r="K12" s="34">
        <f t="shared" si="0"/>
        <v>2.8588235294117648</v>
      </c>
      <c r="L12" s="34">
        <f t="shared" si="1"/>
        <v>3.9737647058823526</v>
      </c>
      <c r="M12" s="522">
        <v>1.4449000000000001</v>
      </c>
      <c r="N12" s="522">
        <v>2.0084110000000002</v>
      </c>
      <c r="O12" s="522">
        <f t="shared" si="2"/>
        <v>2.0084110000000002</v>
      </c>
      <c r="P12" s="57">
        <f t="shared" si="3"/>
        <v>2.7916912900000002</v>
      </c>
      <c r="Q12" s="353">
        <f t="shared" si="4"/>
        <v>0.9871875</v>
      </c>
      <c r="R12" s="65">
        <v>98.71875</v>
      </c>
      <c r="S12" s="41">
        <f t="shared" si="5"/>
        <v>0.97172075932890156</v>
      </c>
      <c r="T12" s="355">
        <f t="shared" si="6"/>
        <v>0.87750000000000017</v>
      </c>
      <c r="U12" s="28">
        <v>87.750000000000014</v>
      </c>
      <c r="V12" s="48">
        <f t="shared" si="10"/>
        <v>0.96818585424501424</v>
      </c>
      <c r="W12" s="356">
        <f t="shared" si="7"/>
        <v>0.78975000000000006</v>
      </c>
      <c r="X12" s="71">
        <v>78.975000000000009</v>
      </c>
      <c r="Y12" s="37">
        <f t="shared" si="8"/>
        <v>0.96465094916112692</v>
      </c>
      <c r="Z12" s="156">
        <v>1.25</v>
      </c>
      <c r="AA12" s="77"/>
      <c r="AB12" s="77"/>
      <c r="AC12" s="77"/>
      <c r="AD12">
        <v>95.65</v>
      </c>
      <c r="AE12" s="231">
        <f t="shared" si="9"/>
        <v>1.2111427666983221</v>
      </c>
      <c r="AF12" s="77"/>
      <c r="AG12" s="77"/>
      <c r="AH12" s="34"/>
      <c r="AI12" s="34"/>
      <c r="AJ12" s="184"/>
      <c r="AK12"/>
      <c r="AL12"/>
      <c r="AM12"/>
      <c r="AN12"/>
      <c r="AO12"/>
      <c r="AP12"/>
      <c r="AQ12"/>
    </row>
    <row r="13" spans="1:43">
      <c r="A13" s="33" t="s">
        <v>351</v>
      </c>
      <c r="B13" s="33" t="s">
        <v>1831</v>
      </c>
      <c r="C13" s="33" t="s">
        <v>1295</v>
      </c>
      <c r="D13" s="34">
        <v>100</v>
      </c>
      <c r="E13" s="34" t="s">
        <v>2</v>
      </c>
      <c r="F13" s="510">
        <v>55</v>
      </c>
      <c r="G13" s="510">
        <v>27</v>
      </c>
      <c r="H13" s="510">
        <v>48</v>
      </c>
      <c r="I13" s="34" t="e">
        <f>VLOOKUP(B13,Pallets!B:F,5,FALSE)</f>
        <v>#N/A</v>
      </c>
      <c r="J13" s="34"/>
      <c r="K13" s="34">
        <f t="shared" si="0"/>
        <v>3.2672268907563025</v>
      </c>
      <c r="L13" s="34">
        <f t="shared" si="1"/>
        <v>4.54144537815126</v>
      </c>
      <c r="M13" s="522">
        <v>1.2796000000000001</v>
      </c>
      <c r="N13" s="522">
        <v>1.7786439999999999</v>
      </c>
      <c r="O13" s="522">
        <f t="shared" si="2"/>
        <v>1.7786439999999999</v>
      </c>
      <c r="P13" s="57">
        <f t="shared" si="3"/>
        <v>2.4723151599999995</v>
      </c>
      <c r="Q13" s="353">
        <f t="shared" si="4"/>
        <v>1.1221874999999999</v>
      </c>
      <c r="R13" s="65">
        <v>112.21875</v>
      </c>
      <c r="S13" s="41">
        <f t="shared" si="5"/>
        <v>0.97796878721247571</v>
      </c>
      <c r="T13" s="355">
        <f t="shared" si="6"/>
        <v>0.99750000000000005</v>
      </c>
      <c r="U13" s="28">
        <v>99.75</v>
      </c>
      <c r="V13" s="48">
        <f t="shared" si="10"/>
        <v>0.97521488561403513</v>
      </c>
      <c r="W13" s="356">
        <f t="shared" si="7"/>
        <v>0.89775000000000005</v>
      </c>
      <c r="X13" s="71">
        <v>89.775000000000006</v>
      </c>
      <c r="Y13" s="37">
        <f t="shared" si="8"/>
        <v>0.97246098401559466</v>
      </c>
      <c r="Z13" s="156">
        <v>1.5</v>
      </c>
      <c r="AA13" s="77"/>
      <c r="AB13" s="77"/>
      <c r="AC13" s="77"/>
      <c r="AD13">
        <v>120.96</v>
      </c>
      <c r="AE13" s="231">
        <f t="shared" si="9"/>
        <v>1.3473684210526313</v>
      </c>
      <c r="AF13" s="77"/>
      <c r="AG13" s="77"/>
      <c r="AH13" s="34"/>
      <c r="AI13" s="34"/>
      <c r="AJ13" s="184"/>
    </row>
    <row r="14" spans="1:43">
      <c r="A14" s="33" t="s">
        <v>351</v>
      </c>
      <c r="B14" s="33" t="s">
        <v>1832</v>
      </c>
      <c r="C14" s="33" t="s">
        <v>1296</v>
      </c>
      <c r="D14" s="34">
        <v>50</v>
      </c>
      <c r="E14" s="34" t="s">
        <v>2</v>
      </c>
      <c r="F14" s="510">
        <v>55</v>
      </c>
      <c r="G14" s="510">
        <v>27</v>
      </c>
      <c r="H14" s="510">
        <v>48</v>
      </c>
      <c r="I14" s="34" t="e">
        <f>VLOOKUP(B14,Pallets!B:F,5,FALSE)</f>
        <v>#N/A</v>
      </c>
      <c r="J14" s="34"/>
      <c r="K14" s="34">
        <f t="shared" si="0"/>
        <v>3.2672268907563025</v>
      </c>
      <c r="L14" s="34">
        <f t="shared" si="1"/>
        <v>4.54144537815126</v>
      </c>
      <c r="M14" s="522">
        <v>1.3123</v>
      </c>
      <c r="N14" s="522">
        <v>1.8240969999999999</v>
      </c>
      <c r="O14" s="522">
        <f t="shared" si="2"/>
        <v>1.8240969999999999</v>
      </c>
      <c r="P14" s="57">
        <f t="shared" si="3"/>
        <v>2.5354948299999998</v>
      </c>
      <c r="Q14" s="353">
        <f t="shared" si="4"/>
        <v>1.8168749999999998</v>
      </c>
      <c r="R14" s="65">
        <v>90.843749999999986</v>
      </c>
      <c r="S14" s="41">
        <f t="shared" si="5"/>
        <v>0.97208949619539042</v>
      </c>
      <c r="T14" s="355">
        <f t="shared" si="6"/>
        <v>1.615</v>
      </c>
      <c r="U14" s="28">
        <v>80.75</v>
      </c>
      <c r="V14" s="48">
        <f t="shared" si="10"/>
        <v>0.96860068321981418</v>
      </c>
      <c r="W14" s="356">
        <f t="shared" si="7"/>
        <v>1.4535</v>
      </c>
      <c r="X14" s="71">
        <v>72.674999999999997</v>
      </c>
      <c r="Y14" s="37">
        <f t="shared" si="8"/>
        <v>0.96511187024423795</v>
      </c>
      <c r="Z14" s="156">
        <v>2.4</v>
      </c>
      <c r="AA14" s="77"/>
      <c r="AB14" s="77"/>
      <c r="AC14" s="77"/>
      <c r="AD14">
        <v>109.44</v>
      </c>
      <c r="AE14" s="231">
        <f t="shared" si="9"/>
        <v>1.5058823529411764</v>
      </c>
      <c r="AF14" s="77"/>
      <c r="AG14" s="77"/>
      <c r="AH14" s="34"/>
      <c r="AI14" s="34"/>
      <c r="AJ14" s="184"/>
    </row>
    <row r="15" spans="1:43">
      <c r="A15" s="33" t="s">
        <v>351</v>
      </c>
      <c r="B15" s="33" t="s">
        <v>1833</v>
      </c>
      <c r="C15" s="33" t="s">
        <v>1297</v>
      </c>
      <c r="D15" s="34">
        <v>200</v>
      </c>
      <c r="E15" s="34" t="s">
        <v>2</v>
      </c>
      <c r="F15" s="510">
        <v>55</v>
      </c>
      <c r="G15" s="510">
        <v>27</v>
      </c>
      <c r="H15" s="510">
        <v>48</v>
      </c>
      <c r="I15" s="34">
        <v>40</v>
      </c>
      <c r="J15" s="34"/>
      <c r="K15" s="34">
        <f t="shared" si="0"/>
        <v>3.2672268907563025</v>
      </c>
      <c r="L15" s="34">
        <f t="shared" si="1"/>
        <v>4.54144537815126</v>
      </c>
      <c r="M15" s="522">
        <v>1.3663000000000001</v>
      </c>
      <c r="N15" s="522">
        <v>1.899157</v>
      </c>
      <c r="O15" s="522">
        <f t="shared" si="2"/>
        <v>1.899157</v>
      </c>
      <c r="P15" s="57">
        <f t="shared" si="3"/>
        <v>2.63982823</v>
      </c>
      <c r="Q15" s="353">
        <f t="shared" si="4"/>
        <v>0.41146874999999999</v>
      </c>
      <c r="R15" s="65">
        <v>82.293750000000003</v>
      </c>
      <c r="S15" s="41">
        <f t="shared" si="5"/>
        <v>0.96792188677754987</v>
      </c>
      <c r="T15" s="355">
        <f t="shared" si="6"/>
        <v>0.36575000000000002</v>
      </c>
      <c r="U15" s="28">
        <v>73.150000000000006</v>
      </c>
      <c r="V15" s="48">
        <f t="shared" si="10"/>
        <v>0.96391212262474357</v>
      </c>
      <c r="W15" s="356">
        <f t="shared" si="7"/>
        <v>0.32917500000000005</v>
      </c>
      <c r="X15" s="71">
        <v>65.835000000000008</v>
      </c>
      <c r="Y15" s="37">
        <f t="shared" si="8"/>
        <v>0.95990235847193739</v>
      </c>
      <c r="Z15" s="156">
        <v>0.52</v>
      </c>
      <c r="AA15" s="77"/>
      <c r="AB15" s="77"/>
      <c r="AC15" s="77"/>
      <c r="AD15">
        <v>69</v>
      </c>
      <c r="AE15" s="231">
        <f t="shared" si="9"/>
        <v>1.0480747322852584</v>
      </c>
      <c r="AF15" s="77"/>
      <c r="AG15" s="77"/>
      <c r="AH15" s="34"/>
      <c r="AI15" s="34"/>
      <c r="AJ15" s="184"/>
    </row>
    <row r="16" spans="1:43">
      <c r="A16" s="33" t="s">
        <v>351</v>
      </c>
      <c r="B16" s="33" t="s">
        <v>1834</v>
      </c>
      <c r="C16" s="33" t="s">
        <v>1298</v>
      </c>
      <c r="D16" s="34">
        <v>150</v>
      </c>
      <c r="E16" s="34" t="s">
        <v>2</v>
      </c>
      <c r="F16" s="510">
        <v>55</v>
      </c>
      <c r="G16" s="510">
        <v>27</v>
      </c>
      <c r="H16" s="510">
        <v>48</v>
      </c>
      <c r="I16" s="34" t="e">
        <f>VLOOKUP(B16,Pallets!B:F,5,FALSE)</f>
        <v>#N/A</v>
      </c>
      <c r="J16" s="34"/>
      <c r="K16" s="34">
        <f t="shared" si="0"/>
        <v>3.2672268907563025</v>
      </c>
      <c r="L16" s="34">
        <f t="shared" si="1"/>
        <v>4.54144537815126</v>
      </c>
      <c r="M16" s="522">
        <v>1.4508000000000001</v>
      </c>
      <c r="N16" s="522">
        <v>2.0166119999999998</v>
      </c>
      <c r="O16" s="522">
        <f t="shared" si="2"/>
        <v>2.0166119999999998</v>
      </c>
      <c r="P16" s="57">
        <f t="shared" si="3"/>
        <v>2.8030906799999995</v>
      </c>
      <c r="Q16" s="353">
        <f t="shared" si="4"/>
        <v>0.59137499999999998</v>
      </c>
      <c r="R16" s="65">
        <v>88.706249999999997</v>
      </c>
      <c r="S16" s="41">
        <f t="shared" si="5"/>
        <v>0.96840030234622709</v>
      </c>
      <c r="T16" s="355">
        <f t="shared" si="6"/>
        <v>0.52566666666666673</v>
      </c>
      <c r="U16" s="28">
        <v>78.850000000000009</v>
      </c>
      <c r="V16" s="48">
        <f t="shared" si="10"/>
        <v>0.96445034013950548</v>
      </c>
      <c r="W16" s="356">
        <f t="shared" si="7"/>
        <v>0.47310000000000002</v>
      </c>
      <c r="X16" s="71">
        <v>70.965000000000003</v>
      </c>
      <c r="Y16" s="37">
        <f t="shared" si="8"/>
        <v>0.96050037793278387</v>
      </c>
      <c r="Z16" s="156">
        <v>0.83</v>
      </c>
      <c r="AA16" s="77"/>
      <c r="AB16" s="77"/>
      <c r="AC16" s="77"/>
      <c r="AD16">
        <v>85.95</v>
      </c>
      <c r="AE16" s="231">
        <f t="shared" si="9"/>
        <v>1.211160431198478</v>
      </c>
      <c r="AF16" s="77"/>
      <c r="AG16" s="77"/>
      <c r="AH16" s="34"/>
      <c r="AI16" s="34"/>
      <c r="AJ16" s="184"/>
    </row>
    <row r="17" spans="1:43">
      <c r="A17" s="33" t="s">
        <v>351</v>
      </c>
      <c r="B17" s="33" t="s">
        <v>1835</v>
      </c>
      <c r="C17" s="33" t="s">
        <v>1299</v>
      </c>
      <c r="D17" s="34">
        <v>50</v>
      </c>
      <c r="E17" s="34" t="s">
        <v>2</v>
      </c>
      <c r="F17" s="510">
        <v>55</v>
      </c>
      <c r="G17" s="510">
        <v>27</v>
      </c>
      <c r="H17" s="510">
        <v>48</v>
      </c>
      <c r="I17" s="34">
        <v>56</v>
      </c>
      <c r="J17" s="34"/>
      <c r="K17" s="34">
        <f t="shared" si="0"/>
        <v>3.2672268907563025</v>
      </c>
      <c r="L17" s="34">
        <f t="shared" si="1"/>
        <v>4.54144537815126</v>
      </c>
      <c r="M17" s="522">
        <v>1.4158999999999999</v>
      </c>
      <c r="N17" s="522">
        <v>1.9681009999999999</v>
      </c>
      <c r="O17" s="522">
        <f t="shared" si="2"/>
        <v>1.9681009999999999</v>
      </c>
      <c r="P17" s="57">
        <f t="shared" si="3"/>
        <v>2.7356603899999996</v>
      </c>
      <c r="Q17" s="353">
        <f t="shared" si="4"/>
        <v>0.89774999999999994</v>
      </c>
      <c r="R17" s="65">
        <v>44.887499999999996</v>
      </c>
      <c r="S17" s="41">
        <f t="shared" si="5"/>
        <v>0.93905518485101647</v>
      </c>
      <c r="T17" s="355">
        <f t="shared" si="6"/>
        <v>0.79799999999999993</v>
      </c>
      <c r="U17" s="28">
        <v>39.9</v>
      </c>
      <c r="V17" s="48">
        <f t="shared" si="10"/>
        <v>0.93143708295739347</v>
      </c>
      <c r="W17" s="356">
        <f t="shared" si="7"/>
        <v>0.71819999999999995</v>
      </c>
      <c r="X17" s="71">
        <v>35.909999999999997</v>
      </c>
      <c r="Y17" s="37">
        <f t="shared" si="8"/>
        <v>0.92381898106377058</v>
      </c>
      <c r="Z17" s="156">
        <v>1.78</v>
      </c>
      <c r="AA17" s="77"/>
      <c r="AB17" s="77"/>
      <c r="AC17" s="77"/>
      <c r="AD17">
        <v>43.53</v>
      </c>
      <c r="AE17" s="231">
        <f t="shared" si="9"/>
        <v>1.2121971595655807</v>
      </c>
      <c r="AF17" s="77"/>
      <c r="AG17" s="77"/>
      <c r="AH17" s="34"/>
      <c r="AI17" s="34"/>
      <c r="AJ17" s="184"/>
    </row>
    <row r="18" spans="1:43">
      <c r="A18" s="33" t="s">
        <v>351</v>
      </c>
      <c r="B18" s="33" t="s">
        <v>1836</v>
      </c>
      <c r="C18" s="33" t="s">
        <v>1300</v>
      </c>
      <c r="D18" s="34">
        <v>50</v>
      </c>
      <c r="E18" s="34" t="s">
        <v>2</v>
      </c>
      <c r="F18" s="510">
        <v>55</v>
      </c>
      <c r="G18" s="510">
        <v>27</v>
      </c>
      <c r="H18" s="510">
        <v>48</v>
      </c>
      <c r="I18" s="34" t="e">
        <f>VLOOKUP(B18,Pallets!B:F,5,FALSE)</f>
        <v>#N/A</v>
      </c>
      <c r="J18" s="34"/>
      <c r="K18" s="34">
        <f t="shared" si="0"/>
        <v>3.2672268907563025</v>
      </c>
      <c r="L18" s="34">
        <f t="shared" si="1"/>
        <v>4.54144537815126</v>
      </c>
      <c r="M18" s="522">
        <v>1.542</v>
      </c>
      <c r="N18" s="522">
        <v>2.1433800000000001</v>
      </c>
      <c r="O18" s="522">
        <f t="shared" si="2"/>
        <v>2.1433800000000001</v>
      </c>
      <c r="P18" s="57">
        <f t="shared" si="3"/>
        <v>2.9792981999999997</v>
      </c>
      <c r="Q18" s="353">
        <f t="shared" si="4"/>
        <v>1.0046250000000001</v>
      </c>
      <c r="R18" s="65">
        <v>50.231250000000003</v>
      </c>
      <c r="S18" s="41">
        <f t="shared" si="5"/>
        <v>0.94068835237028736</v>
      </c>
      <c r="T18" s="355">
        <f t="shared" si="6"/>
        <v>0.89300000000000002</v>
      </c>
      <c r="U18" s="28">
        <v>44.65</v>
      </c>
      <c r="V18" s="48">
        <f t="shared" si="10"/>
        <v>0.93327439641657328</v>
      </c>
      <c r="W18" s="356">
        <f t="shared" si="7"/>
        <v>0.80370000000000008</v>
      </c>
      <c r="X18" s="71">
        <v>40.185000000000002</v>
      </c>
      <c r="Y18" s="37">
        <f t="shared" si="8"/>
        <v>0.9258604404628592</v>
      </c>
      <c r="Z18" s="156">
        <v>0.96</v>
      </c>
      <c r="AA18" s="77"/>
      <c r="AB18" s="77"/>
      <c r="AC18" s="77"/>
      <c r="AD18">
        <v>50.78</v>
      </c>
      <c r="AE18" s="231">
        <f t="shared" si="9"/>
        <v>1.2636555928829165</v>
      </c>
      <c r="AF18" s="77"/>
      <c r="AG18" s="77"/>
      <c r="AH18" s="34"/>
      <c r="AI18" s="34"/>
      <c r="AJ18" s="184"/>
    </row>
    <row r="19" spans="1:43">
      <c r="A19" s="33" t="s">
        <v>351</v>
      </c>
      <c r="B19" s="33" t="s">
        <v>1837</v>
      </c>
      <c r="C19" s="33" t="s">
        <v>1301</v>
      </c>
      <c r="D19" s="34">
        <v>50</v>
      </c>
      <c r="E19" s="34" t="s">
        <v>2</v>
      </c>
      <c r="F19" s="510">
        <v>55</v>
      </c>
      <c r="G19" s="510">
        <v>27</v>
      </c>
      <c r="H19" s="510">
        <v>48</v>
      </c>
      <c r="I19" s="34" t="e">
        <f>VLOOKUP(B19,Pallets!B:F,5,FALSE)</f>
        <v>#N/A</v>
      </c>
      <c r="J19" s="34"/>
      <c r="K19" s="34">
        <f t="shared" si="0"/>
        <v>3.2672268907563025</v>
      </c>
      <c r="L19" s="34">
        <f t="shared" si="1"/>
        <v>4.54144537815126</v>
      </c>
      <c r="M19" s="522">
        <v>1.6146</v>
      </c>
      <c r="N19" s="522">
        <v>2.244294</v>
      </c>
      <c r="O19" s="522">
        <f t="shared" si="2"/>
        <v>2.244294</v>
      </c>
      <c r="P19" s="57">
        <f t="shared" si="3"/>
        <v>3.1195686599999997</v>
      </c>
      <c r="Q19" s="353">
        <f t="shared" si="4"/>
        <v>1.090125</v>
      </c>
      <c r="R19" s="65">
        <v>54.506250000000001</v>
      </c>
      <c r="S19" s="41">
        <f t="shared" si="5"/>
        <v>0.94276677151702792</v>
      </c>
      <c r="T19" s="355">
        <f t="shared" si="6"/>
        <v>0.96900000000000008</v>
      </c>
      <c r="U19" s="28">
        <v>48.45</v>
      </c>
      <c r="V19" s="48">
        <f t="shared" si="10"/>
        <v>0.9356126179566564</v>
      </c>
      <c r="W19" s="356">
        <f t="shared" si="7"/>
        <v>0.8721000000000001</v>
      </c>
      <c r="X19" s="71">
        <v>43.605000000000004</v>
      </c>
      <c r="Y19" s="37">
        <f t="shared" si="8"/>
        <v>0.92845846439628488</v>
      </c>
      <c r="Z19" s="156">
        <v>1.5</v>
      </c>
      <c r="AA19" s="77"/>
      <c r="AB19" s="77"/>
      <c r="AC19" s="77"/>
      <c r="AD19">
        <v>50.52</v>
      </c>
      <c r="AE19" s="231">
        <f t="shared" si="9"/>
        <v>1.1585827313381492</v>
      </c>
      <c r="AF19" s="77"/>
      <c r="AG19" s="77"/>
      <c r="AH19" s="34"/>
      <c r="AI19" s="34"/>
      <c r="AJ19" s="184"/>
    </row>
    <row r="20" spans="1:43">
      <c r="A20" s="33" t="s">
        <v>351</v>
      </c>
      <c r="B20" s="33" t="s">
        <v>1838</v>
      </c>
      <c r="C20" s="33" t="s">
        <v>1302</v>
      </c>
      <c r="D20" s="34">
        <v>50</v>
      </c>
      <c r="E20" s="34" t="s">
        <v>2</v>
      </c>
      <c r="F20" s="510">
        <v>55</v>
      </c>
      <c r="G20" s="510">
        <v>27</v>
      </c>
      <c r="H20" s="510">
        <v>48</v>
      </c>
      <c r="I20" s="34" t="e">
        <f>VLOOKUP(B20,Pallets!B:F,5,FALSE)</f>
        <v>#N/A</v>
      </c>
      <c r="J20" s="34"/>
      <c r="K20" s="34">
        <f t="shared" si="0"/>
        <v>3.2672268907563025</v>
      </c>
      <c r="L20" s="34">
        <f t="shared" si="1"/>
        <v>4.54144537815126</v>
      </c>
      <c r="M20" s="522">
        <v>1.6961999999999999</v>
      </c>
      <c r="N20" s="522">
        <v>2.3577179999999998</v>
      </c>
      <c r="O20" s="522">
        <f t="shared" si="2"/>
        <v>2.3577179999999998</v>
      </c>
      <c r="P20" s="57">
        <f t="shared" si="3"/>
        <v>3.2772280199999995</v>
      </c>
      <c r="Q20" s="353">
        <f t="shared" si="4"/>
        <v>2.0092500000000002</v>
      </c>
      <c r="R20" s="65">
        <v>100.46250000000001</v>
      </c>
      <c r="S20" s="41">
        <f t="shared" si="5"/>
        <v>0.96737859380365809</v>
      </c>
      <c r="T20" s="355">
        <f t="shared" si="6"/>
        <v>1.786</v>
      </c>
      <c r="U20" s="28">
        <v>89.3</v>
      </c>
      <c r="V20" s="48">
        <f t="shared" si="10"/>
        <v>0.96330091802911544</v>
      </c>
      <c r="W20" s="356">
        <f t="shared" si="7"/>
        <v>1.6074000000000002</v>
      </c>
      <c r="X20" s="71">
        <v>80.37</v>
      </c>
      <c r="Y20" s="37">
        <f t="shared" si="8"/>
        <v>0.95922324225457267</v>
      </c>
      <c r="Z20" s="156">
        <v>2.4</v>
      </c>
      <c r="AA20" s="77"/>
      <c r="AB20" s="77"/>
      <c r="AC20" s="77"/>
      <c r="AD20">
        <v>67.84</v>
      </c>
      <c r="AE20" s="231">
        <f t="shared" si="9"/>
        <v>0.84409605574219237</v>
      </c>
      <c r="AF20" s="77"/>
      <c r="AG20" s="77"/>
      <c r="AH20" s="34"/>
      <c r="AI20" s="34"/>
      <c r="AJ20" s="184"/>
    </row>
    <row r="21" spans="1:43">
      <c r="A21" s="33" t="s">
        <v>351</v>
      </c>
      <c r="B21" s="33" t="s">
        <v>1839</v>
      </c>
      <c r="C21" s="33" t="s">
        <v>1303</v>
      </c>
      <c r="D21" s="34">
        <v>50</v>
      </c>
      <c r="E21" s="34" t="s">
        <v>2</v>
      </c>
      <c r="F21" s="510">
        <v>55</v>
      </c>
      <c r="G21" s="510">
        <v>27</v>
      </c>
      <c r="H21" s="510">
        <v>42</v>
      </c>
      <c r="I21" s="34" t="e">
        <f>VLOOKUP(B21,Pallets!B:F,5,FALSE)</f>
        <v>#N/A</v>
      </c>
      <c r="J21" s="34"/>
      <c r="K21" s="34">
        <f t="shared" si="0"/>
        <v>2.8588235294117648</v>
      </c>
      <c r="L21" s="34">
        <f t="shared" si="1"/>
        <v>3.9737647058823526</v>
      </c>
      <c r="M21" s="522">
        <v>0.99739999999999995</v>
      </c>
      <c r="N21" s="522">
        <v>1.3863859999999999</v>
      </c>
      <c r="O21" s="522">
        <f t="shared" si="2"/>
        <v>1.3863859999999999</v>
      </c>
      <c r="P21" s="57">
        <f t="shared" si="3"/>
        <v>1.9270765399999996</v>
      </c>
      <c r="Q21" s="353">
        <f t="shared" si="4"/>
        <v>1.7527500000000003</v>
      </c>
      <c r="R21" s="65">
        <v>87.637500000000017</v>
      </c>
      <c r="S21" s="41">
        <f t="shared" si="5"/>
        <v>0.97801082253601479</v>
      </c>
      <c r="T21" s="355">
        <f t="shared" si="6"/>
        <v>1.5580000000000005</v>
      </c>
      <c r="U21" s="28">
        <v>77.90000000000002</v>
      </c>
      <c r="V21" s="48">
        <f t="shared" si="10"/>
        <v>0.97526217535301662</v>
      </c>
      <c r="W21" s="356">
        <f t="shared" si="7"/>
        <v>1.4022000000000003</v>
      </c>
      <c r="X21" s="71">
        <v>70.110000000000014</v>
      </c>
      <c r="Y21" s="37">
        <f t="shared" si="8"/>
        <v>0.97251352817001857</v>
      </c>
      <c r="Z21" s="156">
        <v>2.36</v>
      </c>
      <c r="AA21" s="77"/>
      <c r="AB21" s="77"/>
      <c r="AC21" s="77"/>
      <c r="AD21">
        <v>85.8</v>
      </c>
      <c r="AE21" s="231">
        <f t="shared" si="9"/>
        <v>1.2237911852802736</v>
      </c>
      <c r="AF21" s="77"/>
      <c r="AG21" s="77"/>
      <c r="AH21" s="34"/>
      <c r="AI21" s="34"/>
      <c r="AJ21" s="184"/>
    </row>
    <row r="22" spans="1:43">
      <c r="A22" s="33" t="s">
        <v>351</v>
      </c>
      <c r="B22" s="33" t="s">
        <v>1840</v>
      </c>
      <c r="C22" s="33" t="s">
        <v>1304</v>
      </c>
      <c r="D22" s="34">
        <v>50</v>
      </c>
      <c r="E22" s="34" t="s">
        <v>2</v>
      </c>
      <c r="F22" s="510">
        <v>55</v>
      </c>
      <c r="G22" s="510">
        <v>27</v>
      </c>
      <c r="H22" s="510">
        <v>42</v>
      </c>
      <c r="I22" s="34" t="e">
        <f>VLOOKUP(B22,Pallets!B:F,5,FALSE)</f>
        <v>#N/A</v>
      </c>
      <c r="J22" s="34"/>
      <c r="K22" s="34">
        <f t="shared" si="0"/>
        <v>2.8588235294117648</v>
      </c>
      <c r="L22" s="34">
        <f t="shared" si="1"/>
        <v>3.9737647058823526</v>
      </c>
      <c r="M22" s="522">
        <v>1.0805</v>
      </c>
      <c r="N22" s="522">
        <v>1.501895</v>
      </c>
      <c r="O22" s="522">
        <f t="shared" si="2"/>
        <v>1.501895</v>
      </c>
      <c r="P22" s="57">
        <f t="shared" si="3"/>
        <v>2.0876340499999997</v>
      </c>
      <c r="Q22" s="353">
        <f t="shared" si="4"/>
        <v>1.1756249999999999</v>
      </c>
      <c r="R22" s="65">
        <v>58.781249999999993</v>
      </c>
      <c r="S22" s="41">
        <f t="shared" si="5"/>
        <v>0.96448469452418928</v>
      </c>
      <c r="T22" s="355">
        <f t="shared" si="6"/>
        <v>1.0449999999999999</v>
      </c>
      <c r="U22" s="28">
        <v>52.25</v>
      </c>
      <c r="V22" s="48">
        <f t="shared" si="10"/>
        <v>0.9600452813397129</v>
      </c>
      <c r="W22" s="356">
        <f t="shared" si="7"/>
        <v>0.9405</v>
      </c>
      <c r="X22" s="71">
        <v>47.024999999999999</v>
      </c>
      <c r="Y22" s="37">
        <f t="shared" si="8"/>
        <v>0.95560586815523663</v>
      </c>
      <c r="Z22" s="156">
        <v>1.72</v>
      </c>
      <c r="AA22" s="77"/>
      <c r="AB22" s="77"/>
      <c r="AC22" s="77"/>
      <c r="AD22">
        <v>50.67</v>
      </c>
      <c r="AE22" s="231">
        <f t="shared" si="9"/>
        <v>1.0775119617224882</v>
      </c>
      <c r="AF22" s="77"/>
      <c r="AG22" s="77"/>
      <c r="AH22" s="34"/>
      <c r="AI22" s="34"/>
      <c r="AJ22" s="184"/>
    </row>
    <row r="23" spans="1:43">
      <c r="A23" s="33" t="s">
        <v>351</v>
      </c>
      <c r="B23" s="33" t="s">
        <v>1841</v>
      </c>
      <c r="C23" s="33" t="s">
        <v>1305</v>
      </c>
      <c r="D23" s="34">
        <v>50</v>
      </c>
      <c r="E23" s="34" t="s">
        <v>2</v>
      </c>
      <c r="F23" s="510">
        <v>55</v>
      </c>
      <c r="G23" s="510">
        <v>27</v>
      </c>
      <c r="H23" s="510">
        <v>42</v>
      </c>
      <c r="I23" s="34" t="e">
        <f>VLOOKUP(B23,Pallets!B:F,5,FALSE)</f>
        <v>#N/A</v>
      </c>
      <c r="J23" s="34"/>
      <c r="K23" s="34">
        <f t="shared" si="0"/>
        <v>2.8588235294117648</v>
      </c>
      <c r="L23" s="34">
        <f t="shared" si="1"/>
        <v>3.9737647058823526</v>
      </c>
      <c r="M23" s="522">
        <v>1.1136999999999999</v>
      </c>
      <c r="N23" s="522">
        <v>1.5480429999999998</v>
      </c>
      <c r="O23" s="522">
        <f t="shared" si="2"/>
        <v>1.5480429999999998</v>
      </c>
      <c r="P23" s="57">
        <f t="shared" si="3"/>
        <v>2.1517797699999996</v>
      </c>
      <c r="Q23" s="353">
        <f t="shared" si="4"/>
        <v>1.1970000000000001</v>
      </c>
      <c r="R23" s="65">
        <v>59.85</v>
      </c>
      <c r="S23" s="41">
        <f t="shared" si="5"/>
        <v>0.9640471216374269</v>
      </c>
      <c r="T23" s="355">
        <f t="shared" si="6"/>
        <v>1.0640000000000001</v>
      </c>
      <c r="U23" s="28">
        <v>53.2</v>
      </c>
      <c r="V23" s="48">
        <f t="shared" si="10"/>
        <v>0.95955301184210529</v>
      </c>
      <c r="W23" s="356">
        <f t="shared" si="7"/>
        <v>0.95760000000000001</v>
      </c>
      <c r="X23" s="71">
        <v>47.88</v>
      </c>
      <c r="Y23" s="37">
        <f t="shared" si="8"/>
        <v>0.95505890204678368</v>
      </c>
      <c r="Z23" s="156">
        <v>1.44</v>
      </c>
      <c r="AA23" s="77"/>
      <c r="AB23" s="77"/>
      <c r="AC23" s="77"/>
      <c r="AD23">
        <v>59.11</v>
      </c>
      <c r="AE23" s="231">
        <f t="shared" si="9"/>
        <v>1.2345446950710108</v>
      </c>
      <c r="AF23" s="77"/>
      <c r="AG23" s="77"/>
      <c r="AH23" s="34"/>
      <c r="AI23" s="34"/>
      <c r="AJ23" s="184"/>
    </row>
    <row r="24" spans="1:43">
      <c r="A24" s="33" t="s">
        <v>351</v>
      </c>
      <c r="B24" s="33" t="s">
        <v>1842</v>
      </c>
      <c r="C24" s="33" t="s">
        <v>1306</v>
      </c>
      <c r="D24" s="34">
        <v>50</v>
      </c>
      <c r="E24" s="34" t="s">
        <v>2</v>
      </c>
      <c r="F24" s="510">
        <v>55</v>
      </c>
      <c r="G24" s="510">
        <v>27</v>
      </c>
      <c r="H24" s="510">
        <v>42</v>
      </c>
      <c r="I24" s="34" t="e">
        <f>VLOOKUP(B24,Pallets!B:F,5,FALSE)</f>
        <v>#N/A</v>
      </c>
      <c r="J24" s="34"/>
      <c r="K24" s="34">
        <f t="shared" si="0"/>
        <v>2.8588235294117648</v>
      </c>
      <c r="L24" s="34">
        <f t="shared" si="1"/>
        <v>3.9737647058823526</v>
      </c>
      <c r="M24" s="522">
        <v>1.1637999999999999</v>
      </c>
      <c r="N24" s="522">
        <v>1.6176819999999998</v>
      </c>
      <c r="O24" s="522">
        <f t="shared" si="2"/>
        <v>1.6176819999999998</v>
      </c>
      <c r="P24" s="57">
        <f t="shared" si="3"/>
        <v>2.2485779799999994</v>
      </c>
      <c r="Q24" s="353">
        <f t="shared" si="4"/>
        <v>1.346625</v>
      </c>
      <c r="R24" s="65">
        <v>67.331249999999997</v>
      </c>
      <c r="S24" s="41">
        <f t="shared" si="5"/>
        <v>0.96660424424023028</v>
      </c>
      <c r="T24" s="355">
        <f t="shared" si="6"/>
        <v>1.1970000000000001</v>
      </c>
      <c r="U24" s="28">
        <v>59.85</v>
      </c>
      <c r="V24" s="48">
        <f t="shared" si="10"/>
        <v>0.96242977477025893</v>
      </c>
      <c r="W24" s="356">
        <f t="shared" si="7"/>
        <v>1.0773000000000001</v>
      </c>
      <c r="X24" s="71">
        <v>53.865000000000002</v>
      </c>
      <c r="Y24" s="37">
        <f t="shared" si="8"/>
        <v>0.9582553053002878</v>
      </c>
      <c r="Z24" s="156">
        <v>1.8</v>
      </c>
      <c r="AA24" s="77"/>
      <c r="AB24" s="77"/>
      <c r="AC24" s="77"/>
      <c r="AD24">
        <v>67.55</v>
      </c>
      <c r="AE24" s="231">
        <f t="shared" si="9"/>
        <v>1.254061078622482</v>
      </c>
      <c r="AF24" s="77"/>
      <c r="AG24" s="77"/>
      <c r="AH24" s="34"/>
      <c r="AI24" s="34"/>
      <c r="AJ24" s="184"/>
    </row>
    <row r="25" spans="1:43" s="10" customFormat="1">
      <c r="A25" s="33" t="s">
        <v>351</v>
      </c>
      <c r="B25" s="33" t="s">
        <v>1843</v>
      </c>
      <c r="C25" s="33" t="s">
        <v>1307</v>
      </c>
      <c r="D25" s="34">
        <v>50</v>
      </c>
      <c r="E25" s="34" t="s">
        <v>2</v>
      </c>
      <c r="F25" s="510">
        <v>55</v>
      </c>
      <c r="G25" s="510">
        <v>27</v>
      </c>
      <c r="H25" s="510">
        <v>42</v>
      </c>
      <c r="I25" s="34">
        <v>56</v>
      </c>
      <c r="J25" s="34"/>
      <c r="K25" s="34">
        <f t="shared" si="0"/>
        <v>2.8588235294117648</v>
      </c>
      <c r="L25" s="34">
        <f t="shared" si="1"/>
        <v>3.9737647058823526</v>
      </c>
      <c r="M25" s="522"/>
      <c r="N25" s="522">
        <v>0</v>
      </c>
      <c r="O25" s="522">
        <f t="shared" si="2"/>
        <v>0</v>
      </c>
      <c r="P25" s="57">
        <f t="shared" si="3"/>
        <v>0</v>
      </c>
      <c r="Q25" s="353">
        <f t="shared" si="4"/>
        <v>1.389375</v>
      </c>
      <c r="R25" s="65">
        <v>69.46875</v>
      </c>
      <c r="S25" s="41">
        <f t="shared" si="5"/>
        <v>1</v>
      </c>
      <c r="T25" s="355">
        <f t="shared" si="6"/>
        <v>1.2350000000000001</v>
      </c>
      <c r="U25" s="28">
        <v>61.75</v>
      </c>
      <c r="V25" s="48">
        <f t="shared" si="10"/>
        <v>1</v>
      </c>
      <c r="W25" s="356">
        <f t="shared" si="7"/>
        <v>1.1115000000000002</v>
      </c>
      <c r="X25" s="71">
        <v>55.575000000000003</v>
      </c>
      <c r="Y25" s="37">
        <f t="shared" si="8"/>
        <v>1</v>
      </c>
      <c r="Z25" s="157">
        <v>2.5</v>
      </c>
      <c r="AA25" s="78"/>
      <c r="AB25" s="78"/>
      <c r="AC25" s="78"/>
      <c r="AD25">
        <v>58.8</v>
      </c>
      <c r="AE25" s="231">
        <f t="shared" si="9"/>
        <v>1.058029689608637</v>
      </c>
      <c r="AF25" s="77"/>
      <c r="AG25" s="77"/>
      <c r="AH25" s="34"/>
      <c r="AI25" s="34"/>
      <c r="AJ25" s="184"/>
      <c r="AK25"/>
      <c r="AL25"/>
      <c r="AM25"/>
      <c r="AN25"/>
      <c r="AO25"/>
      <c r="AP25"/>
      <c r="AQ25"/>
    </row>
    <row r="26" spans="1:43" s="10" customFormat="1">
      <c r="A26" s="462" t="s">
        <v>351</v>
      </c>
      <c r="B26" s="462" t="s">
        <v>1844</v>
      </c>
      <c r="C26" s="462" t="s">
        <v>1308</v>
      </c>
      <c r="D26" s="466">
        <v>40</v>
      </c>
      <c r="E26" s="466" t="s">
        <v>2</v>
      </c>
      <c r="F26" s="510">
        <v>55</v>
      </c>
      <c r="G26" s="510">
        <v>27</v>
      </c>
      <c r="H26" s="510">
        <v>42</v>
      </c>
      <c r="I26" s="466" t="e">
        <f>VLOOKUP(B26,Pallets!B:F,5,FALSE)</f>
        <v>#N/A</v>
      </c>
      <c r="J26" s="374"/>
      <c r="K26" s="34">
        <f t="shared" si="0"/>
        <v>2.8588235294117648</v>
      </c>
      <c r="L26" s="34">
        <f t="shared" si="1"/>
        <v>3.9737647058823526</v>
      </c>
      <c r="M26" s="522">
        <v>1.1707000000000001</v>
      </c>
      <c r="N26" s="522">
        <v>1.627273</v>
      </c>
      <c r="O26" s="522">
        <f t="shared" si="2"/>
        <v>1.627273</v>
      </c>
      <c r="P26" s="289">
        <f t="shared" si="3"/>
        <v>2.26190947</v>
      </c>
      <c r="Q26" s="470">
        <f t="shared" si="4"/>
        <v>2.1375000000000002</v>
      </c>
      <c r="R26" s="473">
        <v>85.5</v>
      </c>
      <c r="S26" s="292">
        <f t="shared" si="5"/>
        <v>0.97354491847953206</v>
      </c>
      <c r="T26" s="355">
        <f t="shared" si="6"/>
        <v>1.9</v>
      </c>
      <c r="U26" s="28">
        <v>76</v>
      </c>
      <c r="V26" s="48">
        <f t="shared" si="10"/>
        <v>0.97023803328947356</v>
      </c>
      <c r="W26" s="477">
        <f t="shared" si="7"/>
        <v>1.7100000000000002</v>
      </c>
      <c r="X26" s="296">
        <v>68.400000000000006</v>
      </c>
      <c r="Y26" s="297">
        <f t="shared" si="8"/>
        <v>0.96693114809941516</v>
      </c>
      <c r="Z26" s="156">
        <v>2.8</v>
      </c>
      <c r="AA26" s="77"/>
      <c r="AB26" s="77"/>
      <c r="AC26" s="77"/>
      <c r="AD26">
        <v>79.89</v>
      </c>
      <c r="AE26" s="231">
        <f t="shared" si="9"/>
        <v>1.1679824561403507</v>
      </c>
      <c r="AF26" s="77"/>
      <c r="AG26" s="77"/>
      <c r="AH26" s="34"/>
      <c r="AI26" s="34"/>
      <c r="AJ26" s="184"/>
      <c r="AK26" s="484" t="s">
        <v>932</v>
      </c>
      <c r="AL26" s="484" t="s">
        <v>1076</v>
      </c>
      <c r="AM26" s="484" t="s">
        <v>904</v>
      </c>
      <c r="AN26"/>
      <c r="AO26"/>
      <c r="AP26"/>
      <c r="AQ26"/>
    </row>
    <row r="27" spans="1:43" s="10" customFormat="1">
      <c r="A27" s="462" t="s">
        <v>351</v>
      </c>
      <c r="B27" s="462" t="s">
        <v>1845</v>
      </c>
      <c r="C27" s="462" t="s">
        <v>1630</v>
      </c>
      <c r="D27" s="466">
        <v>480</v>
      </c>
      <c r="E27" s="466" t="s">
        <v>2</v>
      </c>
      <c r="F27" s="510">
        <v>55</v>
      </c>
      <c r="G27" s="510">
        <v>27</v>
      </c>
      <c r="H27" s="510">
        <v>42</v>
      </c>
      <c r="I27" s="466"/>
      <c r="J27" s="374"/>
      <c r="K27" s="34">
        <f t="shared" si="0"/>
        <v>2.8588235294117648</v>
      </c>
      <c r="L27" s="34">
        <f t="shared" si="1"/>
        <v>3.9737647058823526</v>
      </c>
      <c r="M27" s="522">
        <v>1.2618</v>
      </c>
      <c r="N27" s="522">
        <v>1.7539019999999999</v>
      </c>
      <c r="O27" s="522">
        <f t="shared" si="2"/>
        <v>1.7539019999999999</v>
      </c>
      <c r="P27" s="289">
        <f t="shared" si="3"/>
        <v>2.4379237799999998</v>
      </c>
      <c r="Q27" s="470"/>
      <c r="R27" s="473"/>
      <c r="S27" s="292"/>
      <c r="T27" s="355"/>
      <c r="U27" s="28"/>
      <c r="V27" s="48"/>
      <c r="W27" s="477"/>
      <c r="X27" s="296"/>
      <c r="Y27" s="297"/>
      <c r="Z27" s="156"/>
      <c r="AA27" s="77"/>
      <c r="AB27" s="77"/>
      <c r="AC27" s="77"/>
      <c r="AD27"/>
      <c r="AE27" s="231"/>
      <c r="AF27" s="77"/>
      <c r="AG27" s="77"/>
      <c r="AH27" s="34"/>
      <c r="AI27" s="34"/>
      <c r="AJ27" s="184"/>
      <c r="AK27" s="484"/>
      <c r="AL27" s="484"/>
      <c r="AM27" s="484"/>
      <c r="AN27"/>
      <c r="AO27"/>
      <c r="AP27"/>
      <c r="AQ27"/>
    </row>
    <row r="28" spans="1:43" s="10" customFormat="1">
      <c r="A28" s="462" t="s">
        <v>351</v>
      </c>
      <c r="B28" s="462" t="s">
        <v>1846</v>
      </c>
      <c r="C28" s="462" t="s">
        <v>1631</v>
      </c>
      <c r="D28" s="466">
        <v>480</v>
      </c>
      <c r="E28" s="466" t="s">
        <v>2</v>
      </c>
      <c r="F28" s="510">
        <v>55</v>
      </c>
      <c r="G28" s="510">
        <v>27</v>
      </c>
      <c r="H28" s="510">
        <v>42</v>
      </c>
      <c r="I28" s="466"/>
      <c r="J28" s="374"/>
      <c r="K28" s="34">
        <f t="shared" si="0"/>
        <v>2.8588235294117648</v>
      </c>
      <c r="L28" s="34">
        <f t="shared" si="1"/>
        <v>3.9737647058823526</v>
      </c>
      <c r="M28" s="522">
        <v>1.2946</v>
      </c>
      <c r="N28" s="522">
        <v>1.7994939999999999</v>
      </c>
      <c r="O28" s="522">
        <f t="shared" si="2"/>
        <v>1.7994939999999999</v>
      </c>
      <c r="P28" s="289">
        <f t="shared" si="3"/>
        <v>2.5012966599999995</v>
      </c>
      <c r="Q28" s="470"/>
      <c r="R28" s="473"/>
      <c r="S28" s="292"/>
      <c r="T28" s="355"/>
      <c r="U28" s="28"/>
      <c r="V28" s="48"/>
      <c r="W28" s="477"/>
      <c r="X28" s="296"/>
      <c r="Y28" s="297"/>
      <c r="Z28" s="156"/>
      <c r="AA28" s="77"/>
      <c r="AB28" s="77"/>
      <c r="AC28" s="77"/>
      <c r="AD28"/>
      <c r="AE28" s="231"/>
      <c r="AF28" s="77"/>
      <c r="AG28" s="77"/>
      <c r="AH28" s="34"/>
      <c r="AI28" s="34"/>
      <c r="AJ28" s="184"/>
      <c r="AK28" s="484"/>
      <c r="AL28" s="484"/>
      <c r="AM28" s="484"/>
      <c r="AN28"/>
      <c r="AO28"/>
      <c r="AP28"/>
      <c r="AQ28"/>
    </row>
    <row r="29" spans="1:43" s="10" customFormat="1">
      <c r="A29" s="462" t="s">
        <v>351</v>
      </c>
      <c r="B29" s="462" t="s">
        <v>1847</v>
      </c>
      <c r="C29" s="462" t="s">
        <v>1632</v>
      </c>
      <c r="D29" s="466">
        <v>240</v>
      </c>
      <c r="E29" s="466" t="s">
        <v>2</v>
      </c>
      <c r="F29" s="510">
        <v>55</v>
      </c>
      <c r="G29" s="510">
        <v>27</v>
      </c>
      <c r="H29" s="510">
        <v>42</v>
      </c>
      <c r="I29" s="466"/>
      <c r="J29" s="374"/>
      <c r="K29" s="34">
        <f t="shared" si="0"/>
        <v>2.8588235294117648</v>
      </c>
      <c r="L29" s="34">
        <f t="shared" si="1"/>
        <v>3.9737647058823526</v>
      </c>
      <c r="M29" s="522">
        <v>1.3567</v>
      </c>
      <c r="N29" s="522">
        <v>1.885813</v>
      </c>
      <c r="O29" s="522">
        <f t="shared" si="2"/>
        <v>1.885813</v>
      </c>
      <c r="P29" s="289">
        <f t="shared" si="3"/>
        <v>2.6212800699999996</v>
      </c>
      <c r="Q29" s="470"/>
      <c r="R29" s="473"/>
      <c r="S29" s="292"/>
      <c r="T29" s="355"/>
      <c r="U29" s="28"/>
      <c r="V29" s="48"/>
      <c r="W29" s="477"/>
      <c r="X29" s="296"/>
      <c r="Y29" s="297"/>
      <c r="Z29" s="156"/>
      <c r="AA29" s="77"/>
      <c r="AB29" s="77"/>
      <c r="AC29" s="77"/>
      <c r="AD29"/>
      <c r="AE29" s="231"/>
      <c r="AF29" s="77"/>
      <c r="AG29" s="77"/>
      <c r="AH29" s="34"/>
      <c r="AI29" s="34"/>
      <c r="AJ29" s="184"/>
      <c r="AK29" s="484"/>
      <c r="AL29" s="484"/>
      <c r="AM29" s="484"/>
      <c r="AN29"/>
      <c r="AO29"/>
      <c r="AP29"/>
      <c r="AQ29"/>
    </row>
    <row r="30" spans="1:43" s="10" customFormat="1">
      <c r="A30" s="373" t="s">
        <v>351</v>
      </c>
      <c r="B30" s="373" t="s">
        <v>1848</v>
      </c>
      <c r="C30" s="373" t="s">
        <v>1633</v>
      </c>
      <c r="D30" s="374">
        <v>144</v>
      </c>
      <c r="E30" s="374" t="s">
        <v>2</v>
      </c>
      <c r="F30" s="510">
        <v>55</v>
      </c>
      <c r="G30" s="510">
        <v>27</v>
      </c>
      <c r="H30" s="510">
        <v>42</v>
      </c>
      <c r="I30" s="374"/>
      <c r="J30" s="374"/>
      <c r="K30" s="34">
        <f t="shared" si="0"/>
        <v>2.8588235294117648</v>
      </c>
      <c r="L30" s="34">
        <f t="shared" si="1"/>
        <v>3.9737647058823526</v>
      </c>
      <c r="M30" s="522">
        <v>1.0797000000000001</v>
      </c>
      <c r="N30" s="522">
        <v>1.500783</v>
      </c>
      <c r="O30" s="522">
        <f t="shared" si="2"/>
        <v>1.500783</v>
      </c>
      <c r="P30" s="338">
        <f t="shared" si="3"/>
        <v>2.0860883699999997</v>
      </c>
      <c r="Q30" s="471"/>
      <c r="R30" s="474"/>
      <c r="S30" s="341"/>
      <c r="T30" s="355"/>
      <c r="U30" s="28"/>
      <c r="V30" s="48"/>
      <c r="W30" s="479"/>
      <c r="X30" s="296"/>
      <c r="Y30" s="346"/>
      <c r="Z30" s="156"/>
      <c r="AA30" s="77"/>
      <c r="AB30" s="77"/>
      <c r="AC30" s="77"/>
      <c r="AD30"/>
      <c r="AE30" s="231"/>
      <c r="AF30" s="77"/>
      <c r="AG30" s="77"/>
      <c r="AH30" s="34"/>
      <c r="AI30" s="34"/>
      <c r="AJ30" s="184"/>
      <c r="AK30" s="484"/>
      <c r="AL30" s="484"/>
      <c r="AM30" s="484"/>
      <c r="AN30"/>
      <c r="AO30"/>
      <c r="AP30"/>
      <c r="AQ30"/>
    </row>
    <row r="31" spans="1:43" s="10" customFormat="1">
      <c r="A31" s="462" t="s">
        <v>351</v>
      </c>
      <c r="B31" s="462" t="s">
        <v>1849</v>
      </c>
      <c r="C31" s="462" t="s">
        <v>1634</v>
      </c>
      <c r="D31" s="466">
        <v>144</v>
      </c>
      <c r="E31" s="466" t="s">
        <v>2</v>
      </c>
      <c r="F31" s="510">
        <v>55</v>
      </c>
      <c r="G31" s="510">
        <v>27</v>
      </c>
      <c r="H31" s="510">
        <v>42</v>
      </c>
      <c r="I31" s="466"/>
      <c r="J31" s="374"/>
      <c r="K31" s="34">
        <f t="shared" si="0"/>
        <v>2.8588235294117648</v>
      </c>
      <c r="L31" s="34">
        <f t="shared" si="1"/>
        <v>3.9737647058823526</v>
      </c>
      <c r="M31" s="522">
        <v>1.1249</v>
      </c>
      <c r="N31" s="522">
        <v>1.5636109999999999</v>
      </c>
      <c r="O31" s="522">
        <f t="shared" si="2"/>
        <v>1.5636109999999999</v>
      </c>
      <c r="P31" s="289">
        <f t="shared" si="3"/>
        <v>2.1734192899999996</v>
      </c>
      <c r="Q31" s="470"/>
      <c r="R31" s="473"/>
      <c r="S31" s="292"/>
      <c r="T31" s="355"/>
      <c r="U31" s="28"/>
      <c r="V31" s="48"/>
      <c r="W31" s="477"/>
      <c r="X31" s="296"/>
      <c r="Y31" s="297"/>
      <c r="Z31" s="156"/>
      <c r="AA31" s="77"/>
      <c r="AB31" s="77"/>
      <c r="AC31" s="77"/>
      <c r="AD31"/>
      <c r="AE31" s="231"/>
      <c r="AF31" s="77"/>
      <c r="AG31" s="77"/>
      <c r="AH31" s="34"/>
      <c r="AI31" s="34"/>
      <c r="AJ31" s="184"/>
      <c r="AK31" s="484"/>
      <c r="AL31" s="484"/>
      <c r="AM31" s="484"/>
      <c r="AN31"/>
      <c r="AO31"/>
      <c r="AP31"/>
      <c r="AQ31"/>
    </row>
    <row r="32" spans="1:43" s="10" customFormat="1">
      <c r="A32" s="462" t="s">
        <v>351</v>
      </c>
      <c r="B32" s="462" t="s">
        <v>1850</v>
      </c>
      <c r="C32" s="462" t="s">
        <v>1635</v>
      </c>
      <c r="D32" s="466">
        <v>120</v>
      </c>
      <c r="E32" s="466" t="s">
        <v>2</v>
      </c>
      <c r="F32" s="510">
        <v>55</v>
      </c>
      <c r="G32" s="510">
        <v>27</v>
      </c>
      <c r="H32" s="510">
        <v>42</v>
      </c>
      <c r="I32" s="466"/>
      <c r="J32" s="374"/>
      <c r="K32" s="34">
        <f t="shared" si="0"/>
        <v>2.8588235294117648</v>
      </c>
      <c r="L32" s="34">
        <f t="shared" si="1"/>
        <v>3.9737647058823526</v>
      </c>
      <c r="M32" s="522">
        <v>1.1679999999999999</v>
      </c>
      <c r="N32" s="522">
        <v>1.6235199999999999</v>
      </c>
      <c r="O32" s="522">
        <f t="shared" si="2"/>
        <v>1.6235199999999999</v>
      </c>
      <c r="P32" s="289">
        <f t="shared" si="3"/>
        <v>2.2566927999999997</v>
      </c>
      <c r="Q32" s="470"/>
      <c r="R32" s="473"/>
      <c r="S32" s="292"/>
      <c r="T32" s="355"/>
      <c r="U32" s="28"/>
      <c r="V32" s="48"/>
      <c r="W32" s="477"/>
      <c r="X32" s="296"/>
      <c r="Y32" s="297"/>
      <c r="Z32" s="156"/>
      <c r="AA32" s="77"/>
      <c r="AB32" s="77"/>
      <c r="AC32" s="77"/>
      <c r="AD32"/>
      <c r="AE32" s="231"/>
      <c r="AF32" s="77"/>
      <c r="AG32" s="77"/>
      <c r="AH32" s="34"/>
      <c r="AI32" s="34"/>
      <c r="AJ32" s="184"/>
      <c r="AK32" s="484"/>
      <c r="AL32" s="484"/>
      <c r="AM32" s="484"/>
      <c r="AN32"/>
      <c r="AO32"/>
      <c r="AP32"/>
      <c r="AQ32"/>
    </row>
    <row r="33" spans="1:43" s="10" customFormat="1">
      <c r="A33" s="462" t="s">
        <v>351</v>
      </c>
      <c r="B33" s="462" t="s">
        <v>1851</v>
      </c>
      <c r="C33" s="462" t="s">
        <v>1636</v>
      </c>
      <c r="D33" s="466">
        <v>48</v>
      </c>
      <c r="E33" s="466" t="s">
        <v>2</v>
      </c>
      <c r="F33" s="510">
        <v>55</v>
      </c>
      <c r="G33" s="510">
        <v>27</v>
      </c>
      <c r="H33" s="510">
        <v>42</v>
      </c>
      <c r="I33" s="466"/>
      <c r="J33" s="374"/>
      <c r="K33" s="34">
        <f t="shared" si="0"/>
        <v>2.8588235294117648</v>
      </c>
      <c r="L33" s="34">
        <f t="shared" si="1"/>
        <v>3.9737647058823526</v>
      </c>
      <c r="M33" s="522">
        <v>1.2492000000000001</v>
      </c>
      <c r="N33" s="522">
        <v>1.736388</v>
      </c>
      <c r="O33" s="522">
        <f t="shared" si="2"/>
        <v>1.736388</v>
      </c>
      <c r="P33" s="289">
        <f t="shared" si="3"/>
        <v>2.4135793199999998</v>
      </c>
      <c r="Q33" s="470"/>
      <c r="R33" s="473"/>
      <c r="S33" s="292"/>
      <c r="T33" s="355"/>
      <c r="U33" s="28"/>
      <c r="V33" s="48"/>
      <c r="W33" s="477"/>
      <c r="X33" s="296"/>
      <c r="Y33" s="297"/>
      <c r="Z33" s="156"/>
      <c r="AA33" s="77"/>
      <c r="AB33" s="77"/>
      <c r="AC33" s="77"/>
      <c r="AD33"/>
      <c r="AE33" s="231"/>
      <c r="AF33" s="77"/>
      <c r="AG33" s="77"/>
      <c r="AH33" s="34"/>
      <c r="AI33" s="34"/>
      <c r="AJ33" s="184"/>
      <c r="AK33" s="484"/>
      <c r="AL33" s="484"/>
      <c r="AM33" s="484"/>
      <c r="AN33"/>
      <c r="AO33"/>
      <c r="AP33"/>
      <c r="AQ33"/>
    </row>
    <row r="34" spans="1:43" s="10" customFormat="1">
      <c r="A34" s="462" t="s">
        <v>351</v>
      </c>
      <c r="B34" s="462" t="s">
        <v>1852</v>
      </c>
      <c r="C34" s="462" t="s">
        <v>1637</v>
      </c>
      <c r="D34" s="466">
        <v>48</v>
      </c>
      <c r="E34" s="466" t="s">
        <v>2</v>
      </c>
      <c r="F34" s="510">
        <v>55</v>
      </c>
      <c r="G34" s="510">
        <v>27</v>
      </c>
      <c r="H34" s="510">
        <v>42</v>
      </c>
      <c r="I34" s="466"/>
      <c r="J34" s="374"/>
      <c r="K34" s="34">
        <f t="shared" si="0"/>
        <v>2.8588235294117648</v>
      </c>
      <c r="L34" s="34">
        <f t="shared" si="1"/>
        <v>3.9737647058823526</v>
      </c>
      <c r="M34" s="522"/>
      <c r="N34" s="522">
        <v>0</v>
      </c>
      <c r="O34" s="522">
        <f t="shared" si="2"/>
        <v>0</v>
      </c>
      <c r="P34" s="289">
        <f t="shared" si="3"/>
        <v>0</v>
      </c>
      <c r="Q34" s="470"/>
      <c r="R34" s="473"/>
      <c r="S34" s="292"/>
      <c r="T34" s="355"/>
      <c r="U34" s="28"/>
      <c r="V34" s="48"/>
      <c r="W34" s="477"/>
      <c r="X34" s="296"/>
      <c r="Y34" s="297"/>
      <c r="Z34" s="156"/>
      <c r="AA34" s="77"/>
      <c r="AB34" s="77"/>
      <c r="AC34" s="77"/>
      <c r="AD34"/>
      <c r="AE34" s="231"/>
      <c r="AF34" s="77"/>
      <c r="AG34" s="77"/>
      <c r="AH34" s="34"/>
      <c r="AI34" s="34"/>
      <c r="AJ34" s="184"/>
      <c r="AK34" s="484"/>
      <c r="AL34" s="484"/>
      <c r="AM34" s="484"/>
      <c r="AN34"/>
      <c r="AO34"/>
      <c r="AP34"/>
      <c r="AQ34"/>
    </row>
    <row r="35" spans="1:43" s="10" customFormat="1">
      <c r="A35" s="4" t="s">
        <v>351</v>
      </c>
      <c r="B35" s="4" t="s">
        <v>1853</v>
      </c>
      <c r="C35" s="4" t="s">
        <v>1638</v>
      </c>
      <c r="D35" s="12">
        <v>48</v>
      </c>
      <c r="E35" s="12" t="s">
        <v>2</v>
      </c>
      <c r="F35" s="510">
        <v>55</v>
      </c>
      <c r="G35" s="510">
        <v>27</v>
      </c>
      <c r="H35" s="510">
        <v>42</v>
      </c>
      <c r="I35" s="12"/>
      <c r="J35" s="34"/>
      <c r="K35" s="34">
        <f t="shared" si="0"/>
        <v>2.8588235294117648</v>
      </c>
      <c r="L35" s="34">
        <f t="shared" ref="L35:L66" si="11">IFERROR(K35*1.39, "Not available")</f>
        <v>3.9737647058823526</v>
      </c>
      <c r="M35" s="522">
        <v>1.2479</v>
      </c>
      <c r="N35" s="522">
        <v>1.7345809999999999</v>
      </c>
      <c r="O35" s="522">
        <f t="shared" ref="O35:O66" si="12">M35*1.39</f>
        <v>1.7345809999999999</v>
      </c>
      <c r="P35" s="57">
        <f t="shared" ref="P35:P66" si="13">N35*1.39</f>
        <v>2.4110675899999996</v>
      </c>
      <c r="Q35" s="353"/>
      <c r="R35" s="65"/>
      <c r="S35" s="41"/>
      <c r="T35" s="355"/>
      <c r="U35" s="28"/>
      <c r="V35" s="48"/>
      <c r="W35" s="356"/>
      <c r="X35" s="71"/>
      <c r="Y35" s="37"/>
      <c r="Z35" s="156"/>
      <c r="AA35" s="77"/>
      <c r="AB35" s="77"/>
      <c r="AC35" s="77"/>
      <c r="AD35"/>
      <c r="AE35" s="231"/>
      <c r="AF35" s="79"/>
      <c r="AG35" s="79"/>
      <c r="AH35" s="12"/>
      <c r="AI35" s="12"/>
      <c r="AJ35" s="184"/>
      <c r="AK35" s="484"/>
      <c r="AL35" s="484"/>
      <c r="AM35" s="484"/>
      <c r="AN35"/>
      <c r="AO35"/>
      <c r="AP35"/>
      <c r="AQ35"/>
    </row>
    <row r="36" spans="1:43">
      <c r="A36" s="33" t="s">
        <v>351</v>
      </c>
      <c r="B36" s="33" t="s">
        <v>1854</v>
      </c>
      <c r="C36" s="33" t="s">
        <v>1639</v>
      </c>
      <c r="D36" s="34">
        <v>72</v>
      </c>
      <c r="E36" s="34" t="s">
        <v>2</v>
      </c>
      <c r="F36" s="510">
        <v>55</v>
      </c>
      <c r="G36" s="510">
        <v>27</v>
      </c>
      <c r="H36" s="510">
        <v>42</v>
      </c>
      <c r="I36" s="34"/>
      <c r="J36" s="34"/>
      <c r="K36" s="34">
        <f t="shared" si="0"/>
        <v>2.8588235294117648</v>
      </c>
      <c r="L36" s="34">
        <f t="shared" si="11"/>
        <v>3.9737647058823526</v>
      </c>
      <c r="M36" s="522">
        <v>1.3173999999999999</v>
      </c>
      <c r="N36" s="522">
        <v>1.8311859999999998</v>
      </c>
      <c r="O36" s="522">
        <f t="shared" si="12"/>
        <v>1.8311859999999998</v>
      </c>
      <c r="P36" s="57">
        <f t="shared" si="13"/>
        <v>2.5453485399999995</v>
      </c>
      <c r="Q36" s="353"/>
      <c r="R36" s="65"/>
      <c r="S36" s="41"/>
      <c r="T36" s="355"/>
      <c r="U36" s="28"/>
      <c r="V36" s="48"/>
      <c r="W36" s="356"/>
      <c r="X36" s="71"/>
      <c r="Y36" s="37"/>
      <c r="Z36" s="156"/>
      <c r="AA36" s="77"/>
      <c r="AB36" s="77"/>
      <c r="AC36" s="77"/>
      <c r="AE36" s="231"/>
      <c r="AF36" s="77"/>
      <c r="AG36" s="77"/>
      <c r="AH36" s="34"/>
      <c r="AI36" s="34"/>
      <c r="AJ36" s="184"/>
      <c r="AK36" s="484"/>
      <c r="AL36" s="484"/>
      <c r="AM36" s="484"/>
    </row>
    <row r="37" spans="1:43">
      <c r="A37" s="7" t="s">
        <v>351</v>
      </c>
      <c r="B37" s="7" t="s">
        <v>1855</v>
      </c>
      <c r="C37" s="7" t="s">
        <v>1640</v>
      </c>
      <c r="D37" s="14">
        <v>72</v>
      </c>
      <c r="E37" s="14" t="s">
        <v>2</v>
      </c>
      <c r="F37" s="510">
        <v>55</v>
      </c>
      <c r="G37" s="510">
        <v>27</v>
      </c>
      <c r="H37" s="510">
        <v>42</v>
      </c>
      <c r="I37" s="14"/>
      <c r="J37" s="14"/>
      <c r="K37" s="34">
        <f t="shared" si="0"/>
        <v>2.8588235294117648</v>
      </c>
      <c r="L37" s="34">
        <f t="shared" si="11"/>
        <v>3.9737647058823526</v>
      </c>
      <c r="M37" s="522">
        <v>1.36</v>
      </c>
      <c r="N37" s="522">
        <v>1.8904000000000001</v>
      </c>
      <c r="O37" s="522">
        <f t="shared" si="12"/>
        <v>1.8904000000000001</v>
      </c>
      <c r="P37" s="58">
        <f t="shared" si="13"/>
        <v>2.627656</v>
      </c>
      <c r="Q37" s="354"/>
      <c r="R37" s="66"/>
      <c r="S37" s="43"/>
      <c r="T37" s="355"/>
      <c r="U37" s="28"/>
      <c r="V37" s="48"/>
      <c r="W37" s="357"/>
      <c r="X37" s="72"/>
      <c r="Y37" s="38"/>
      <c r="Z37" s="157"/>
      <c r="AA37" s="78"/>
      <c r="AB37" s="78"/>
      <c r="AC37" s="78"/>
      <c r="AE37" s="231"/>
      <c r="AF37" s="78"/>
      <c r="AG37" s="78"/>
      <c r="AH37" s="14"/>
      <c r="AI37" s="14"/>
      <c r="AJ37" s="184"/>
      <c r="AK37" s="484"/>
      <c r="AL37" s="484"/>
      <c r="AM37" s="484"/>
    </row>
    <row r="38" spans="1:43">
      <c r="A38" s="7" t="s">
        <v>351</v>
      </c>
      <c r="B38" s="33" t="s">
        <v>1856</v>
      </c>
      <c r="C38" s="33" t="s">
        <v>1641</v>
      </c>
      <c r="D38" s="34">
        <v>24</v>
      </c>
      <c r="E38" s="34" t="s">
        <v>2</v>
      </c>
      <c r="F38" s="510">
        <v>55</v>
      </c>
      <c r="G38" s="510">
        <v>27</v>
      </c>
      <c r="H38" s="510">
        <v>42</v>
      </c>
      <c r="I38" s="34"/>
      <c r="J38" s="34"/>
      <c r="K38" s="34">
        <f t="shared" si="0"/>
        <v>2.8588235294117648</v>
      </c>
      <c r="L38" s="34">
        <f t="shared" si="11"/>
        <v>3.9737647058823526</v>
      </c>
      <c r="M38" s="522">
        <v>1.4556</v>
      </c>
      <c r="N38" s="522">
        <v>2.0232839999999999</v>
      </c>
      <c r="O38" s="522">
        <f t="shared" si="12"/>
        <v>2.0232839999999999</v>
      </c>
      <c r="P38" s="57">
        <f t="shared" si="13"/>
        <v>2.8123647599999995</v>
      </c>
      <c r="Q38" s="353"/>
      <c r="R38" s="65"/>
      <c r="S38" s="41"/>
      <c r="T38" s="355"/>
      <c r="U38" s="28"/>
      <c r="V38" s="48"/>
      <c r="W38" s="356"/>
      <c r="X38" s="71"/>
      <c r="Y38" s="37"/>
      <c r="Z38" s="156"/>
      <c r="AA38" s="77"/>
      <c r="AB38" s="77"/>
      <c r="AC38" s="183"/>
      <c r="AE38" s="231"/>
      <c r="AF38" s="77"/>
      <c r="AG38" s="77"/>
      <c r="AH38" s="34"/>
      <c r="AI38" s="34"/>
      <c r="AJ38" s="184"/>
      <c r="AK38" s="484"/>
      <c r="AL38" s="484"/>
      <c r="AM38" s="484"/>
    </row>
    <row r="39" spans="1:43">
      <c r="A39" s="7" t="s">
        <v>351</v>
      </c>
      <c r="B39" s="33" t="s">
        <v>1857</v>
      </c>
      <c r="C39" s="33" t="s">
        <v>1642</v>
      </c>
      <c r="D39" s="34">
        <v>24</v>
      </c>
      <c r="E39" s="34" t="s">
        <v>2</v>
      </c>
      <c r="F39" s="510">
        <v>55</v>
      </c>
      <c r="G39" s="510">
        <v>27</v>
      </c>
      <c r="H39" s="510">
        <v>48</v>
      </c>
      <c r="I39" s="34"/>
      <c r="J39" s="34"/>
      <c r="K39" s="34">
        <f t="shared" si="0"/>
        <v>3.2672268907563025</v>
      </c>
      <c r="L39" s="34">
        <f t="shared" si="11"/>
        <v>4.54144537815126</v>
      </c>
      <c r="M39" s="522">
        <v>1.2666999999999999</v>
      </c>
      <c r="N39" s="522">
        <v>1.7607129999999998</v>
      </c>
      <c r="O39" s="522">
        <f t="shared" si="12"/>
        <v>1.7607129999999998</v>
      </c>
      <c r="P39" s="57">
        <f t="shared" si="13"/>
        <v>2.4473910699999997</v>
      </c>
      <c r="Q39" s="353"/>
      <c r="R39" s="65"/>
      <c r="S39" s="41"/>
      <c r="T39" s="355"/>
      <c r="U39" s="28"/>
      <c r="V39" s="48"/>
      <c r="W39" s="356"/>
      <c r="X39" s="71"/>
      <c r="Y39" s="37"/>
      <c r="Z39" s="156"/>
      <c r="AA39" s="77"/>
      <c r="AB39" s="77"/>
      <c r="AC39" s="77"/>
      <c r="AE39" s="231"/>
      <c r="AF39" s="77"/>
      <c r="AG39" s="77"/>
      <c r="AH39" s="34"/>
      <c r="AI39" s="34"/>
      <c r="AJ39" s="184"/>
      <c r="AK39" s="484"/>
      <c r="AL39" s="484"/>
      <c r="AM39" s="484"/>
    </row>
    <row r="40" spans="1:43">
      <c r="A40" s="33" t="s">
        <v>351</v>
      </c>
      <c r="B40" s="33" t="s">
        <v>1858</v>
      </c>
      <c r="C40" s="33" t="s">
        <v>1643</v>
      </c>
      <c r="D40" s="34">
        <v>24</v>
      </c>
      <c r="E40" s="34" t="s">
        <v>2</v>
      </c>
      <c r="F40" s="510">
        <v>55</v>
      </c>
      <c r="G40" s="510">
        <v>27</v>
      </c>
      <c r="H40" s="510">
        <v>48</v>
      </c>
      <c r="I40" s="34"/>
      <c r="J40" s="34"/>
      <c r="K40" s="34">
        <f t="shared" si="0"/>
        <v>3.2672268907563025</v>
      </c>
      <c r="L40" s="34">
        <f t="shared" si="11"/>
        <v>4.54144537815126</v>
      </c>
      <c r="M40" s="522">
        <v>1.2981</v>
      </c>
      <c r="N40" s="522">
        <v>1.8043589999999998</v>
      </c>
      <c r="O40" s="522">
        <f t="shared" si="12"/>
        <v>1.8043589999999998</v>
      </c>
      <c r="P40" s="57">
        <f t="shared" si="13"/>
        <v>2.5080590099999998</v>
      </c>
      <c r="Q40" s="353"/>
      <c r="R40" s="65"/>
      <c r="S40" s="41"/>
      <c r="T40" s="355"/>
      <c r="U40" s="28"/>
      <c r="V40" s="48"/>
      <c r="W40" s="356"/>
      <c r="X40" s="71"/>
      <c r="Y40" s="37"/>
      <c r="Z40" s="482"/>
      <c r="AA40" s="79"/>
      <c r="AB40" s="79"/>
      <c r="AC40" s="183"/>
      <c r="AE40" s="231"/>
      <c r="AF40" s="77"/>
      <c r="AG40" s="77"/>
      <c r="AH40" s="34"/>
      <c r="AI40" s="12"/>
      <c r="AJ40" s="184"/>
      <c r="AK40" s="484"/>
      <c r="AL40" s="484"/>
      <c r="AM40" s="484"/>
    </row>
    <row r="41" spans="1:43">
      <c r="A41" s="33" t="s">
        <v>351</v>
      </c>
      <c r="B41" s="33" t="s">
        <v>1859</v>
      </c>
      <c r="C41" s="33" t="s">
        <v>1644</v>
      </c>
      <c r="D41" s="34">
        <v>72</v>
      </c>
      <c r="E41" s="34" t="s">
        <v>2</v>
      </c>
      <c r="F41" s="510">
        <v>55</v>
      </c>
      <c r="G41" s="510">
        <v>27</v>
      </c>
      <c r="H41" s="510">
        <v>48</v>
      </c>
      <c r="I41" s="34"/>
      <c r="J41" s="34"/>
      <c r="K41" s="34">
        <f t="shared" si="0"/>
        <v>3.2672268907563025</v>
      </c>
      <c r="L41" s="34">
        <f t="shared" si="11"/>
        <v>4.54144537815126</v>
      </c>
      <c r="M41" s="522">
        <v>1.3660000000000001</v>
      </c>
      <c r="N41" s="522">
        <v>1.8987400000000001</v>
      </c>
      <c r="O41" s="522">
        <f t="shared" si="12"/>
        <v>1.8987400000000001</v>
      </c>
      <c r="P41" s="57">
        <f t="shared" si="13"/>
        <v>2.6392486000000002</v>
      </c>
      <c r="Q41" s="353"/>
      <c r="R41" s="65"/>
      <c r="S41" s="41"/>
      <c r="T41" s="355"/>
      <c r="U41" s="28"/>
      <c r="V41" s="48"/>
      <c r="W41" s="356"/>
      <c r="X41" s="71"/>
      <c r="Y41" s="37"/>
      <c r="Z41" s="156"/>
      <c r="AA41" s="77"/>
      <c r="AB41" s="77"/>
      <c r="AC41" s="77"/>
      <c r="AE41" s="231"/>
      <c r="AF41" s="77"/>
      <c r="AG41" s="77"/>
      <c r="AH41" s="34"/>
      <c r="AI41" s="34"/>
      <c r="AJ41" s="184"/>
      <c r="AK41" s="484"/>
      <c r="AL41" s="484"/>
      <c r="AM41" s="484"/>
    </row>
    <row r="42" spans="1:43">
      <c r="A42" s="33" t="s">
        <v>351</v>
      </c>
      <c r="B42" s="33" t="s">
        <v>1860</v>
      </c>
      <c r="C42" s="33" t="s">
        <v>1645</v>
      </c>
      <c r="D42" s="34">
        <v>48</v>
      </c>
      <c r="E42" s="34" t="s">
        <v>2</v>
      </c>
      <c r="F42" s="510">
        <v>55</v>
      </c>
      <c r="G42" s="510">
        <v>27</v>
      </c>
      <c r="H42" s="510">
        <v>48</v>
      </c>
      <c r="I42" s="34"/>
      <c r="J42" s="34"/>
      <c r="K42" s="34">
        <f t="shared" si="0"/>
        <v>3.2672268907563025</v>
      </c>
      <c r="L42" s="34">
        <f t="shared" si="11"/>
        <v>4.54144537815126</v>
      </c>
      <c r="M42" s="522">
        <v>1.4590000000000001</v>
      </c>
      <c r="N42" s="522">
        <v>2.0280100000000001</v>
      </c>
      <c r="O42" s="522">
        <f t="shared" si="12"/>
        <v>2.0280100000000001</v>
      </c>
      <c r="P42" s="57">
        <f t="shared" si="13"/>
        <v>2.8189338999999998</v>
      </c>
      <c r="Q42" s="353"/>
      <c r="R42" s="65"/>
      <c r="S42" s="41"/>
      <c r="T42" s="355"/>
      <c r="U42" s="28"/>
      <c r="V42" s="48"/>
      <c r="W42" s="356"/>
      <c r="X42" s="71"/>
      <c r="Y42" s="37"/>
      <c r="Z42" s="156"/>
      <c r="AA42" s="77"/>
      <c r="AB42" s="77"/>
      <c r="AC42" s="77"/>
      <c r="AE42" s="231"/>
      <c r="AF42" s="77"/>
      <c r="AG42" s="77"/>
      <c r="AH42" s="34"/>
      <c r="AI42" s="34"/>
      <c r="AJ42" s="184"/>
      <c r="AK42" s="484"/>
      <c r="AL42" s="484"/>
      <c r="AM42" s="484"/>
    </row>
    <row r="43" spans="1:43">
      <c r="A43" s="33" t="s">
        <v>351</v>
      </c>
      <c r="B43" s="33" t="s">
        <v>1861</v>
      </c>
      <c r="C43" s="33" t="s">
        <v>1646</v>
      </c>
      <c r="D43" s="34">
        <v>24</v>
      </c>
      <c r="E43" s="34" t="s">
        <v>2</v>
      </c>
      <c r="F43" s="510">
        <v>55</v>
      </c>
      <c r="G43" s="510">
        <v>27</v>
      </c>
      <c r="H43" s="510">
        <v>48</v>
      </c>
      <c r="I43" s="34"/>
      <c r="J43" s="34"/>
      <c r="K43" s="34">
        <f t="shared" si="0"/>
        <v>3.2672268907563025</v>
      </c>
      <c r="L43" s="34">
        <f t="shared" si="11"/>
        <v>4.54144537815126</v>
      </c>
      <c r="M43" s="522">
        <v>1.4463999999999999</v>
      </c>
      <c r="N43" s="522">
        <v>2.0104959999999998</v>
      </c>
      <c r="O43" s="522">
        <f t="shared" si="12"/>
        <v>2.0104959999999998</v>
      </c>
      <c r="P43" s="57">
        <f t="shared" si="13"/>
        <v>2.7945894399999998</v>
      </c>
      <c r="Q43" s="353"/>
      <c r="R43" s="65"/>
      <c r="S43" s="41"/>
      <c r="T43" s="355"/>
      <c r="U43" s="28"/>
      <c r="V43" s="48"/>
      <c r="W43" s="356"/>
      <c r="X43" s="71"/>
      <c r="Y43" s="37"/>
      <c r="Z43" s="156"/>
      <c r="AA43" s="77"/>
      <c r="AB43" s="77"/>
      <c r="AC43" s="77"/>
      <c r="AE43" s="231"/>
      <c r="AF43" s="77"/>
      <c r="AG43" s="77"/>
      <c r="AH43" s="34"/>
      <c r="AI43" s="34"/>
      <c r="AJ43" s="184"/>
      <c r="AK43" s="484"/>
      <c r="AL43" s="484"/>
      <c r="AM43" s="484"/>
    </row>
    <row r="44" spans="1:43" ht="30">
      <c r="A44" s="33" t="s">
        <v>351</v>
      </c>
      <c r="B44" s="33" t="s">
        <v>1862</v>
      </c>
      <c r="C44" s="359" t="s">
        <v>1647</v>
      </c>
      <c r="D44" s="34">
        <v>24</v>
      </c>
      <c r="E44" s="34" t="s">
        <v>2</v>
      </c>
      <c r="F44" s="510">
        <v>55</v>
      </c>
      <c r="G44" s="510">
        <v>27</v>
      </c>
      <c r="H44" s="510">
        <v>48</v>
      </c>
      <c r="I44" s="34"/>
      <c r="J44" s="34"/>
      <c r="K44" s="34">
        <f t="shared" si="0"/>
        <v>3.2672268907563025</v>
      </c>
      <c r="L44" s="34">
        <f t="shared" si="11"/>
        <v>4.54144537815126</v>
      </c>
      <c r="M44" s="522">
        <v>1.5423</v>
      </c>
      <c r="N44" s="522">
        <v>2.1437969999999997</v>
      </c>
      <c r="O44" s="522">
        <f t="shared" si="12"/>
        <v>2.1437969999999997</v>
      </c>
      <c r="P44" s="57">
        <f t="shared" si="13"/>
        <v>2.9798778299999995</v>
      </c>
      <c r="Q44" s="353"/>
      <c r="R44" s="65"/>
      <c r="S44" s="41"/>
      <c r="T44" s="355"/>
      <c r="U44" s="28"/>
      <c r="V44" s="48"/>
      <c r="W44" s="356"/>
      <c r="X44" s="71"/>
      <c r="Y44" s="37"/>
      <c r="Z44" s="156"/>
      <c r="AA44" s="77"/>
      <c r="AB44" s="77"/>
      <c r="AC44" s="77"/>
      <c r="AE44" s="231"/>
      <c r="AF44" s="77"/>
      <c r="AG44" s="77"/>
      <c r="AH44" s="34"/>
      <c r="AI44" s="34"/>
      <c r="AJ44" s="184"/>
      <c r="AK44" s="484"/>
      <c r="AL44" s="484"/>
      <c r="AM44" s="484"/>
    </row>
    <row r="45" spans="1:43">
      <c r="A45" s="33" t="s">
        <v>351</v>
      </c>
      <c r="B45" s="33" t="s">
        <v>1863</v>
      </c>
      <c r="C45" s="33" t="s">
        <v>1648</v>
      </c>
      <c r="D45" s="34">
        <v>480</v>
      </c>
      <c r="E45" s="34" t="s">
        <v>2</v>
      </c>
      <c r="F45" s="510">
        <v>55</v>
      </c>
      <c r="G45" s="510">
        <v>27</v>
      </c>
      <c r="H45" s="510">
        <v>48</v>
      </c>
      <c r="I45" s="34"/>
      <c r="J45" s="34"/>
      <c r="K45" s="34">
        <f t="shared" si="0"/>
        <v>3.2672268907563025</v>
      </c>
      <c r="L45" s="34">
        <f t="shared" si="11"/>
        <v>4.54144537815126</v>
      </c>
      <c r="M45" s="522">
        <v>1.6091</v>
      </c>
      <c r="N45" s="522">
        <v>2.2366489999999999</v>
      </c>
      <c r="O45" s="522">
        <f t="shared" si="12"/>
        <v>2.2366489999999999</v>
      </c>
      <c r="P45" s="57">
        <f t="shared" si="13"/>
        <v>3.1089421099999996</v>
      </c>
      <c r="Q45" s="353"/>
      <c r="R45" s="65"/>
      <c r="S45" s="41"/>
      <c r="T45" s="355"/>
      <c r="U45" s="28"/>
      <c r="V45" s="48"/>
      <c r="W45" s="356"/>
      <c r="X45" s="71"/>
      <c r="Y45" s="37"/>
      <c r="Z45" s="156"/>
      <c r="AA45" s="77"/>
      <c r="AB45" s="77"/>
      <c r="AC45" s="77"/>
      <c r="AE45" s="231"/>
      <c r="AF45" s="77"/>
      <c r="AG45" s="77"/>
      <c r="AH45" s="34"/>
      <c r="AI45" s="34"/>
      <c r="AJ45" s="184"/>
      <c r="AK45" s="484"/>
      <c r="AL45" s="484"/>
      <c r="AM45" s="484"/>
    </row>
    <row r="46" spans="1:43">
      <c r="A46" s="33" t="s">
        <v>351</v>
      </c>
      <c r="B46" s="33" t="s">
        <v>1864</v>
      </c>
      <c r="C46" s="33" t="s">
        <v>1649</v>
      </c>
      <c r="D46" s="34">
        <v>480</v>
      </c>
      <c r="E46" s="34" t="s">
        <v>2</v>
      </c>
      <c r="F46" s="510">
        <v>55</v>
      </c>
      <c r="G46" s="510">
        <v>27</v>
      </c>
      <c r="H46" s="510">
        <v>48</v>
      </c>
      <c r="I46" s="34"/>
      <c r="J46" s="34"/>
      <c r="K46" s="34">
        <f t="shared" si="0"/>
        <v>3.2672268907563025</v>
      </c>
      <c r="L46" s="34">
        <f t="shared" si="11"/>
        <v>4.54144537815126</v>
      </c>
      <c r="M46" s="522">
        <v>1.6929000000000001</v>
      </c>
      <c r="N46" s="522">
        <v>2.3531309999999999</v>
      </c>
      <c r="O46" s="522">
        <f t="shared" si="12"/>
        <v>2.3531309999999999</v>
      </c>
      <c r="P46" s="57">
        <f t="shared" si="13"/>
        <v>3.2708520899999995</v>
      </c>
      <c r="Q46" s="353"/>
      <c r="R46" s="65"/>
      <c r="S46" s="41"/>
      <c r="T46" s="355"/>
      <c r="U46" s="28"/>
      <c r="V46" s="48"/>
      <c r="W46" s="356"/>
      <c r="X46" s="71"/>
      <c r="Y46" s="37"/>
      <c r="Z46" s="156"/>
      <c r="AA46" s="77"/>
      <c r="AB46" s="77"/>
      <c r="AC46" s="77"/>
      <c r="AE46" s="231"/>
      <c r="AF46" s="77"/>
      <c r="AG46" s="77"/>
      <c r="AH46" s="34"/>
      <c r="AI46" s="34"/>
      <c r="AJ46" s="184"/>
      <c r="AK46" s="484"/>
      <c r="AL46" s="484"/>
      <c r="AM46" s="484"/>
    </row>
    <row r="47" spans="1:43">
      <c r="A47" s="33" t="s">
        <v>351</v>
      </c>
      <c r="B47" s="33" t="s">
        <v>1865</v>
      </c>
      <c r="C47" s="33" t="s">
        <v>1650</v>
      </c>
      <c r="D47" s="34">
        <v>240</v>
      </c>
      <c r="E47" s="34" t="s">
        <v>2</v>
      </c>
      <c r="F47" s="509"/>
      <c r="G47" s="509"/>
      <c r="H47" s="509"/>
      <c r="I47" s="34"/>
      <c r="J47" s="34"/>
      <c r="K47" s="34">
        <f t="shared" si="0"/>
        <v>0</v>
      </c>
      <c r="L47" s="34">
        <f t="shared" si="11"/>
        <v>0</v>
      </c>
      <c r="M47" s="522"/>
      <c r="N47" s="522">
        <v>0</v>
      </c>
      <c r="O47" s="522">
        <f t="shared" si="12"/>
        <v>0</v>
      </c>
      <c r="P47" s="57">
        <f t="shared" si="13"/>
        <v>0</v>
      </c>
      <c r="Q47" s="353"/>
      <c r="R47" s="65"/>
      <c r="S47" s="41"/>
      <c r="T47" s="355"/>
      <c r="U47" s="28"/>
      <c r="V47" s="48"/>
      <c r="W47" s="356"/>
      <c r="X47" s="71"/>
      <c r="Y47" s="37"/>
      <c r="Z47" s="156"/>
      <c r="AA47" s="77"/>
      <c r="AB47" s="77"/>
      <c r="AC47" s="77"/>
      <c r="AE47" s="231"/>
      <c r="AF47" s="77"/>
      <c r="AG47" s="77"/>
      <c r="AH47" s="34"/>
      <c r="AI47" s="34"/>
      <c r="AJ47" s="184"/>
      <c r="AK47" s="484"/>
      <c r="AL47" s="484"/>
      <c r="AM47" s="484"/>
    </row>
    <row r="48" spans="1:43">
      <c r="A48" s="33" t="s">
        <v>351</v>
      </c>
      <c r="B48" s="33" t="s">
        <v>1866</v>
      </c>
      <c r="C48" s="33" t="s">
        <v>1651</v>
      </c>
      <c r="D48" s="34">
        <v>144</v>
      </c>
      <c r="E48" s="34" t="s">
        <v>2</v>
      </c>
      <c r="F48" s="509"/>
      <c r="G48" s="509"/>
      <c r="H48" s="509"/>
      <c r="I48" s="34"/>
      <c r="J48" s="34"/>
      <c r="K48" s="34">
        <f t="shared" si="0"/>
        <v>0</v>
      </c>
      <c r="L48" s="34">
        <f t="shared" si="11"/>
        <v>0</v>
      </c>
      <c r="M48" s="522"/>
      <c r="N48" s="522">
        <v>0</v>
      </c>
      <c r="O48" s="522">
        <f t="shared" si="12"/>
        <v>0</v>
      </c>
      <c r="P48" s="57">
        <f t="shared" si="13"/>
        <v>0</v>
      </c>
      <c r="Q48" s="353"/>
      <c r="R48" s="65"/>
      <c r="S48" s="41"/>
      <c r="T48" s="355"/>
      <c r="U48" s="28"/>
      <c r="V48" s="48"/>
      <c r="W48" s="356"/>
      <c r="X48" s="71"/>
      <c r="Y48" s="37"/>
      <c r="Z48" s="156"/>
      <c r="AA48" s="77"/>
      <c r="AB48" s="77"/>
      <c r="AC48" s="77"/>
      <c r="AE48" s="231"/>
      <c r="AF48" s="77"/>
      <c r="AG48" s="77"/>
      <c r="AH48" s="34"/>
      <c r="AI48" s="34"/>
      <c r="AJ48" s="184"/>
      <c r="AK48" s="484"/>
      <c r="AL48" s="484"/>
      <c r="AM48" s="484"/>
    </row>
    <row r="49" spans="1:43">
      <c r="A49" s="33" t="s">
        <v>351</v>
      </c>
      <c r="B49" s="33" t="s">
        <v>1867</v>
      </c>
      <c r="C49" s="33" t="s">
        <v>1652</v>
      </c>
      <c r="D49" s="34">
        <v>144</v>
      </c>
      <c r="E49" s="34" t="s">
        <v>2</v>
      </c>
      <c r="F49" s="509"/>
      <c r="G49" s="509"/>
      <c r="H49" s="509"/>
      <c r="I49" s="34"/>
      <c r="J49" s="34"/>
      <c r="K49" s="34">
        <f t="shared" si="0"/>
        <v>0</v>
      </c>
      <c r="L49" s="34">
        <f t="shared" si="11"/>
        <v>0</v>
      </c>
      <c r="M49" s="522"/>
      <c r="N49" s="522">
        <v>0</v>
      </c>
      <c r="O49" s="522">
        <f t="shared" si="12"/>
        <v>0</v>
      </c>
      <c r="P49" s="57">
        <f t="shared" si="13"/>
        <v>0</v>
      </c>
      <c r="Q49" s="353"/>
      <c r="R49" s="65"/>
      <c r="S49" s="41"/>
      <c r="T49" s="355"/>
      <c r="U49" s="28"/>
      <c r="V49" s="48"/>
      <c r="W49" s="356"/>
      <c r="X49" s="71"/>
      <c r="Y49" s="37"/>
      <c r="Z49" s="156"/>
      <c r="AA49" s="77"/>
      <c r="AB49" s="77"/>
      <c r="AC49" s="77"/>
      <c r="AE49" s="231"/>
      <c r="AF49" s="77"/>
      <c r="AG49" s="77"/>
      <c r="AH49" s="34"/>
      <c r="AI49" s="34"/>
      <c r="AJ49" s="184"/>
      <c r="AK49" s="484"/>
      <c r="AL49" s="484"/>
      <c r="AM49" s="484"/>
    </row>
    <row r="50" spans="1:43">
      <c r="A50" s="33" t="s">
        <v>351</v>
      </c>
      <c r="B50" s="33" t="s">
        <v>1868</v>
      </c>
      <c r="C50" s="33" t="s">
        <v>1653</v>
      </c>
      <c r="D50" s="34">
        <v>120</v>
      </c>
      <c r="E50" s="34" t="s">
        <v>2</v>
      </c>
      <c r="F50" s="509"/>
      <c r="G50" s="509"/>
      <c r="H50" s="509"/>
      <c r="I50" s="34"/>
      <c r="J50" s="34"/>
      <c r="K50" s="34">
        <f t="shared" si="0"/>
        <v>0</v>
      </c>
      <c r="L50" s="34">
        <f t="shared" si="11"/>
        <v>0</v>
      </c>
      <c r="M50" s="522"/>
      <c r="N50" s="522">
        <v>0</v>
      </c>
      <c r="O50" s="522">
        <f t="shared" si="12"/>
        <v>0</v>
      </c>
      <c r="P50" s="57">
        <f t="shared" si="13"/>
        <v>0</v>
      </c>
      <c r="Q50" s="353"/>
      <c r="R50" s="65"/>
      <c r="S50" s="41"/>
      <c r="T50" s="355"/>
      <c r="U50" s="28"/>
      <c r="V50" s="48"/>
      <c r="W50" s="356"/>
      <c r="X50" s="71"/>
      <c r="Y50" s="37"/>
      <c r="Z50" s="156"/>
      <c r="AA50" s="77"/>
      <c r="AB50" s="77"/>
      <c r="AC50" s="77"/>
      <c r="AE50" s="231"/>
      <c r="AF50" s="77"/>
      <c r="AG50" s="77"/>
      <c r="AH50" s="34"/>
      <c r="AI50" s="34"/>
      <c r="AJ50" s="184"/>
      <c r="AK50" s="484"/>
      <c r="AL50" s="484"/>
      <c r="AM50" s="484"/>
    </row>
    <row r="51" spans="1:43">
      <c r="A51" s="33" t="s">
        <v>351</v>
      </c>
      <c r="B51" s="33" t="s">
        <v>1869</v>
      </c>
      <c r="C51" s="33" t="s">
        <v>1654</v>
      </c>
      <c r="D51" s="34">
        <v>48</v>
      </c>
      <c r="E51" s="34" t="s">
        <v>2</v>
      </c>
      <c r="F51" s="509"/>
      <c r="G51" s="509"/>
      <c r="H51" s="509"/>
      <c r="I51" s="34"/>
      <c r="J51" s="34"/>
      <c r="K51" s="34">
        <f t="shared" si="0"/>
        <v>0</v>
      </c>
      <c r="L51" s="34">
        <f t="shared" si="11"/>
        <v>0</v>
      </c>
      <c r="M51" s="522"/>
      <c r="N51" s="522">
        <v>0</v>
      </c>
      <c r="O51" s="522">
        <f t="shared" si="12"/>
        <v>0</v>
      </c>
      <c r="P51" s="57">
        <f t="shared" si="13"/>
        <v>0</v>
      </c>
      <c r="Q51" s="353"/>
      <c r="R51" s="65"/>
      <c r="S51" s="41"/>
      <c r="T51" s="355"/>
      <c r="U51" s="28"/>
      <c r="V51" s="48"/>
      <c r="W51" s="356"/>
      <c r="X51" s="71"/>
      <c r="Y51" s="37"/>
      <c r="Z51" s="156"/>
      <c r="AA51" s="77"/>
      <c r="AB51" s="77"/>
      <c r="AC51" s="77"/>
      <c r="AE51" s="231"/>
      <c r="AF51" s="77"/>
      <c r="AG51" s="77"/>
      <c r="AH51" s="34"/>
      <c r="AI51" s="34"/>
      <c r="AJ51" s="184"/>
      <c r="AK51" s="484"/>
      <c r="AL51" s="484"/>
      <c r="AM51" s="484"/>
    </row>
    <row r="52" spans="1:43">
      <c r="A52" s="33" t="s">
        <v>351</v>
      </c>
      <c r="B52" s="33" t="s">
        <v>1870</v>
      </c>
      <c r="C52" s="33" t="s">
        <v>1655</v>
      </c>
      <c r="D52" s="34">
        <v>48</v>
      </c>
      <c r="E52" s="34" t="s">
        <v>2</v>
      </c>
      <c r="F52" s="509"/>
      <c r="G52" s="509"/>
      <c r="H52" s="509"/>
      <c r="I52" s="34"/>
      <c r="J52" s="34"/>
      <c r="K52" s="34">
        <f t="shared" si="0"/>
        <v>0</v>
      </c>
      <c r="L52" s="34">
        <f t="shared" si="11"/>
        <v>0</v>
      </c>
      <c r="M52" s="522"/>
      <c r="N52" s="522">
        <v>0</v>
      </c>
      <c r="O52" s="522">
        <f t="shared" si="12"/>
        <v>0</v>
      </c>
      <c r="P52" s="57">
        <f t="shared" si="13"/>
        <v>0</v>
      </c>
      <c r="Q52" s="353"/>
      <c r="R52" s="65"/>
      <c r="S52" s="41"/>
      <c r="T52" s="355"/>
      <c r="U52" s="28"/>
      <c r="V52" s="48"/>
      <c r="W52" s="356"/>
      <c r="X52" s="71"/>
      <c r="Y52" s="37"/>
      <c r="Z52" s="156"/>
      <c r="AA52" s="77"/>
      <c r="AB52" s="77"/>
      <c r="AC52" s="77"/>
      <c r="AE52" s="231"/>
      <c r="AF52" s="77"/>
      <c r="AG52" s="77"/>
      <c r="AH52" s="34"/>
      <c r="AI52" s="34"/>
      <c r="AJ52" s="184"/>
      <c r="AK52" s="484"/>
      <c r="AL52" s="484"/>
      <c r="AM52" s="484"/>
    </row>
    <row r="53" spans="1:43">
      <c r="A53" s="33" t="s">
        <v>351</v>
      </c>
      <c r="B53" s="33" t="s">
        <v>1871</v>
      </c>
      <c r="C53" s="33" t="s">
        <v>1656</v>
      </c>
      <c r="D53" s="34">
        <v>48</v>
      </c>
      <c r="E53" s="34" t="s">
        <v>2</v>
      </c>
      <c r="F53" s="509"/>
      <c r="G53" s="509"/>
      <c r="H53" s="509"/>
      <c r="I53" s="34"/>
      <c r="J53" s="34"/>
      <c r="K53" s="34">
        <f t="shared" si="0"/>
        <v>0</v>
      </c>
      <c r="L53" s="34">
        <f t="shared" si="11"/>
        <v>0</v>
      </c>
      <c r="M53" s="522"/>
      <c r="N53" s="522">
        <v>0</v>
      </c>
      <c r="O53" s="522">
        <f t="shared" si="12"/>
        <v>0</v>
      </c>
      <c r="P53" s="57">
        <f t="shared" si="13"/>
        <v>0</v>
      </c>
      <c r="Q53" s="353"/>
      <c r="R53" s="65"/>
      <c r="S53" s="41"/>
      <c r="T53" s="355"/>
      <c r="U53" s="28"/>
      <c r="V53" s="48"/>
      <c r="W53" s="356"/>
      <c r="X53" s="71"/>
      <c r="Y53" s="37"/>
      <c r="Z53" s="156"/>
      <c r="AA53" s="77"/>
      <c r="AB53" s="77"/>
      <c r="AC53" s="77"/>
      <c r="AE53" s="231"/>
      <c r="AF53" s="77"/>
      <c r="AG53" s="77"/>
      <c r="AH53" s="34"/>
      <c r="AI53" s="34"/>
      <c r="AJ53" s="184"/>
      <c r="AK53" s="484"/>
      <c r="AL53" s="484"/>
      <c r="AM53" s="484"/>
    </row>
    <row r="54" spans="1:43">
      <c r="A54" s="33" t="s">
        <v>351</v>
      </c>
      <c r="B54" s="33" t="s">
        <v>1872</v>
      </c>
      <c r="C54" s="33" t="s">
        <v>1657</v>
      </c>
      <c r="D54" s="34">
        <v>72</v>
      </c>
      <c r="E54" s="34" t="s">
        <v>2</v>
      </c>
      <c r="F54" s="509"/>
      <c r="G54" s="509"/>
      <c r="H54" s="509"/>
      <c r="I54" s="34"/>
      <c r="J54" s="34"/>
      <c r="K54" s="34">
        <f t="shared" si="0"/>
        <v>0</v>
      </c>
      <c r="L54" s="34">
        <f t="shared" si="11"/>
        <v>0</v>
      </c>
      <c r="M54" s="522"/>
      <c r="N54" s="522">
        <v>0</v>
      </c>
      <c r="O54" s="522">
        <f t="shared" si="12"/>
        <v>0</v>
      </c>
      <c r="P54" s="57">
        <f t="shared" si="13"/>
        <v>0</v>
      </c>
      <c r="Q54" s="353"/>
      <c r="R54" s="65"/>
      <c r="S54" s="41"/>
      <c r="T54" s="355"/>
      <c r="U54" s="28"/>
      <c r="V54" s="48"/>
      <c r="W54" s="356"/>
      <c r="X54" s="71"/>
      <c r="Y54" s="37"/>
      <c r="Z54" s="156"/>
      <c r="AA54" s="77"/>
      <c r="AB54" s="77"/>
      <c r="AC54" s="77"/>
      <c r="AE54" s="231"/>
      <c r="AF54" s="77"/>
      <c r="AG54" s="77"/>
      <c r="AH54" s="34"/>
      <c r="AI54" s="34"/>
      <c r="AJ54" s="184"/>
      <c r="AK54" s="484"/>
      <c r="AL54" s="484"/>
      <c r="AM54" s="484"/>
    </row>
    <row r="55" spans="1:43">
      <c r="A55" s="33" t="s">
        <v>351</v>
      </c>
      <c r="B55" s="33" t="s">
        <v>1873</v>
      </c>
      <c r="C55" s="33" t="s">
        <v>1658</v>
      </c>
      <c r="D55" s="34">
        <v>72</v>
      </c>
      <c r="E55" s="34" t="s">
        <v>2</v>
      </c>
      <c r="F55" s="510">
        <v>58</v>
      </c>
      <c r="G55" s="510">
        <v>42</v>
      </c>
      <c r="H55" s="510">
        <v>35</v>
      </c>
      <c r="I55" s="34"/>
      <c r="J55" s="34"/>
      <c r="K55" s="34">
        <f t="shared" si="0"/>
        <v>3.9080213903743317</v>
      </c>
      <c r="L55" s="34">
        <f t="shared" si="11"/>
        <v>5.4321497326203207</v>
      </c>
      <c r="M55" s="522"/>
      <c r="N55" s="522">
        <v>0</v>
      </c>
      <c r="O55" s="522">
        <f t="shared" si="12"/>
        <v>0</v>
      </c>
      <c r="P55" s="57">
        <f t="shared" si="13"/>
        <v>0</v>
      </c>
      <c r="Q55" s="353"/>
      <c r="R55" s="65"/>
      <c r="S55" s="41"/>
      <c r="T55" s="355"/>
      <c r="U55" s="28"/>
      <c r="V55" s="48"/>
      <c r="W55" s="356"/>
      <c r="X55" s="71"/>
      <c r="Y55" s="37"/>
      <c r="Z55" s="156"/>
      <c r="AA55" s="77"/>
      <c r="AB55" s="77"/>
      <c r="AC55" s="77"/>
      <c r="AE55" s="231"/>
      <c r="AF55" s="77"/>
      <c r="AG55" s="77"/>
      <c r="AH55" s="34"/>
      <c r="AI55" s="34"/>
      <c r="AJ55" s="184"/>
      <c r="AK55" s="484"/>
      <c r="AL55" s="484"/>
      <c r="AM55" s="484"/>
    </row>
    <row r="56" spans="1:43">
      <c r="A56" s="33" t="s">
        <v>351</v>
      </c>
      <c r="B56" s="33" t="s">
        <v>1874</v>
      </c>
      <c r="C56" s="33" t="s">
        <v>1659</v>
      </c>
      <c r="D56" s="34">
        <v>24</v>
      </c>
      <c r="E56" s="34" t="s">
        <v>2</v>
      </c>
      <c r="F56" s="510">
        <v>47</v>
      </c>
      <c r="G56" s="510">
        <v>30</v>
      </c>
      <c r="H56" s="510">
        <v>25</v>
      </c>
      <c r="I56" s="34"/>
      <c r="J56" s="34"/>
      <c r="K56" s="34">
        <f t="shared" si="0"/>
        <v>1.615737203972498</v>
      </c>
      <c r="L56" s="34">
        <f t="shared" si="11"/>
        <v>2.245874713521772</v>
      </c>
      <c r="M56" s="522">
        <v>0.155</v>
      </c>
      <c r="N56" s="522">
        <v>0.21544999999999997</v>
      </c>
      <c r="O56" s="522">
        <f t="shared" si="12"/>
        <v>0.21544999999999997</v>
      </c>
      <c r="P56" s="57">
        <f t="shared" si="13"/>
        <v>0.29947549999999995</v>
      </c>
      <c r="Q56" s="353"/>
      <c r="R56" s="65"/>
      <c r="S56" s="41"/>
      <c r="T56" s="355"/>
      <c r="U56" s="28"/>
      <c r="V56" s="48"/>
      <c r="W56" s="356"/>
      <c r="X56" s="71"/>
      <c r="Y56" s="37"/>
      <c r="Z56" s="156"/>
      <c r="AA56" s="77"/>
      <c r="AB56" s="77"/>
      <c r="AC56" s="77"/>
      <c r="AE56" s="231"/>
      <c r="AF56" s="77"/>
      <c r="AG56" s="77"/>
      <c r="AH56" s="34"/>
      <c r="AI56" s="34"/>
      <c r="AJ56" s="184"/>
      <c r="AK56" s="484"/>
      <c r="AL56" s="484"/>
      <c r="AM56" s="484"/>
    </row>
    <row r="57" spans="1:43">
      <c r="A57" s="33" t="s">
        <v>351</v>
      </c>
      <c r="B57" s="33" t="s">
        <v>1875</v>
      </c>
      <c r="C57" s="33" t="s">
        <v>1660</v>
      </c>
      <c r="D57" s="34">
        <v>24</v>
      </c>
      <c r="E57" s="34" t="s">
        <v>2</v>
      </c>
      <c r="F57" s="510">
        <v>33</v>
      </c>
      <c r="G57" s="510">
        <v>14</v>
      </c>
      <c r="H57" s="510">
        <v>13</v>
      </c>
      <c r="I57" s="34"/>
      <c r="J57" s="34"/>
      <c r="K57" s="34">
        <f t="shared" si="0"/>
        <v>0.2752941176470588</v>
      </c>
      <c r="L57" s="34">
        <f t="shared" si="11"/>
        <v>0.38265882352941172</v>
      </c>
      <c r="M57" s="522">
        <v>0.2334</v>
      </c>
      <c r="N57" s="522">
        <v>0.32442599999999999</v>
      </c>
      <c r="O57" s="522">
        <f t="shared" si="12"/>
        <v>0.32442599999999999</v>
      </c>
      <c r="P57" s="57">
        <f t="shared" si="13"/>
        <v>0.45095213999999995</v>
      </c>
      <c r="Q57" s="353"/>
      <c r="R57" s="65"/>
      <c r="S57" s="41"/>
      <c r="T57" s="355"/>
      <c r="U57" s="28"/>
      <c r="V57" s="48"/>
      <c r="W57" s="356"/>
      <c r="X57" s="71"/>
      <c r="Y57" s="37"/>
      <c r="Z57" s="156"/>
      <c r="AA57" s="77"/>
      <c r="AB57" s="77"/>
      <c r="AC57" s="77"/>
      <c r="AE57" s="231"/>
      <c r="AF57" s="77"/>
      <c r="AG57" s="77"/>
      <c r="AH57" s="34"/>
      <c r="AI57" s="34"/>
      <c r="AJ57" s="184"/>
      <c r="AK57" s="484"/>
      <c r="AL57" s="484"/>
      <c r="AM57" s="484"/>
    </row>
    <row r="58" spans="1:43">
      <c r="A58" s="33" t="s">
        <v>351</v>
      </c>
      <c r="B58" s="33" t="s">
        <v>1876</v>
      </c>
      <c r="C58" s="33" t="s">
        <v>1661</v>
      </c>
      <c r="D58" s="34">
        <v>24</v>
      </c>
      <c r="E58" s="34" t="s">
        <v>2</v>
      </c>
      <c r="F58" s="510">
        <v>38</v>
      </c>
      <c r="G58" s="510">
        <v>27</v>
      </c>
      <c r="H58" s="510">
        <v>28</v>
      </c>
      <c r="I58" s="34"/>
      <c r="J58" s="34"/>
      <c r="K58" s="34">
        <f t="shared" si="0"/>
        <v>1.3167914438502675</v>
      </c>
      <c r="L58" s="34">
        <f t="shared" si="11"/>
        <v>1.8303401069518717</v>
      </c>
      <c r="M58" s="522">
        <v>0.219</v>
      </c>
      <c r="N58" s="522">
        <v>0.30440999999999996</v>
      </c>
      <c r="O58" s="522">
        <f t="shared" si="12"/>
        <v>0.30440999999999996</v>
      </c>
      <c r="P58" s="57">
        <f t="shared" si="13"/>
        <v>0.42312989999999989</v>
      </c>
      <c r="Q58" s="353"/>
      <c r="R58" s="65"/>
      <c r="S58" s="41"/>
      <c r="T58" s="355"/>
      <c r="U58" s="28"/>
      <c r="V58" s="48"/>
      <c r="W58" s="356"/>
      <c r="X58" s="71"/>
      <c r="Y58" s="37"/>
      <c r="Z58" s="156"/>
      <c r="AA58" s="77"/>
      <c r="AB58" s="77"/>
      <c r="AC58" s="77"/>
      <c r="AE58" s="231"/>
      <c r="AF58" s="77"/>
      <c r="AG58" s="77"/>
      <c r="AH58" s="34"/>
      <c r="AI58" s="34"/>
      <c r="AJ58" s="184"/>
      <c r="AK58" s="484"/>
      <c r="AL58" s="484"/>
      <c r="AM58" s="484"/>
    </row>
    <row r="59" spans="1:43">
      <c r="A59" s="33" t="s">
        <v>351</v>
      </c>
      <c r="B59" s="33" t="s">
        <v>1877</v>
      </c>
      <c r="C59" s="33" t="s">
        <v>1662</v>
      </c>
      <c r="D59" s="34">
        <v>72</v>
      </c>
      <c r="E59" s="34" t="s">
        <v>2</v>
      </c>
      <c r="F59" s="510">
        <v>38</v>
      </c>
      <c r="G59" s="510">
        <v>27</v>
      </c>
      <c r="H59" s="510">
        <v>28</v>
      </c>
      <c r="I59" s="34"/>
      <c r="J59" s="34"/>
      <c r="K59" s="34">
        <f t="shared" si="0"/>
        <v>1.3167914438502675</v>
      </c>
      <c r="L59" s="34">
        <f t="shared" si="11"/>
        <v>1.8303401069518717</v>
      </c>
      <c r="M59" s="522">
        <v>0.219</v>
      </c>
      <c r="N59" s="522">
        <v>0.30440999999999996</v>
      </c>
      <c r="O59" s="522">
        <f t="shared" si="12"/>
        <v>0.30440999999999996</v>
      </c>
      <c r="P59" s="57">
        <f t="shared" si="13"/>
        <v>0.42312989999999989</v>
      </c>
      <c r="Q59" s="353"/>
      <c r="R59" s="65"/>
      <c r="S59" s="41"/>
      <c r="T59" s="355"/>
      <c r="U59" s="28"/>
      <c r="V59" s="48"/>
      <c r="W59" s="356"/>
      <c r="X59" s="71"/>
      <c r="Y59" s="37"/>
      <c r="Z59" s="156"/>
      <c r="AA59" s="77"/>
      <c r="AB59" s="77"/>
      <c r="AC59" s="77"/>
      <c r="AE59" s="231"/>
      <c r="AF59" s="77"/>
      <c r="AG59" s="77"/>
      <c r="AH59" s="34"/>
      <c r="AI59" s="34"/>
      <c r="AJ59" s="184"/>
      <c r="AK59" s="484"/>
      <c r="AL59" s="484"/>
      <c r="AM59" s="484"/>
    </row>
    <row r="60" spans="1:43">
      <c r="A60" s="33" t="s">
        <v>351</v>
      </c>
      <c r="B60" s="33" t="s">
        <v>1878</v>
      </c>
      <c r="C60" s="33" t="s">
        <v>1663</v>
      </c>
      <c r="D60" s="34">
        <v>48</v>
      </c>
      <c r="E60" s="34" t="s">
        <v>2</v>
      </c>
      <c r="F60" s="509"/>
      <c r="G60" s="509"/>
      <c r="H60" s="509"/>
      <c r="I60" s="34"/>
      <c r="J60" s="34"/>
      <c r="K60" s="34">
        <f t="shared" si="0"/>
        <v>0</v>
      </c>
      <c r="L60" s="34">
        <f t="shared" si="11"/>
        <v>0</v>
      </c>
      <c r="M60" s="522">
        <v>0.24060000000000001</v>
      </c>
      <c r="N60" s="522">
        <v>0.33443400000000001</v>
      </c>
      <c r="O60" s="522">
        <f t="shared" si="12"/>
        <v>0.33443400000000001</v>
      </c>
      <c r="P60" s="57">
        <f t="shared" si="13"/>
        <v>0.46486326</v>
      </c>
      <c r="Q60" s="353"/>
      <c r="R60" s="65"/>
      <c r="S60" s="41"/>
      <c r="T60" s="355"/>
      <c r="U60" s="28"/>
      <c r="V60" s="48"/>
      <c r="W60" s="356"/>
      <c r="X60" s="71"/>
      <c r="Y60" s="37"/>
      <c r="Z60" s="156"/>
      <c r="AA60" s="77"/>
      <c r="AB60" s="77"/>
      <c r="AC60" s="77"/>
      <c r="AE60" s="231"/>
      <c r="AF60" s="77"/>
      <c r="AG60" s="77"/>
      <c r="AH60" s="34"/>
      <c r="AI60" s="34"/>
      <c r="AJ60" s="184"/>
      <c r="AK60" s="484"/>
      <c r="AL60" s="484"/>
      <c r="AM60" s="484"/>
    </row>
    <row r="61" spans="1:43">
      <c r="A61" s="33" t="s">
        <v>351</v>
      </c>
      <c r="B61" s="33" t="s">
        <v>1879</v>
      </c>
      <c r="C61" s="33" t="s">
        <v>1664</v>
      </c>
      <c r="D61" s="34">
        <v>24</v>
      </c>
      <c r="E61" s="34" t="s">
        <v>2</v>
      </c>
      <c r="F61" s="509"/>
      <c r="G61" s="509"/>
      <c r="H61" s="509"/>
      <c r="I61" s="34"/>
      <c r="J61" s="34"/>
      <c r="K61" s="34">
        <f t="shared" si="0"/>
        <v>0</v>
      </c>
      <c r="L61" s="34">
        <f t="shared" si="11"/>
        <v>0</v>
      </c>
      <c r="M61" s="522">
        <v>0.37009999999999998</v>
      </c>
      <c r="N61" s="522">
        <v>0.51443899999999998</v>
      </c>
      <c r="O61" s="522">
        <f t="shared" si="12"/>
        <v>0.51443899999999998</v>
      </c>
      <c r="P61" s="57">
        <f t="shared" si="13"/>
        <v>0.71507020999999993</v>
      </c>
      <c r="Q61" s="353"/>
      <c r="R61" s="65"/>
      <c r="S61" s="41"/>
      <c r="T61" s="355"/>
      <c r="U61" s="28"/>
      <c r="V61" s="48"/>
      <c r="W61" s="356"/>
      <c r="X61" s="71"/>
      <c r="Y61" s="37"/>
      <c r="Z61" s="156"/>
      <c r="AA61" s="77"/>
      <c r="AB61" s="77"/>
      <c r="AC61" s="77"/>
      <c r="AE61" s="231"/>
      <c r="AF61" s="77"/>
      <c r="AG61" s="77"/>
      <c r="AH61" s="34"/>
      <c r="AI61" s="34"/>
      <c r="AJ61" s="184"/>
      <c r="AK61" s="484"/>
      <c r="AL61" s="484"/>
      <c r="AM61" s="484"/>
    </row>
    <row r="62" spans="1:43">
      <c r="A62" s="33" t="s">
        <v>351</v>
      </c>
      <c r="B62" s="33" t="s">
        <v>1880</v>
      </c>
      <c r="C62" s="33" t="s">
        <v>1665</v>
      </c>
      <c r="D62" s="34">
        <v>24</v>
      </c>
      <c r="E62" s="34" t="s">
        <v>2</v>
      </c>
      <c r="F62" s="510">
        <v>51</v>
      </c>
      <c r="G62" s="510">
        <v>44</v>
      </c>
      <c r="H62" s="510">
        <v>24</v>
      </c>
      <c r="I62" s="34"/>
      <c r="J62" s="34"/>
      <c r="K62" s="34">
        <f t="shared" si="0"/>
        <v>2.4685714285714284</v>
      </c>
      <c r="L62" s="34">
        <f t="shared" si="11"/>
        <v>3.4313142857142851</v>
      </c>
      <c r="M62" s="522">
        <v>0.91369999999999996</v>
      </c>
      <c r="N62" s="522">
        <v>1.2700429999999998</v>
      </c>
      <c r="O62" s="522">
        <f t="shared" si="12"/>
        <v>1.2700429999999998</v>
      </c>
      <c r="P62" s="57">
        <f t="shared" si="13"/>
        <v>1.7653597699999997</v>
      </c>
      <c r="Q62" s="353"/>
      <c r="R62" s="65"/>
      <c r="S62" s="41"/>
      <c r="T62" s="355"/>
      <c r="U62" s="28"/>
      <c r="V62" s="48"/>
      <c r="W62" s="356"/>
      <c r="X62" s="71"/>
      <c r="Y62" s="37"/>
      <c r="Z62" s="156"/>
      <c r="AA62" s="77"/>
      <c r="AB62" s="77"/>
      <c r="AC62" s="77"/>
      <c r="AE62" s="231"/>
      <c r="AF62" s="77"/>
      <c r="AG62" s="77"/>
      <c r="AH62" s="34"/>
      <c r="AI62" s="34"/>
      <c r="AJ62" s="184"/>
      <c r="AK62" s="484"/>
      <c r="AL62" s="484"/>
      <c r="AM62" s="484"/>
    </row>
    <row r="63" spans="1:43">
      <c r="A63" s="33" t="s">
        <v>926</v>
      </c>
      <c r="B63" s="33" t="s">
        <v>1889</v>
      </c>
      <c r="C63" s="86" t="s">
        <v>1329</v>
      </c>
      <c r="D63" s="34">
        <v>200</v>
      </c>
      <c r="E63" s="34" t="s">
        <v>2</v>
      </c>
      <c r="F63" s="510">
        <v>45</v>
      </c>
      <c r="G63" s="510">
        <v>39</v>
      </c>
      <c r="H63" s="510">
        <v>21</v>
      </c>
      <c r="I63" s="181"/>
      <c r="J63" s="181"/>
      <c r="K63" s="34">
        <f t="shared" si="0"/>
        <v>1.6893048128342245</v>
      </c>
      <c r="L63" s="34">
        <f t="shared" si="11"/>
        <v>2.3481336898395719</v>
      </c>
      <c r="M63" s="522">
        <v>0.77470000000000006</v>
      </c>
      <c r="N63" s="522">
        <v>1.0768329999999999</v>
      </c>
      <c r="O63" s="522">
        <f t="shared" si="12"/>
        <v>1.0768329999999999</v>
      </c>
      <c r="P63" s="57">
        <f t="shared" si="13"/>
        <v>1.4967978699999998</v>
      </c>
      <c r="Q63" s="42">
        <f>+R63/D63</f>
        <v>0.19</v>
      </c>
      <c r="R63" s="27">
        <v>38</v>
      </c>
      <c r="S63" s="41">
        <v>0.3</v>
      </c>
      <c r="T63" s="47"/>
      <c r="U63" s="28"/>
      <c r="V63" s="48"/>
      <c r="W63" s="71"/>
      <c r="X63" s="71"/>
      <c r="Y63" s="37"/>
      <c r="Z63" s="77"/>
      <c r="AA63" s="77"/>
      <c r="AB63" s="77"/>
      <c r="AC63" s="77"/>
      <c r="AD63" s="10"/>
      <c r="AE63" s="10"/>
      <c r="AF63" s="77"/>
      <c r="AG63" s="77"/>
      <c r="AH63" s="34"/>
      <c r="AI63" s="34"/>
      <c r="AJ63" s="184"/>
      <c r="AK63" s="187" t="s">
        <v>145</v>
      </c>
      <c r="AL63" s="183" t="e">
        <f>VLOOKUP(AK63,B:O,6,FALSE)</f>
        <v>#N/A</v>
      </c>
      <c r="AM63" s="183" t="e">
        <f>AL63-O63</f>
        <v>#N/A</v>
      </c>
      <c r="AN63" s="10"/>
      <c r="AO63" s="10"/>
      <c r="AP63" s="187"/>
      <c r="AQ63" s="10"/>
    </row>
    <row r="64" spans="1:43">
      <c r="A64" s="33" t="s">
        <v>926</v>
      </c>
      <c r="B64" s="33" t="s">
        <v>1890</v>
      </c>
      <c r="C64" s="33" t="s">
        <v>1330</v>
      </c>
      <c r="D64" s="34">
        <v>250</v>
      </c>
      <c r="E64" s="34" t="s">
        <v>2</v>
      </c>
      <c r="F64" s="510">
        <v>39</v>
      </c>
      <c r="G64" s="510">
        <v>28</v>
      </c>
      <c r="H64" s="510">
        <v>24</v>
      </c>
      <c r="I64" s="34">
        <v>24</v>
      </c>
      <c r="J64" s="34"/>
      <c r="K64" s="34">
        <f t="shared" si="0"/>
        <v>1.2012834224598929</v>
      </c>
      <c r="L64" s="34">
        <f t="shared" si="11"/>
        <v>1.669783957219251</v>
      </c>
      <c r="M64" s="522">
        <v>0.91928999999999994</v>
      </c>
      <c r="N64" s="522">
        <v>1.2778130999999999</v>
      </c>
      <c r="O64" s="522">
        <f t="shared" si="12"/>
        <v>1.2778130999999999</v>
      </c>
      <c r="P64" s="57">
        <f t="shared" si="13"/>
        <v>1.7761602089999997</v>
      </c>
      <c r="Q64" s="42">
        <f>O64/(1-0.3)</f>
        <v>1.8254472857142858</v>
      </c>
      <c r="R64" s="27">
        <f t="shared" ref="R64:R69" si="14">D64*Q64</f>
        <v>456.36182142857143</v>
      </c>
      <c r="S64" s="41">
        <f t="shared" ref="S64:S70" si="15">(Q64-O64)/Q64</f>
        <v>0.3000000000000001</v>
      </c>
      <c r="T64" s="47"/>
      <c r="U64" s="28"/>
      <c r="V64" s="48"/>
      <c r="W64" s="71"/>
      <c r="X64" s="71"/>
      <c r="Y64" s="37"/>
      <c r="Z64" s="77"/>
      <c r="AA64" s="77"/>
      <c r="AB64" s="77"/>
      <c r="AC64" s="77"/>
      <c r="AF64" s="221" t="s">
        <v>1167</v>
      </c>
      <c r="AG64" s="77"/>
      <c r="AH64" s="145"/>
      <c r="AI64" s="77"/>
      <c r="AJ64" s="183"/>
      <c r="AK64" s="10" t="s">
        <v>94</v>
      </c>
      <c r="AL64" s="183" t="e">
        <f>VLOOKUP(AK64,B:O,6,FALSE)</f>
        <v>#N/A</v>
      </c>
      <c r="AM64" s="183" t="e">
        <f>AL64-O64</f>
        <v>#N/A</v>
      </c>
    </row>
    <row r="65" spans="1:43">
      <c r="A65" s="33" t="s">
        <v>367</v>
      </c>
      <c r="B65" s="33" t="s">
        <v>1743</v>
      </c>
      <c r="C65" s="33" t="s">
        <v>1215</v>
      </c>
      <c r="D65" s="34">
        <v>40</v>
      </c>
      <c r="E65" s="34" t="s">
        <v>2</v>
      </c>
      <c r="F65" s="510">
        <v>37</v>
      </c>
      <c r="G65" s="510">
        <v>25</v>
      </c>
      <c r="H65" s="510">
        <v>30</v>
      </c>
      <c r="I65" s="34" t="e">
        <f>VLOOKUP(B65,Pallets!B:F,5,FALSE)</f>
        <v>#N/A</v>
      </c>
      <c r="J65" s="34"/>
      <c r="K65" s="34">
        <f t="shared" si="0"/>
        <v>1.2719633307868603</v>
      </c>
      <c r="L65" s="34">
        <f t="shared" si="11"/>
        <v>1.7680290297937358</v>
      </c>
      <c r="M65" s="522">
        <v>1.1521999999999999</v>
      </c>
      <c r="N65" s="522">
        <v>1.6015579999999998</v>
      </c>
      <c r="O65" s="522">
        <f t="shared" si="12"/>
        <v>1.6015579999999998</v>
      </c>
      <c r="P65" s="57">
        <f t="shared" si="13"/>
        <v>2.2261656199999997</v>
      </c>
      <c r="Q65" s="42">
        <f>O65/(1-0.4)</f>
        <v>2.6692633333333333</v>
      </c>
      <c r="R65" s="27">
        <f t="shared" si="14"/>
        <v>106.77053333333333</v>
      </c>
      <c r="S65" s="41">
        <f t="shared" si="15"/>
        <v>0.40000000000000008</v>
      </c>
      <c r="T65" s="47">
        <f>O65/(1-0.2)</f>
        <v>2.0019474999999995</v>
      </c>
      <c r="U65" s="28">
        <f>D65*T65</f>
        <v>80.077899999999985</v>
      </c>
      <c r="V65" s="48">
        <f>(T65-O65)/T65</f>
        <v>0.1999999999999999</v>
      </c>
      <c r="W65" s="71">
        <f>O65/(1-0.3)</f>
        <v>2.2879399999999999</v>
      </c>
      <c r="X65" s="71">
        <f>D65*W65</f>
        <v>91.517599999999987</v>
      </c>
      <c r="Y65" s="37">
        <f>(W65-O65)/W65</f>
        <v>0.30000000000000004</v>
      </c>
      <c r="Z65" s="77"/>
      <c r="AA65" s="77"/>
      <c r="AB65" s="77"/>
      <c r="AC65" s="77"/>
      <c r="AF65" s="77"/>
      <c r="AG65" s="77"/>
      <c r="AH65" s="145"/>
      <c r="AI65" s="77"/>
      <c r="AJ65" s="183"/>
    </row>
    <row r="66" spans="1:43">
      <c r="A66" s="33" t="s">
        <v>367</v>
      </c>
      <c r="B66" s="33" t="s">
        <v>1742</v>
      </c>
      <c r="C66" s="33" t="s">
        <v>1214</v>
      </c>
      <c r="D66" s="34">
        <v>80</v>
      </c>
      <c r="E66" s="34" t="s">
        <v>2</v>
      </c>
      <c r="F66" s="510">
        <v>45</v>
      </c>
      <c r="G66" s="510">
        <v>39</v>
      </c>
      <c r="H66" s="510">
        <v>21</v>
      </c>
      <c r="I66" s="34" t="e">
        <f>VLOOKUP(B66,Pallets!B:F,5,FALSE)</f>
        <v>#N/A</v>
      </c>
      <c r="J66" s="34"/>
      <c r="K66" s="34">
        <f t="shared" si="0"/>
        <v>1.6893048128342245</v>
      </c>
      <c r="L66" s="34">
        <f t="shared" si="11"/>
        <v>2.3481336898395719</v>
      </c>
      <c r="M66" s="522">
        <v>1.3883000000000001</v>
      </c>
      <c r="N66" s="522">
        <v>1.929737</v>
      </c>
      <c r="O66" s="522">
        <f t="shared" si="12"/>
        <v>1.929737</v>
      </c>
      <c r="P66" s="57">
        <f t="shared" si="13"/>
        <v>2.68233443</v>
      </c>
      <c r="Q66" s="42">
        <f>O66/(1-0.4)</f>
        <v>3.2162283333333335</v>
      </c>
      <c r="R66" s="27">
        <f t="shared" si="14"/>
        <v>257.29826666666668</v>
      </c>
      <c r="S66" s="41">
        <f t="shared" si="15"/>
        <v>0.4</v>
      </c>
      <c r="T66" s="47">
        <f>O66/(1-0.2)</f>
        <v>2.4121712500000001</v>
      </c>
      <c r="U66" s="28">
        <f>D66*T66</f>
        <v>192.97370000000001</v>
      </c>
      <c r="V66" s="48">
        <f>(T66-O66)/T66</f>
        <v>0.2</v>
      </c>
      <c r="W66" s="71">
        <f>O66/(1-0.3)</f>
        <v>2.756767142857143</v>
      </c>
      <c r="X66" s="71">
        <f>D66*W66</f>
        <v>220.54137142857144</v>
      </c>
      <c r="Y66" s="37">
        <f>(W66-O66)/W66</f>
        <v>0.3</v>
      </c>
      <c r="Z66" s="77"/>
      <c r="AA66" s="77"/>
      <c r="AB66" s="77"/>
      <c r="AC66" s="77"/>
      <c r="AF66" s="77"/>
      <c r="AG66" s="77"/>
      <c r="AH66" s="145"/>
      <c r="AI66" s="77"/>
      <c r="AJ66" s="183"/>
    </row>
    <row r="67" spans="1:43">
      <c r="A67" s="33" t="s">
        <v>367</v>
      </c>
      <c r="B67" s="33" t="s">
        <v>1741</v>
      </c>
      <c r="C67" s="33" t="s">
        <v>1213</v>
      </c>
      <c r="D67" s="34">
        <v>120</v>
      </c>
      <c r="E67" s="34" t="s">
        <v>2</v>
      </c>
      <c r="F67" s="510">
        <v>45</v>
      </c>
      <c r="G67" s="510">
        <v>39</v>
      </c>
      <c r="H67" s="510">
        <v>21</v>
      </c>
      <c r="I67" s="34" t="e">
        <f>VLOOKUP(B67,Pallets!B:F,5,FALSE)</f>
        <v>#N/A</v>
      </c>
      <c r="J67" s="34"/>
      <c r="K67" s="34">
        <f t="shared" ref="K67:K130" si="16" xml:space="preserve"> IFERROR(1200 * (F67*G67*H67)/26180000,"Not available")</f>
        <v>1.6893048128342245</v>
      </c>
      <c r="L67" s="34">
        <f t="shared" ref="L67:L98" si="17">IFERROR(K67*1.39, "Not available")</f>
        <v>2.3481336898395719</v>
      </c>
      <c r="M67" s="522">
        <v>1.6746000000000001</v>
      </c>
      <c r="N67" s="522">
        <v>2.3276940000000002</v>
      </c>
      <c r="O67" s="522">
        <f t="shared" ref="O67:O98" si="18">M67*1.39</f>
        <v>2.3276940000000002</v>
      </c>
      <c r="P67" s="57">
        <f t="shared" ref="P67:P98" si="19">N67*1.39</f>
        <v>3.2354946600000001</v>
      </c>
      <c r="Q67" s="42">
        <f>O67/(1-0.4)</f>
        <v>3.8794900000000005</v>
      </c>
      <c r="R67" s="27">
        <f t="shared" si="14"/>
        <v>465.53880000000004</v>
      </c>
      <c r="S67" s="41">
        <f t="shared" si="15"/>
        <v>0.4</v>
      </c>
      <c r="T67" s="47">
        <f>O67/(1-0.2)</f>
        <v>2.9096175</v>
      </c>
      <c r="U67" s="28">
        <f>D67*T67</f>
        <v>349.15409999999997</v>
      </c>
      <c r="V67" s="48">
        <f>(T67-O67)/T67</f>
        <v>0.19999999999999993</v>
      </c>
      <c r="W67" s="71">
        <f>O67/(1-0.3)</f>
        <v>3.3252771428571433</v>
      </c>
      <c r="X67" s="71">
        <f>D67*W67</f>
        <v>399.03325714285717</v>
      </c>
      <c r="Y67" s="37">
        <f>(W67-O67)/W67</f>
        <v>0.30000000000000004</v>
      </c>
      <c r="Z67" s="77"/>
      <c r="AA67" s="77"/>
      <c r="AB67" s="77">
        <v>2.1</v>
      </c>
      <c r="AC67" s="77"/>
      <c r="AD67" s="10"/>
      <c r="AE67" s="10"/>
      <c r="AF67" s="77"/>
      <c r="AG67" s="77"/>
      <c r="AH67" s="145"/>
      <c r="AI67" s="77"/>
      <c r="AJ67" s="183"/>
      <c r="AK67" s="10"/>
      <c r="AL67" s="10"/>
      <c r="AM67" s="10"/>
      <c r="AN67" s="10"/>
      <c r="AO67" s="10"/>
      <c r="AP67" s="10"/>
      <c r="AQ67" s="10"/>
    </row>
    <row r="68" spans="1:43">
      <c r="A68" s="33" t="s">
        <v>367</v>
      </c>
      <c r="B68" s="33" t="s">
        <v>1891</v>
      </c>
      <c r="C68" s="33" t="s">
        <v>1668</v>
      </c>
      <c r="D68" s="34">
        <v>40</v>
      </c>
      <c r="E68" s="34" t="s">
        <v>2</v>
      </c>
      <c r="F68" s="510">
        <v>52</v>
      </c>
      <c r="G68" s="510">
        <v>39</v>
      </c>
      <c r="H68" s="510">
        <v>27</v>
      </c>
      <c r="I68" s="34"/>
      <c r="J68" s="34"/>
      <c r="K68" s="34">
        <f t="shared" si="16"/>
        <v>2.5098242933537049</v>
      </c>
      <c r="L68" s="34">
        <f t="shared" si="17"/>
        <v>3.4886557677616494</v>
      </c>
      <c r="M68" s="522">
        <v>0.65790000000000004</v>
      </c>
      <c r="N68" s="522">
        <v>0.91448099999999999</v>
      </c>
      <c r="O68" s="522">
        <f t="shared" si="18"/>
        <v>0.91448099999999999</v>
      </c>
      <c r="P68" s="57">
        <f t="shared" si="19"/>
        <v>1.27112859</v>
      </c>
      <c r="Q68" s="42">
        <f>O68/(1-0.3)</f>
        <v>1.3064014285714287</v>
      </c>
      <c r="R68" s="27">
        <f t="shared" si="14"/>
        <v>52.256057142857145</v>
      </c>
      <c r="S68" s="41">
        <f t="shared" si="15"/>
        <v>0.3000000000000001</v>
      </c>
      <c r="T68" s="47"/>
      <c r="U68" s="28"/>
      <c r="V68" s="48"/>
      <c r="W68" s="71"/>
      <c r="X68" s="71"/>
      <c r="Y68" s="37"/>
      <c r="Z68" s="77"/>
      <c r="AA68" s="77"/>
      <c r="AB68" s="77"/>
      <c r="AC68" s="77"/>
      <c r="AF68" s="77"/>
      <c r="AG68" s="77"/>
      <c r="AH68" s="145"/>
      <c r="AI68" s="77"/>
      <c r="AJ68" s="183"/>
    </row>
    <row r="69" spans="1:43">
      <c r="A69" s="33" t="s">
        <v>926</v>
      </c>
      <c r="B69" s="33" t="s">
        <v>1891</v>
      </c>
      <c r="C69" s="33" t="s">
        <v>1668</v>
      </c>
      <c r="D69" s="34">
        <v>40</v>
      </c>
      <c r="E69" s="34" t="s">
        <v>2</v>
      </c>
      <c r="F69" s="509"/>
      <c r="G69" s="509"/>
      <c r="H69" s="509"/>
      <c r="I69" s="34"/>
      <c r="J69" s="34"/>
      <c r="K69" s="34">
        <f t="shared" si="16"/>
        <v>0</v>
      </c>
      <c r="L69" s="34">
        <f t="shared" si="17"/>
        <v>0</v>
      </c>
      <c r="M69" s="522">
        <v>0.24329999999999999</v>
      </c>
      <c r="N69" s="522">
        <v>0.33818699999999996</v>
      </c>
      <c r="O69" s="522">
        <f t="shared" si="18"/>
        <v>0.33818699999999996</v>
      </c>
      <c r="P69" s="57">
        <f t="shared" si="19"/>
        <v>0.47007992999999992</v>
      </c>
      <c r="Q69" s="42">
        <f>O69/(1-0.3)</f>
        <v>0.48312428571428567</v>
      </c>
      <c r="R69" s="27">
        <f t="shared" si="14"/>
        <v>19.324971428571427</v>
      </c>
      <c r="S69" s="41">
        <f t="shared" si="15"/>
        <v>0.30000000000000004</v>
      </c>
      <c r="T69" s="47"/>
      <c r="U69" s="28"/>
      <c r="V69" s="48"/>
      <c r="W69" s="71"/>
      <c r="X69" s="71"/>
      <c r="Y69" s="37"/>
      <c r="Z69" s="77"/>
      <c r="AA69" s="77"/>
      <c r="AB69" s="77"/>
      <c r="AC69" s="77"/>
      <c r="AF69" s="221"/>
      <c r="AG69" s="77"/>
      <c r="AH69" s="145"/>
      <c r="AI69" s="77"/>
      <c r="AJ69" s="183"/>
      <c r="AK69" s="10"/>
      <c r="AL69" s="183"/>
      <c r="AM69" s="183"/>
    </row>
    <row r="70" spans="1:43">
      <c r="A70" s="33" t="s">
        <v>367</v>
      </c>
      <c r="B70" s="33" t="s">
        <v>2130</v>
      </c>
      <c r="C70" s="33" t="s">
        <v>2131</v>
      </c>
      <c r="D70" s="34">
        <v>120</v>
      </c>
      <c r="E70" s="34" t="s">
        <v>2</v>
      </c>
      <c r="F70" s="509"/>
      <c r="G70" s="509"/>
      <c r="H70" s="509"/>
      <c r="I70" s="34"/>
      <c r="J70" s="34"/>
      <c r="K70" s="34">
        <f t="shared" si="16"/>
        <v>0</v>
      </c>
      <c r="L70" s="34">
        <f t="shared" si="17"/>
        <v>0</v>
      </c>
      <c r="M70" s="522">
        <v>0.25540000000000002</v>
      </c>
      <c r="N70" s="522">
        <v>0.35500599999999999</v>
      </c>
      <c r="O70" s="522">
        <f t="shared" si="18"/>
        <v>0.35500599999999999</v>
      </c>
      <c r="P70" s="57">
        <f t="shared" si="19"/>
        <v>0.49345833999999994</v>
      </c>
      <c r="Q70" s="42">
        <f>R70/120</f>
        <v>0.78999999999999992</v>
      </c>
      <c r="R70" s="27">
        <v>94.8</v>
      </c>
      <c r="S70" s="41">
        <f t="shared" si="15"/>
        <v>0.55062531645569612</v>
      </c>
      <c r="T70" s="439">
        <f>U70/D70</f>
        <v>0.58518518518518514</v>
      </c>
      <c r="U70" s="439">
        <f>R70/1.35</f>
        <v>70.222222222222214</v>
      </c>
      <c r="V70" s="41">
        <v>0.16500000000000001</v>
      </c>
      <c r="W70" s="41"/>
      <c r="X70" s="41"/>
      <c r="Y70" s="41"/>
      <c r="Z70" s="41" t="e">
        <f>(X70-V70)/X70</f>
        <v>#DIV/0!</v>
      </c>
      <c r="AA70" s="41" t="e">
        <f>(Y70-W70)/Y70</f>
        <v>#DIV/0!</v>
      </c>
      <c r="AB70" s="41" t="e">
        <f>(Z70-X70)/Z70</f>
        <v>#DIV/0!</v>
      </c>
      <c r="AC70" s="41" t="e">
        <f>(AA70-Y70)/AA70</f>
        <v>#DIV/0!</v>
      </c>
      <c r="AF70" s="77"/>
      <c r="AG70" s="77"/>
      <c r="AH70" s="145"/>
      <c r="AI70" s="77"/>
      <c r="AJ70" s="183"/>
    </row>
    <row r="71" spans="1:43">
      <c r="A71" s="33" t="s">
        <v>926</v>
      </c>
      <c r="B71" s="33" t="s">
        <v>2130</v>
      </c>
      <c r="C71" s="33" t="s">
        <v>2131</v>
      </c>
      <c r="D71" s="34">
        <v>120</v>
      </c>
      <c r="E71" s="34" t="s">
        <v>2</v>
      </c>
      <c r="F71" s="509"/>
      <c r="G71" s="509"/>
      <c r="H71" s="509"/>
      <c r="I71" s="34"/>
      <c r="J71" s="34"/>
      <c r="K71" s="34">
        <f t="shared" si="16"/>
        <v>0</v>
      </c>
      <c r="L71" s="34">
        <f t="shared" si="17"/>
        <v>0</v>
      </c>
      <c r="M71" s="522">
        <v>0.27829999999999999</v>
      </c>
      <c r="N71" s="522">
        <v>0.38683699999999999</v>
      </c>
      <c r="O71" s="522">
        <f t="shared" si="18"/>
        <v>0.38683699999999999</v>
      </c>
      <c r="P71" s="57">
        <f t="shared" si="19"/>
        <v>0.53770342999999998</v>
      </c>
      <c r="Q71" s="42"/>
      <c r="R71" s="27"/>
      <c r="S71" s="41"/>
      <c r="T71" s="47"/>
      <c r="U71" s="28"/>
      <c r="V71" s="48"/>
      <c r="W71" s="71"/>
      <c r="X71" s="71"/>
      <c r="Y71" s="37"/>
      <c r="Z71" s="77"/>
      <c r="AA71" s="77"/>
      <c r="AB71" s="77"/>
      <c r="AC71" s="77"/>
      <c r="AF71" s="221"/>
      <c r="AG71" s="77"/>
      <c r="AH71" s="145"/>
      <c r="AI71" s="77"/>
      <c r="AJ71" s="183"/>
      <c r="AK71" s="10"/>
      <c r="AL71" s="183"/>
      <c r="AM71" s="183"/>
    </row>
    <row r="72" spans="1:43">
      <c r="A72" s="33" t="s">
        <v>354</v>
      </c>
      <c r="B72" s="33" t="s">
        <v>1704</v>
      </c>
      <c r="C72" s="33" t="s">
        <v>1317</v>
      </c>
      <c r="D72" s="34">
        <v>60</v>
      </c>
      <c r="E72" s="34" t="s">
        <v>2</v>
      </c>
      <c r="F72" s="509"/>
      <c r="G72" s="509"/>
      <c r="H72" s="509"/>
      <c r="I72" s="34">
        <v>24</v>
      </c>
      <c r="J72" s="34"/>
      <c r="K72" s="34">
        <f t="shared" si="16"/>
        <v>0</v>
      </c>
      <c r="L72" s="34">
        <f t="shared" si="17"/>
        <v>0</v>
      </c>
      <c r="M72" s="522">
        <v>0.41959999999999997</v>
      </c>
      <c r="N72" s="522">
        <v>0.58324399999999987</v>
      </c>
      <c r="O72" s="522">
        <f t="shared" si="18"/>
        <v>0.58324399999999987</v>
      </c>
      <c r="P72" s="57">
        <f t="shared" si="19"/>
        <v>0.81070915999999982</v>
      </c>
      <c r="Q72" s="42">
        <f t="shared" ref="Q72:Q103" si="20">O72/(1-0.3)</f>
        <v>0.83320571428571411</v>
      </c>
      <c r="R72" s="65">
        <f t="shared" ref="R72:R103" si="21">D72*Q72</f>
        <v>49.992342857142845</v>
      </c>
      <c r="S72" s="41">
        <f t="shared" ref="S72:S103" si="22">(Q72-O72)/Q72</f>
        <v>0.3</v>
      </c>
      <c r="T72" s="47"/>
      <c r="U72" s="68"/>
      <c r="V72" s="48"/>
      <c r="W72" s="71"/>
      <c r="X72" s="71"/>
      <c r="Y72" s="37"/>
      <c r="Z72" s="77"/>
      <c r="AA72" s="77"/>
      <c r="AB72" s="77"/>
      <c r="AC72" s="77"/>
      <c r="AF72" s="77"/>
      <c r="AG72" s="77"/>
      <c r="AH72" s="34"/>
      <c r="AI72" s="34"/>
      <c r="AJ72" s="184"/>
      <c r="AK72" s="10" t="s">
        <v>100</v>
      </c>
      <c r="AL72" s="183" t="e">
        <f t="shared" ref="AL72:AL92" si="23">VLOOKUP(AK72,B:O,6,FALSE)</f>
        <v>#N/A</v>
      </c>
      <c r="AM72" s="183" t="e">
        <f t="shared" ref="AM72:AM92" si="24">AL72-O72</f>
        <v>#N/A</v>
      </c>
    </row>
    <row r="73" spans="1:43">
      <c r="A73" s="33" t="s">
        <v>354</v>
      </c>
      <c r="B73" s="33" t="s">
        <v>1705</v>
      </c>
      <c r="C73" s="33" t="s">
        <v>1318</v>
      </c>
      <c r="D73" s="34">
        <v>54</v>
      </c>
      <c r="E73" s="34" t="s">
        <v>2</v>
      </c>
      <c r="F73" s="510">
        <v>50</v>
      </c>
      <c r="G73" s="510">
        <v>39</v>
      </c>
      <c r="H73" s="510">
        <v>16</v>
      </c>
      <c r="I73" s="34">
        <v>24</v>
      </c>
      <c r="J73" s="34"/>
      <c r="K73" s="34">
        <f t="shared" si="16"/>
        <v>1.4300993124522536</v>
      </c>
      <c r="L73" s="34">
        <f t="shared" si="17"/>
        <v>1.9878380443086323</v>
      </c>
      <c r="M73" s="522">
        <v>0.75170000000000003</v>
      </c>
      <c r="N73" s="522">
        <v>1.0448629999999999</v>
      </c>
      <c r="O73" s="522">
        <f t="shared" si="18"/>
        <v>1.0448629999999999</v>
      </c>
      <c r="P73" s="57">
        <f t="shared" si="19"/>
        <v>1.4523595699999998</v>
      </c>
      <c r="Q73" s="42">
        <f t="shared" si="20"/>
        <v>1.4926614285714286</v>
      </c>
      <c r="R73" s="65">
        <f t="shared" si="21"/>
        <v>80.60371714285715</v>
      </c>
      <c r="S73" s="41">
        <f t="shared" si="22"/>
        <v>0.3000000000000001</v>
      </c>
      <c r="T73" s="47"/>
      <c r="U73" s="68"/>
      <c r="V73" s="48"/>
      <c r="W73" s="71"/>
      <c r="X73" s="71"/>
      <c r="Y73" s="37"/>
      <c r="Z73" s="77"/>
      <c r="AA73" s="77"/>
      <c r="AB73" s="77"/>
      <c r="AC73" s="77"/>
      <c r="AF73" s="77" t="s">
        <v>1103</v>
      </c>
      <c r="AG73" s="77">
        <v>4.7</v>
      </c>
      <c r="AH73" s="145">
        <f>Q73</f>
        <v>1.4926614285714286</v>
      </c>
      <c r="AI73" s="77">
        <f>AH73-AG73</f>
        <v>-3.2073385714285716</v>
      </c>
      <c r="AJ73" s="184"/>
      <c r="AK73" s="10" t="s">
        <v>102</v>
      </c>
      <c r="AL73" s="183" t="e">
        <f t="shared" si="23"/>
        <v>#N/A</v>
      </c>
      <c r="AM73" s="183" t="e">
        <f t="shared" si="24"/>
        <v>#N/A</v>
      </c>
    </row>
    <row r="74" spans="1:43">
      <c r="A74" s="33" t="s">
        <v>354</v>
      </c>
      <c r="B74" s="33" t="s">
        <v>1706</v>
      </c>
      <c r="C74" s="33" t="s">
        <v>1319</v>
      </c>
      <c r="D74" s="34">
        <v>54</v>
      </c>
      <c r="E74" s="34" t="s">
        <v>2</v>
      </c>
      <c r="F74" s="509"/>
      <c r="G74" s="509"/>
      <c r="H74" s="509"/>
      <c r="I74" s="34">
        <v>24</v>
      </c>
      <c r="J74" s="34"/>
      <c r="K74" s="34">
        <f t="shared" si="16"/>
        <v>0</v>
      </c>
      <c r="L74" s="34">
        <f t="shared" si="17"/>
        <v>0</v>
      </c>
      <c r="M74" s="522">
        <v>0.71350000000000002</v>
      </c>
      <c r="N74" s="522">
        <v>0.99176500000000001</v>
      </c>
      <c r="O74" s="522">
        <f t="shared" si="18"/>
        <v>0.99176500000000001</v>
      </c>
      <c r="P74" s="57">
        <f t="shared" si="19"/>
        <v>1.37855335</v>
      </c>
      <c r="Q74" s="42">
        <f t="shared" si="20"/>
        <v>1.4168071428571429</v>
      </c>
      <c r="R74" s="65">
        <f t="shared" si="21"/>
        <v>76.507585714285725</v>
      </c>
      <c r="S74" s="41">
        <f t="shared" si="22"/>
        <v>0.30000000000000004</v>
      </c>
      <c r="T74" s="47"/>
      <c r="U74" s="68"/>
      <c r="V74" s="48"/>
      <c r="W74" s="71"/>
      <c r="X74" s="71"/>
      <c r="Y74" s="37"/>
      <c r="Z74" s="77"/>
      <c r="AA74" s="77"/>
      <c r="AB74" s="77"/>
      <c r="AC74" s="77"/>
      <c r="AF74" s="77" t="s">
        <v>1104</v>
      </c>
      <c r="AG74" s="77">
        <v>5.28</v>
      </c>
      <c r="AH74" s="145">
        <f>Q74</f>
        <v>1.4168071428571429</v>
      </c>
      <c r="AI74" s="77">
        <f>AH74-AG74</f>
        <v>-3.8631928571428573</v>
      </c>
      <c r="AJ74" s="184"/>
      <c r="AK74" s="10" t="s">
        <v>104</v>
      </c>
      <c r="AL74" s="183" t="e">
        <f t="shared" si="23"/>
        <v>#N/A</v>
      </c>
      <c r="AM74" s="183" t="e">
        <f t="shared" si="24"/>
        <v>#N/A</v>
      </c>
    </row>
    <row r="75" spans="1:43">
      <c r="A75" s="33" t="s">
        <v>354</v>
      </c>
      <c r="B75" s="33" t="s">
        <v>1707</v>
      </c>
      <c r="C75" s="33" t="s">
        <v>1320</v>
      </c>
      <c r="D75" s="34">
        <v>50</v>
      </c>
      <c r="E75" s="34" t="s">
        <v>2</v>
      </c>
      <c r="F75" s="510">
        <v>51</v>
      </c>
      <c r="G75" s="510">
        <v>39</v>
      </c>
      <c r="H75" s="510">
        <v>18</v>
      </c>
      <c r="I75" s="34">
        <v>24</v>
      </c>
      <c r="J75" s="34"/>
      <c r="K75" s="34">
        <f t="shared" si="16"/>
        <v>1.6410389610389611</v>
      </c>
      <c r="L75" s="34">
        <f t="shared" si="17"/>
        <v>2.2810441558441559</v>
      </c>
      <c r="M75" s="522">
        <v>0.66169999999999995</v>
      </c>
      <c r="N75" s="522">
        <v>0.91976299999999989</v>
      </c>
      <c r="O75" s="522">
        <f t="shared" si="18"/>
        <v>0.91976299999999989</v>
      </c>
      <c r="P75" s="57">
        <f t="shared" si="19"/>
        <v>1.2784705699999999</v>
      </c>
      <c r="Q75" s="42">
        <f t="shared" si="20"/>
        <v>1.3139471428571428</v>
      </c>
      <c r="R75" s="65">
        <f t="shared" si="21"/>
        <v>65.697357142857143</v>
      </c>
      <c r="S75" s="41">
        <f t="shared" si="22"/>
        <v>0.30000000000000004</v>
      </c>
      <c r="T75" s="47"/>
      <c r="U75" s="68"/>
      <c r="V75" s="48"/>
      <c r="W75" s="71"/>
      <c r="X75" s="71"/>
      <c r="Y75" s="37"/>
      <c r="Z75" s="77"/>
      <c r="AA75" s="77"/>
      <c r="AB75" s="77"/>
      <c r="AC75" s="77"/>
      <c r="AF75" s="77"/>
      <c r="AG75" s="77"/>
      <c r="AH75" s="145"/>
      <c r="AI75" s="77"/>
      <c r="AJ75" s="184"/>
      <c r="AK75" s="10" t="s">
        <v>106</v>
      </c>
      <c r="AL75" s="183" t="e">
        <f t="shared" si="23"/>
        <v>#N/A</v>
      </c>
      <c r="AM75" s="183" t="e">
        <f t="shared" si="24"/>
        <v>#N/A</v>
      </c>
    </row>
    <row r="76" spans="1:43">
      <c r="A76" s="33" t="s">
        <v>354</v>
      </c>
      <c r="B76" s="33" t="s">
        <v>1708</v>
      </c>
      <c r="C76" s="33" t="s">
        <v>1321</v>
      </c>
      <c r="D76" s="34">
        <v>60</v>
      </c>
      <c r="E76" s="34" t="s">
        <v>2</v>
      </c>
      <c r="F76" s="509"/>
      <c r="G76" s="509"/>
      <c r="H76" s="509"/>
      <c r="I76" s="34">
        <v>24</v>
      </c>
      <c r="J76" s="34"/>
      <c r="K76" s="34">
        <f t="shared" si="16"/>
        <v>0</v>
      </c>
      <c r="L76" s="34">
        <f t="shared" si="17"/>
        <v>0</v>
      </c>
      <c r="M76" s="522"/>
      <c r="N76" s="522">
        <v>0</v>
      </c>
      <c r="O76" s="522">
        <f t="shared" si="18"/>
        <v>0</v>
      </c>
      <c r="P76" s="57">
        <f t="shared" si="19"/>
        <v>0</v>
      </c>
      <c r="Q76" s="42">
        <f t="shared" si="20"/>
        <v>0</v>
      </c>
      <c r="R76" s="65">
        <f t="shared" si="21"/>
        <v>0</v>
      </c>
      <c r="S76" s="41" t="e">
        <f t="shared" si="22"/>
        <v>#DIV/0!</v>
      </c>
      <c r="T76" s="47"/>
      <c r="U76" s="68"/>
      <c r="V76" s="48"/>
      <c r="W76" s="71"/>
      <c r="X76" s="71"/>
      <c r="Y76" s="37"/>
      <c r="Z76" s="77"/>
      <c r="AA76" s="77"/>
      <c r="AB76" s="77"/>
      <c r="AC76" s="77"/>
      <c r="AF76" s="77"/>
      <c r="AG76" s="77"/>
      <c r="AH76" s="145"/>
      <c r="AI76" s="77"/>
      <c r="AJ76" s="184"/>
      <c r="AK76" s="10" t="s">
        <v>108</v>
      </c>
      <c r="AL76" s="183" t="e">
        <f t="shared" si="23"/>
        <v>#N/A</v>
      </c>
      <c r="AM76" s="183" t="e">
        <f t="shared" si="24"/>
        <v>#N/A</v>
      </c>
    </row>
    <row r="77" spans="1:43">
      <c r="A77" s="33" t="s">
        <v>354</v>
      </c>
      <c r="B77" s="33" t="s">
        <v>1709</v>
      </c>
      <c r="C77" s="33" t="s">
        <v>1322</v>
      </c>
      <c r="D77" s="34">
        <v>46</v>
      </c>
      <c r="E77" s="34" t="s">
        <v>2</v>
      </c>
      <c r="F77" s="509"/>
      <c r="G77" s="509"/>
      <c r="H77" s="509"/>
      <c r="I77" s="34">
        <v>24</v>
      </c>
      <c r="J77" s="34"/>
      <c r="K77" s="34">
        <f t="shared" si="16"/>
        <v>0</v>
      </c>
      <c r="L77" s="34">
        <f t="shared" si="17"/>
        <v>0</v>
      </c>
      <c r="M77" s="522"/>
      <c r="N77" s="522">
        <v>0</v>
      </c>
      <c r="O77" s="522">
        <f t="shared" si="18"/>
        <v>0</v>
      </c>
      <c r="P77" s="57">
        <f t="shared" si="19"/>
        <v>0</v>
      </c>
      <c r="Q77" s="42">
        <f t="shared" si="20"/>
        <v>0</v>
      </c>
      <c r="R77" s="65">
        <f t="shared" si="21"/>
        <v>0</v>
      </c>
      <c r="S77" s="41" t="e">
        <f t="shared" si="22"/>
        <v>#DIV/0!</v>
      </c>
      <c r="T77" s="47"/>
      <c r="U77" s="68"/>
      <c r="V77" s="48"/>
      <c r="W77" s="71"/>
      <c r="X77" s="71"/>
      <c r="Y77" s="37"/>
      <c r="Z77" s="77"/>
      <c r="AA77" s="77"/>
      <c r="AB77" s="77"/>
      <c r="AC77" s="77"/>
      <c r="AF77" s="77" t="s">
        <v>1105</v>
      </c>
      <c r="AG77" s="77">
        <v>6.11</v>
      </c>
      <c r="AH77" s="145">
        <f>Q77</f>
        <v>0</v>
      </c>
      <c r="AI77" s="77">
        <f>AH77-AG77</f>
        <v>-6.11</v>
      </c>
      <c r="AJ77" s="184"/>
      <c r="AK77" s="10" t="s">
        <v>110</v>
      </c>
      <c r="AL77" s="183" t="e">
        <f t="shared" si="23"/>
        <v>#N/A</v>
      </c>
      <c r="AM77" s="183" t="e">
        <f t="shared" si="24"/>
        <v>#N/A</v>
      </c>
    </row>
    <row r="78" spans="1:43">
      <c r="A78" s="33" t="s">
        <v>354</v>
      </c>
      <c r="B78" s="33" t="s">
        <v>1710</v>
      </c>
      <c r="C78" s="33" t="s">
        <v>1323</v>
      </c>
      <c r="D78" s="34">
        <v>42</v>
      </c>
      <c r="E78" s="34" t="s">
        <v>2</v>
      </c>
      <c r="F78" s="510">
        <v>41</v>
      </c>
      <c r="G78" s="510">
        <v>36</v>
      </c>
      <c r="H78" s="510">
        <v>20</v>
      </c>
      <c r="I78" s="34">
        <v>24</v>
      </c>
      <c r="J78" s="34"/>
      <c r="K78" s="34">
        <f t="shared" si="16"/>
        <v>1.3530939648586708</v>
      </c>
      <c r="L78" s="34">
        <f t="shared" si="17"/>
        <v>1.8808006111535522</v>
      </c>
      <c r="M78" s="522">
        <v>0.3609</v>
      </c>
      <c r="N78" s="522">
        <v>0.50165099999999996</v>
      </c>
      <c r="O78" s="522">
        <f t="shared" si="18"/>
        <v>0.50165099999999996</v>
      </c>
      <c r="P78" s="57">
        <f t="shared" si="19"/>
        <v>0.69729488999999989</v>
      </c>
      <c r="Q78" s="42">
        <f t="shared" si="20"/>
        <v>0.71664428571428573</v>
      </c>
      <c r="R78" s="65">
        <f t="shared" si="21"/>
        <v>30.099060000000001</v>
      </c>
      <c r="S78" s="41">
        <f t="shared" si="22"/>
        <v>0.3000000000000001</v>
      </c>
      <c r="T78" s="47"/>
      <c r="U78" s="68"/>
      <c r="V78" s="48"/>
      <c r="W78" s="71"/>
      <c r="X78" s="71"/>
      <c r="Y78" s="37"/>
      <c r="Z78" s="77"/>
      <c r="AA78" s="77"/>
      <c r="AB78" s="77"/>
      <c r="AC78" s="77"/>
      <c r="AF78" s="77" t="s">
        <v>1106</v>
      </c>
      <c r="AG78" s="77">
        <v>7.15</v>
      </c>
      <c r="AH78" s="145">
        <f>Q78</f>
        <v>0.71664428571428573</v>
      </c>
      <c r="AI78" s="77">
        <f>AH78-AG78</f>
        <v>-6.4333557142857147</v>
      </c>
      <c r="AJ78" s="184"/>
      <c r="AK78" s="10" t="s">
        <v>112</v>
      </c>
      <c r="AL78" s="183" t="e">
        <f t="shared" si="23"/>
        <v>#N/A</v>
      </c>
      <c r="AM78" s="183" t="e">
        <f t="shared" si="24"/>
        <v>#N/A</v>
      </c>
    </row>
    <row r="79" spans="1:43">
      <c r="A79" s="33" t="s">
        <v>354</v>
      </c>
      <c r="B79" s="33" t="s">
        <v>1711</v>
      </c>
      <c r="C79" s="33" t="s">
        <v>1324</v>
      </c>
      <c r="D79" s="34">
        <v>42</v>
      </c>
      <c r="E79" s="34" t="s">
        <v>2</v>
      </c>
      <c r="F79" s="510">
        <v>43</v>
      </c>
      <c r="G79" s="510">
        <v>36</v>
      </c>
      <c r="H79" s="510">
        <v>40</v>
      </c>
      <c r="I79" s="34">
        <v>24</v>
      </c>
      <c r="J79" s="34"/>
      <c r="K79" s="34">
        <f t="shared" si="16"/>
        <v>2.8381970970206263</v>
      </c>
      <c r="L79" s="34">
        <f t="shared" si="17"/>
        <v>3.9450939648586703</v>
      </c>
      <c r="M79" s="522">
        <v>0.48609999999999998</v>
      </c>
      <c r="N79" s="522">
        <v>0.67567899999999992</v>
      </c>
      <c r="O79" s="522">
        <f t="shared" si="18"/>
        <v>0.67567899999999992</v>
      </c>
      <c r="P79" s="57">
        <f t="shared" si="19"/>
        <v>0.9391938099999998</v>
      </c>
      <c r="Q79" s="42">
        <f t="shared" si="20"/>
        <v>0.96525571428571422</v>
      </c>
      <c r="R79" s="65">
        <f t="shared" si="21"/>
        <v>40.54074</v>
      </c>
      <c r="S79" s="41">
        <f t="shared" si="22"/>
        <v>0.30000000000000004</v>
      </c>
      <c r="T79" s="47"/>
      <c r="U79" s="68"/>
      <c r="V79" s="48"/>
      <c r="W79" s="71"/>
      <c r="X79" s="71"/>
      <c r="Y79" s="37"/>
      <c r="Z79" s="77"/>
      <c r="AA79" s="77"/>
      <c r="AB79" s="77"/>
      <c r="AC79" s="77"/>
      <c r="AF79" s="77"/>
      <c r="AG79" s="77"/>
      <c r="AH79" s="145"/>
      <c r="AI79" s="34"/>
      <c r="AJ79" s="184"/>
      <c r="AK79" s="10" t="s">
        <v>114</v>
      </c>
      <c r="AL79" s="183" t="e">
        <f t="shared" si="23"/>
        <v>#N/A</v>
      </c>
      <c r="AM79" s="183" t="e">
        <f t="shared" si="24"/>
        <v>#N/A</v>
      </c>
    </row>
    <row r="80" spans="1:43">
      <c r="A80" s="33" t="s">
        <v>354</v>
      </c>
      <c r="B80" s="33" t="s">
        <v>1881</v>
      </c>
      <c r="C80" s="33" t="s">
        <v>1309</v>
      </c>
      <c r="D80" s="34">
        <v>70</v>
      </c>
      <c r="E80" s="34" t="s">
        <v>2</v>
      </c>
      <c r="F80" s="510">
        <v>48</v>
      </c>
      <c r="G80" s="510">
        <v>39</v>
      </c>
      <c r="H80" s="510">
        <v>41</v>
      </c>
      <c r="I80" s="34">
        <v>24</v>
      </c>
      <c r="J80" s="34"/>
      <c r="K80" s="34">
        <f t="shared" si="16"/>
        <v>3.5180443086325441</v>
      </c>
      <c r="L80" s="34">
        <f t="shared" si="17"/>
        <v>4.8900815889992364</v>
      </c>
      <c r="M80" s="522">
        <v>0.55379999999999996</v>
      </c>
      <c r="N80" s="522">
        <v>0.76978199999999986</v>
      </c>
      <c r="O80" s="522">
        <f t="shared" si="18"/>
        <v>0.76978199999999986</v>
      </c>
      <c r="P80" s="57">
        <f t="shared" si="19"/>
        <v>1.0699969799999998</v>
      </c>
      <c r="Q80" s="42">
        <f t="shared" si="20"/>
        <v>1.0996885714285713</v>
      </c>
      <c r="R80" s="65">
        <f t="shared" si="21"/>
        <v>76.978200000000001</v>
      </c>
      <c r="S80" s="41">
        <f t="shared" si="22"/>
        <v>0.3000000000000001</v>
      </c>
      <c r="T80" s="47"/>
      <c r="U80" s="68"/>
      <c r="V80" s="48"/>
      <c r="W80" s="71"/>
      <c r="X80" s="71"/>
      <c r="Y80" s="37"/>
      <c r="Z80" s="77"/>
      <c r="AA80" s="77"/>
      <c r="AB80" s="77"/>
      <c r="AC80" s="77"/>
      <c r="AF80" s="77"/>
      <c r="AG80" s="77"/>
      <c r="AH80" s="34"/>
      <c r="AI80" s="34"/>
      <c r="AJ80" s="184"/>
      <c r="AK80" s="10" t="s">
        <v>116</v>
      </c>
      <c r="AL80" s="183" t="e">
        <f t="shared" si="23"/>
        <v>#N/A</v>
      </c>
      <c r="AM80" s="183" t="e">
        <f t="shared" si="24"/>
        <v>#N/A</v>
      </c>
    </row>
    <row r="81" spans="1:42">
      <c r="A81" s="33" t="s">
        <v>354</v>
      </c>
      <c r="B81" s="33" t="s">
        <v>1882</v>
      </c>
      <c r="C81" s="33" t="s">
        <v>1310</v>
      </c>
      <c r="D81" s="34">
        <v>70</v>
      </c>
      <c r="E81" s="34" t="s">
        <v>2</v>
      </c>
      <c r="F81" s="510">
        <v>37</v>
      </c>
      <c r="G81" s="510">
        <v>28</v>
      </c>
      <c r="H81" s="510">
        <v>15</v>
      </c>
      <c r="I81" s="34">
        <v>24</v>
      </c>
      <c r="J81" s="34"/>
      <c r="K81" s="34">
        <f t="shared" si="16"/>
        <v>0.71229946524064169</v>
      </c>
      <c r="L81" s="34">
        <f t="shared" si="17"/>
        <v>0.99009625668449186</v>
      </c>
      <c r="M81" s="522">
        <v>0.84399999999999997</v>
      </c>
      <c r="N81" s="522">
        <v>1.17316</v>
      </c>
      <c r="O81" s="522">
        <f t="shared" si="18"/>
        <v>1.17316</v>
      </c>
      <c r="P81" s="57">
        <f t="shared" si="19"/>
        <v>1.6306923999999998</v>
      </c>
      <c r="Q81" s="42">
        <f t="shared" si="20"/>
        <v>1.6759428571428572</v>
      </c>
      <c r="R81" s="65">
        <f t="shared" si="21"/>
        <v>117.316</v>
      </c>
      <c r="S81" s="41">
        <f t="shared" si="22"/>
        <v>0.30000000000000004</v>
      </c>
      <c r="T81" s="47"/>
      <c r="U81" s="68"/>
      <c r="V81" s="48"/>
      <c r="W81" s="71"/>
      <c r="X81" s="71"/>
      <c r="Y81" s="37"/>
      <c r="Z81" s="77"/>
      <c r="AA81" s="77"/>
      <c r="AB81" s="77"/>
      <c r="AC81" s="77"/>
      <c r="AF81" s="77"/>
      <c r="AG81" s="77"/>
      <c r="AH81" s="34"/>
      <c r="AI81" s="34"/>
      <c r="AJ81" s="184"/>
      <c r="AK81" s="10" t="s">
        <v>118</v>
      </c>
      <c r="AL81" s="183" t="e">
        <f t="shared" si="23"/>
        <v>#N/A</v>
      </c>
      <c r="AM81" s="183" t="e">
        <f t="shared" si="24"/>
        <v>#N/A</v>
      </c>
    </row>
    <row r="82" spans="1:42">
      <c r="A82" s="33" t="s">
        <v>354</v>
      </c>
      <c r="B82" s="33" t="s">
        <v>1883</v>
      </c>
      <c r="C82" s="33" t="s">
        <v>1311</v>
      </c>
      <c r="D82" s="34">
        <v>70</v>
      </c>
      <c r="E82" s="34" t="s">
        <v>2</v>
      </c>
      <c r="F82" s="510">
        <v>52</v>
      </c>
      <c r="G82" s="510">
        <v>39</v>
      </c>
      <c r="H82" s="510">
        <v>27</v>
      </c>
      <c r="I82" s="34">
        <v>24</v>
      </c>
      <c r="J82" s="34"/>
      <c r="K82" s="34">
        <f t="shared" si="16"/>
        <v>2.5098242933537049</v>
      </c>
      <c r="L82" s="34">
        <f t="shared" si="17"/>
        <v>3.4886557677616494</v>
      </c>
      <c r="M82" s="522">
        <v>0.83434000000000008</v>
      </c>
      <c r="N82" s="522">
        <v>1.1597326000000001</v>
      </c>
      <c r="O82" s="522">
        <f t="shared" si="18"/>
        <v>1.1597326000000001</v>
      </c>
      <c r="P82" s="57">
        <f t="shared" si="19"/>
        <v>1.612028314</v>
      </c>
      <c r="Q82" s="42">
        <f t="shared" si="20"/>
        <v>1.6567608571428574</v>
      </c>
      <c r="R82" s="65">
        <f t="shared" si="21"/>
        <v>115.97326000000001</v>
      </c>
      <c r="S82" s="41">
        <f t="shared" si="22"/>
        <v>0.30000000000000004</v>
      </c>
      <c r="T82" s="47"/>
      <c r="U82" s="68"/>
      <c r="V82" s="48"/>
      <c r="W82" s="71"/>
      <c r="X82" s="71"/>
      <c r="Y82" s="37"/>
      <c r="Z82" s="77"/>
      <c r="AA82" s="77"/>
      <c r="AB82" s="77"/>
      <c r="AC82" s="77"/>
      <c r="AF82" s="77"/>
      <c r="AG82" s="77"/>
      <c r="AH82" s="34"/>
      <c r="AI82" s="34"/>
      <c r="AJ82" s="184"/>
      <c r="AK82" s="10" t="s">
        <v>120</v>
      </c>
      <c r="AL82" s="183" t="e">
        <f t="shared" si="23"/>
        <v>#N/A</v>
      </c>
      <c r="AM82" s="183" t="e">
        <f t="shared" si="24"/>
        <v>#N/A</v>
      </c>
    </row>
    <row r="83" spans="1:42">
      <c r="A83" s="33" t="s">
        <v>354</v>
      </c>
      <c r="B83" s="33" t="s">
        <v>1884</v>
      </c>
      <c r="C83" s="33" t="s">
        <v>1312</v>
      </c>
      <c r="D83" s="34">
        <v>70</v>
      </c>
      <c r="E83" s="34" t="s">
        <v>2</v>
      </c>
      <c r="F83" s="510">
        <v>50</v>
      </c>
      <c r="G83" s="510">
        <v>38</v>
      </c>
      <c r="H83" s="510">
        <v>28</v>
      </c>
      <c r="I83" s="34">
        <v>24</v>
      </c>
      <c r="J83" s="34"/>
      <c r="K83" s="34">
        <f t="shared" si="16"/>
        <v>2.4385026737967914</v>
      </c>
      <c r="L83" s="34">
        <f t="shared" si="17"/>
        <v>3.3895187165775398</v>
      </c>
      <c r="M83" s="522">
        <v>0.71719999999999995</v>
      </c>
      <c r="N83" s="522">
        <v>0.99690799999999991</v>
      </c>
      <c r="O83" s="522">
        <f t="shared" si="18"/>
        <v>0.99690799999999991</v>
      </c>
      <c r="P83" s="57">
        <f t="shared" si="19"/>
        <v>1.3857021199999997</v>
      </c>
      <c r="Q83" s="42">
        <f t="shared" si="20"/>
        <v>1.4241542857142857</v>
      </c>
      <c r="R83" s="65">
        <f t="shared" si="21"/>
        <v>99.690799999999996</v>
      </c>
      <c r="S83" s="41">
        <f t="shared" si="22"/>
        <v>0.30000000000000004</v>
      </c>
      <c r="T83" s="47"/>
      <c r="U83" s="68"/>
      <c r="V83" s="48"/>
      <c r="W83" s="71"/>
      <c r="X83" s="71"/>
      <c r="Y83" s="37"/>
      <c r="Z83" s="77"/>
      <c r="AA83" s="77"/>
      <c r="AB83" s="77"/>
      <c r="AC83" s="77"/>
      <c r="AF83" s="77"/>
      <c r="AG83" s="77"/>
      <c r="AH83" s="34"/>
      <c r="AI83" s="34"/>
      <c r="AJ83" s="184"/>
      <c r="AK83" s="10" t="s">
        <v>122</v>
      </c>
      <c r="AL83" s="183" t="e">
        <f t="shared" si="23"/>
        <v>#N/A</v>
      </c>
      <c r="AM83" s="183" t="e">
        <f t="shared" si="24"/>
        <v>#N/A</v>
      </c>
    </row>
    <row r="84" spans="1:42">
      <c r="A84" s="33" t="s">
        <v>354</v>
      </c>
      <c r="B84" s="33" t="s">
        <v>1885</v>
      </c>
      <c r="C84" s="33" t="s">
        <v>1313</v>
      </c>
      <c r="D84" s="34">
        <v>54</v>
      </c>
      <c r="E84" s="34" t="s">
        <v>2</v>
      </c>
      <c r="F84" s="509"/>
      <c r="G84" s="509"/>
      <c r="H84" s="509"/>
      <c r="I84" s="34">
        <v>24</v>
      </c>
      <c r="J84" s="34"/>
      <c r="K84" s="34">
        <f t="shared" si="16"/>
        <v>0</v>
      </c>
      <c r="L84" s="34">
        <f t="shared" si="17"/>
        <v>0</v>
      </c>
      <c r="M84" s="522"/>
      <c r="N84" s="522">
        <v>0</v>
      </c>
      <c r="O84" s="522">
        <f t="shared" si="18"/>
        <v>0</v>
      </c>
      <c r="P84" s="57">
        <f t="shared" si="19"/>
        <v>0</v>
      </c>
      <c r="Q84" s="42">
        <f t="shared" si="20"/>
        <v>0</v>
      </c>
      <c r="R84" s="65">
        <f t="shared" si="21"/>
        <v>0</v>
      </c>
      <c r="S84" s="41" t="e">
        <f t="shared" si="22"/>
        <v>#DIV/0!</v>
      </c>
      <c r="T84" s="47"/>
      <c r="U84" s="68"/>
      <c r="V84" s="48"/>
      <c r="W84" s="71"/>
      <c r="X84" s="71"/>
      <c r="Y84" s="37"/>
      <c r="Z84" s="77"/>
      <c r="AA84" s="77"/>
      <c r="AB84" s="77"/>
      <c r="AC84" s="77"/>
      <c r="AD84" s="33"/>
      <c r="AE84" s="33"/>
      <c r="AF84" s="77"/>
      <c r="AG84" s="183"/>
      <c r="AH84" s="34"/>
      <c r="AI84" s="34"/>
      <c r="AJ84" s="184"/>
      <c r="AK84" s="10" t="s">
        <v>125</v>
      </c>
      <c r="AL84" s="183" t="e">
        <f t="shared" si="23"/>
        <v>#N/A</v>
      </c>
      <c r="AM84" s="183" t="e">
        <f t="shared" si="24"/>
        <v>#N/A</v>
      </c>
    </row>
    <row r="85" spans="1:42">
      <c r="A85" s="33" t="s">
        <v>354</v>
      </c>
      <c r="B85" s="33" t="s">
        <v>1886</v>
      </c>
      <c r="C85" s="33" t="s">
        <v>1314</v>
      </c>
      <c r="D85" s="34">
        <v>54</v>
      </c>
      <c r="E85" s="34" t="s">
        <v>2</v>
      </c>
      <c r="F85" s="509"/>
      <c r="G85" s="509"/>
      <c r="H85" s="509"/>
      <c r="I85" s="34">
        <v>24</v>
      </c>
      <c r="J85" s="34"/>
      <c r="K85" s="34">
        <f t="shared" si="16"/>
        <v>0</v>
      </c>
      <c r="L85" s="34">
        <f t="shared" si="17"/>
        <v>0</v>
      </c>
      <c r="M85" s="522"/>
      <c r="N85" s="522">
        <v>0</v>
      </c>
      <c r="O85" s="522">
        <f t="shared" si="18"/>
        <v>0</v>
      </c>
      <c r="P85" s="57">
        <f t="shared" si="19"/>
        <v>0</v>
      </c>
      <c r="Q85" s="42">
        <f t="shared" si="20"/>
        <v>0</v>
      </c>
      <c r="R85" s="65">
        <f t="shared" si="21"/>
        <v>0</v>
      </c>
      <c r="S85" s="41" t="e">
        <f t="shared" si="22"/>
        <v>#DIV/0!</v>
      </c>
      <c r="T85" s="47"/>
      <c r="U85" s="68"/>
      <c r="V85" s="48"/>
      <c r="W85" s="71"/>
      <c r="X85" s="71"/>
      <c r="Y85" s="37"/>
      <c r="Z85" s="77"/>
      <c r="AA85" s="77"/>
      <c r="AB85" s="77"/>
      <c r="AC85" s="77"/>
      <c r="AF85" s="77"/>
      <c r="AG85" s="77"/>
      <c r="AH85" s="34"/>
      <c r="AI85" s="34"/>
      <c r="AJ85" s="184"/>
      <c r="AK85" s="10" t="s">
        <v>127</v>
      </c>
      <c r="AL85" s="183" t="e">
        <f t="shared" si="23"/>
        <v>#N/A</v>
      </c>
      <c r="AM85" s="183" t="e">
        <f t="shared" si="24"/>
        <v>#N/A</v>
      </c>
    </row>
    <row r="86" spans="1:42">
      <c r="A86" s="33" t="s">
        <v>354</v>
      </c>
      <c r="B86" s="33" t="s">
        <v>1887</v>
      </c>
      <c r="C86" s="33" t="s">
        <v>1315</v>
      </c>
      <c r="D86" s="34">
        <v>54</v>
      </c>
      <c r="E86" s="34" t="s">
        <v>2</v>
      </c>
      <c r="F86" s="509"/>
      <c r="G86" s="509"/>
      <c r="H86" s="509"/>
      <c r="I86" s="34">
        <v>24</v>
      </c>
      <c r="J86" s="34"/>
      <c r="K86" s="34">
        <f t="shared" si="16"/>
        <v>0</v>
      </c>
      <c r="L86" s="34">
        <f t="shared" si="17"/>
        <v>0</v>
      </c>
      <c r="M86" s="522"/>
      <c r="N86" s="522">
        <v>0</v>
      </c>
      <c r="O86" s="522">
        <f t="shared" si="18"/>
        <v>0</v>
      </c>
      <c r="P86" s="57">
        <f t="shared" si="19"/>
        <v>0</v>
      </c>
      <c r="Q86" s="42">
        <f t="shared" si="20"/>
        <v>0</v>
      </c>
      <c r="R86" s="65">
        <f t="shared" si="21"/>
        <v>0</v>
      </c>
      <c r="S86" s="41" t="e">
        <f t="shared" si="22"/>
        <v>#DIV/0!</v>
      </c>
      <c r="T86" s="47"/>
      <c r="U86" s="68"/>
      <c r="V86" s="48"/>
      <c r="W86" s="71"/>
      <c r="X86" s="71"/>
      <c r="Y86" s="37"/>
      <c r="Z86" s="77"/>
      <c r="AA86" s="77"/>
      <c r="AB86" s="77"/>
      <c r="AC86" s="77"/>
      <c r="AF86" s="77"/>
      <c r="AG86" s="77"/>
      <c r="AH86" s="34"/>
      <c r="AI86" s="34"/>
      <c r="AJ86" s="184"/>
      <c r="AK86" s="10" t="s">
        <v>129</v>
      </c>
      <c r="AL86" s="183" t="e">
        <f t="shared" si="23"/>
        <v>#N/A</v>
      </c>
      <c r="AM86" s="183" t="e">
        <f t="shared" si="24"/>
        <v>#N/A</v>
      </c>
    </row>
    <row r="87" spans="1:42">
      <c r="A87" s="33" t="s">
        <v>354</v>
      </c>
      <c r="B87" s="33" t="s">
        <v>1888</v>
      </c>
      <c r="C87" s="33" t="s">
        <v>1316</v>
      </c>
      <c r="D87" s="34">
        <v>54</v>
      </c>
      <c r="E87" s="34" t="s">
        <v>2</v>
      </c>
      <c r="F87" s="509"/>
      <c r="G87" s="509"/>
      <c r="H87" s="509"/>
      <c r="I87" s="34">
        <v>24</v>
      </c>
      <c r="J87" s="34"/>
      <c r="K87" s="34">
        <f t="shared" si="16"/>
        <v>0</v>
      </c>
      <c r="L87" s="34">
        <f t="shared" si="17"/>
        <v>0</v>
      </c>
      <c r="M87" s="522"/>
      <c r="N87" s="522">
        <v>0</v>
      </c>
      <c r="O87" s="522">
        <f t="shared" si="18"/>
        <v>0</v>
      </c>
      <c r="P87" s="57">
        <f t="shared" si="19"/>
        <v>0</v>
      </c>
      <c r="Q87" s="42">
        <f t="shared" si="20"/>
        <v>0</v>
      </c>
      <c r="R87" s="65">
        <f t="shared" si="21"/>
        <v>0</v>
      </c>
      <c r="S87" s="41" t="e">
        <f t="shared" si="22"/>
        <v>#DIV/0!</v>
      </c>
      <c r="T87" s="47"/>
      <c r="U87" s="68"/>
      <c r="V87" s="48"/>
      <c r="W87" s="71"/>
      <c r="X87" s="71"/>
      <c r="Y87" s="37"/>
      <c r="Z87" s="77"/>
      <c r="AA87" s="77"/>
      <c r="AB87" s="77"/>
      <c r="AC87" s="77"/>
      <c r="AF87" s="77"/>
      <c r="AG87" s="77"/>
      <c r="AH87" s="34"/>
      <c r="AI87" s="34"/>
      <c r="AJ87" s="184"/>
      <c r="AK87" s="10" t="s">
        <v>131</v>
      </c>
      <c r="AL87" s="183" t="e">
        <f t="shared" si="23"/>
        <v>#N/A</v>
      </c>
      <c r="AM87" s="183" t="e">
        <f t="shared" si="24"/>
        <v>#N/A</v>
      </c>
    </row>
    <row r="88" spans="1:42">
      <c r="A88" s="33" t="s">
        <v>354</v>
      </c>
      <c r="B88" s="33" t="s">
        <v>1712</v>
      </c>
      <c r="C88" s="33" t="s">
        <v>1325</v>
      </c>
      <c r="D88" s="34">
        <v>50</v>
      </c>
      <c r="E88" s="34" t="s">
        <v>2</v>
      </c>
      <c r="F88" s="509"/>
      <c r="G88" s="509"/>
      <c r="H88" s="509"/>
      <c r="I88" s="34">
        <v>24</v>
      </c>
      <c r="J88" s="34"/>
      <c r="K88" s="34">
        <f t="shared" si="16"/>
        <v>0</v>
      </c>
      <c r="L88" s="34">
        <f t="shared" si="17"/>
        <v>0</v>
      </c>
      <c r="M88" s="522">
        <v>1.5062</v>
      </c>
      <c r="N88" s="522">
        <v>2.0936179999999998</v>
      </c>
      <c r="O88" s="522">
        <f t="shared" si="18"/>
        <v>2.0936179999999998</v>
      </c>
      <c r="P88" s="57">
        <f t="shared" si="19"/>
        <v>2.9101290199999994</v>
      </c>
      <c r="Q88" s="42">
        <f t="shared" si="20"/>
        <v>2.9908828571428572</v>
      </c>
      <c r="R88" s="65">
        <f t="shared" si="21"/>
        <v>149.54414285714284</v>
      </c>
      <c r="S88" s="41">
        <f t="shared" si="22"/>
        <v>0.3000000000000001</v>
      </c>
      <c r="T88" s="47"/>
      <c r="U88" s="68"/>
      <c r="V88" s="48"/>
      <c r="W88" s="71"/>
      <c r="X88" s="71"/>
      <c r="Y88" s="37"/>
      <c r="Z88" s="77"/>
      <c r="AA88" s="77"/>
      <c r="AB88" s="77"/>
      <c r="AC88" s="77"/>
      <c r="AF88" s="77"/>
      <c r="AG88" s="77"/>
      <c r="AH88" s="145"/>
      <c r="AI88" s="34"/>
      <c r="AJ88" s="184"/>
      <c r="AK88" s="10" t="s">
        <v>137</v>
      </c>
      <c r="AL88" s="183" t="e">
        <f t="shared" si="23"/>
        <v>#N/A</v>
      </c>
      <c r="AM88" s="183" t="e">
        <f t="shared" si="24"/>
        <v>#N/A</v>
      </c>
    </row>
    <row r="89" spans="1:42">
      <c r="A89" s="33" t="s">
        <v>354</v>
      </c>
      <c r="B89" s="33" t="s">
        <v>1713</v>
      </c>
      <c r="C89" s="33" t="s">
        <v>1326</v>
      </c>
      <c r="D89" s="34">
        <v>46</v>
      </c>
      <c r="E89" s="34" t="s">
        <v>2</v>
      </c>
      <c r="F89" s="509"/>
      <c r="G89" s="509"/>
      <c r="H89" s="509"/>
      <c r="I89" s="34">
        <v>24</v>
      </c>
      <c r="J89" s="34"/>
      <c r="K89" s="34">
        <f t="shared" si="16"/>
        <v>0</v>
      </c>
      <c r="L89" s="34">
        <f t="shared" si="17"/>
        <v>0</v>
      </c>
      <c r="M89" s="522">
        <v>1.2724</v>
      </c>
      <c r="N89" s="522">
        <v>1.7686359999999999</v>
      </c>
      <c r="O89" s="522">
        <f t="shared" si="18"/>
        <v>1.7686359999999999</v>
      </c>
      <c r="P89" s="57">
        <f t="shared" si="19"/>
        <v>2.4584040399999996</v>
      </c>
      <c r="Q89" s="42">
        <f t="shared" si="20"/>
        <v>2.5266228571428573</v>
      </c>
      <c r="R89" s="65">
        <f t="shared" si="21"/>
        <v>116.22465142857143</v>
      </c>
      <c r="S89" s="41">
        <f t="shared" si="22"/>
        <v>0.3000000000000001</v>
      </c>
      <c r="T89" s="47"/>
      <c r="U89" s="68"/>
      <c r="V89" s="48"/>
      <c r="W89" s="71"/>
      <c r="X89" s="71"/>
      <c r="Y89" s="37"/>
      <c r="Z89" s="77"/>
      <c r="AA89" s="77"/>
      <c r="AB89" s="77"/>
      <c r="AC89" s="77"/>
      <c r="AF89" s="77"/>
      <c r="AG89" s="77"/>
      <c r="AH89" s="145"/>
      <c r="AI89" s="34"/>
      <c r="AJ89" s="184"/>
      <c r="AK89" s="10" t="s">
        <v>139</v>
      </c>
      <c r="AL89" s="183" t="e">
        <f t="shared" si="23"/>
        <v>#N/A</v>
      </c>
      <c r="AM89" s="183" t="e">
        <f t="shared" si="24"/>
        <v>#N/A</v>
      </c>
    </row>
    <row r="90" spans="1:42">
      <c r="A90" s="33" t="s">
        <v>354</v>
      </c>
      <c r="B90" s="33" t="s">
        <v>1714</v>
      </c>
      <c r="C90" s="33" t="s">
        <v>1327</v>
      </c>
      <c r="D90" s="34">
        <v>42</v>
      </c>
      <c r="E90" s="34" t="s">
        <v>2</v>
      </c>
      <c r="F90" s="509"/>
      <c r="G90" s="509"/>
      <c r="H90" s="509"/>
      <c r="I90" s="34">
        <v>24</v>
      </c>
      <c r="J90" s="34"/>
      <c r="K90" s="34">
        <f t="shared" si="16"/>
        <v>0</v>
      </c>
      <c r="L90" s="34">
        <f t="shared" si="17"/>
        <v>0</v>
      </c>
      <c r="M90" s="522">
        <v>1.7183999999999999</v>
      </c>
      <c r="N90" s="522">
        <v>2.3885759999999996</v>
      </c>
      <c r="O90" s="522">
        <f t="shared" si="18"/>
        <v>2.3885759999999996</v>
      </c>
      <c r="P90" s="57">
        <f t="shared" si="19"/>
        <v>3.3201206399999994</v>
      </c>
      <c r="Q90" s="42">
        <f t="shared" si="20"/>
        <v>3.412251428571428</v>
      </c>
      <c r="R90" s="65">
        <f t="shared" si="21"/>
        <v>143.31455999999997</v>
      </c>
      <c r="S90" s="41">
        <f t="shared" si="22"/>
        <v>0.3</v>
      </c>
      <c r="T90" s="47"/>
      <c r="U90" s="68"/>
      <c r="V90" s="48"/>
      <c r="W90" s="71"/>
      <c r="X90" s="71"/>
      <c r="Y90" s="37"/>
      <c r="Z90" s="77"/>
      <c r="AA90" s="77"/>
      <c r="AB90" s="77"/>
      <c r="AC90" s="77"/>
      <c r="AF90" s="77" t="s">
        <v>1107</v>
      </c>
      <c r="AG90" s="77">
        <v>9.02</v>
      </c>
      <c r="AH90" s="145">
        <f>Q90</f>
        <v>3.412251428571428</v>
      </c>
      <c r="AI90" s="77">
        <f>AH90-AG90</f>
        <v>-5.6077485714285711</v>
      </c>
      <c r="AJ90" s="184"/>
      <c r="AK90" s="10" t="s">
        <v>141</v>
      </c>
      <c r="AL90" s="183" t="e">
        <f t="shared" si="23"/>
        <v>#N/A</v>
      </c>
      <c r="AM90" s="183" t="e">
        <f t="shared" si="24"/>
        <v>#N/A</v>
      </c>
    </row>
    <row r="91" spans="1:42">
      <c r="A91" s="33" t="s">
        <v>354</v>
      </c>
      <c r="B91" s="33" t="s">
        <v>1715</v>
      </c>
      <c r="C91" s="33" t="s">
        <v>1328</v>
      </c>
      <c r="D91" s="34">
        <v>42</v>
      </c>
      <c r="E91" s="34" t="s">
        <v>2</v>
      </c>
      <c r="F91" s="509"/>
      <c r="G91" s="509"/>
      <c r="H91" s="509"/>
      <c r="I91" s="34">
        <v>24</v>
      </c>
      <c r="J91" s="34"/>
      <c r="K91" s="34">
        <f t="shared" si="16"/>
        <v>0</v>
      </c>
      <c r="L91" s="34">
        <f t="shared" si="17"/>
        <v>0</v>
      </c>
      <c r="M91" s="522">
        <v>1.4462999999999999</v>
      </c>
      <c r="N91" s="522">
        <v>2.0103569999999999</v>
      </c>
      <c r="O91" s="522">
        <f t="shared" si="18"/>
        <v>2.0103569999999999</v>
      </c>
      <c r="P91" s="57">
        <f t="shared" si="19"/>
        <v>2.7943962299999998</v>
      </c>
      <c r="Q91" s="42">
        <f t="shared" si="20"/>
        <v>2.8719385714285717</v>
      </c>
      <c r="R91" s="65">
        <f t="shared" si="21"/>
        <v>120.62142000000001</v>
      </c>
      <c r="S91" s="41">
        <f t="shared" si="22"/>
        <v>0.3000000000000001</v>
      </c>
      <c r="T91" s="47"/>
      <c r="U91" s="68"/>
      <c r="V91" s="48"/>
      <c r="W91" s="71"/>
      <c r="X91" s="71"/>
      <c r="Y91" s="37"/>
      <c r="Z91" s="77"/>
      <c r="AA91" s="77"/>
      <c r="AB91" s="77"/>
      <c r="AC91" s="77"/>
      <c r="AF91" s="77" t="s">
        <v>1108</v>
      </c>
      <c r="AG91" s="77">
        <v>11.61</v>
      </c>
      <c r="AH91" s="145">
        <f>Q91</f>
        <v>2.8719385714285717</v>
      </c>
      <c r="AI91" s="77">
        <f>AH91-AG91</f>
        <v>-8.7380614285714273</v>
      </c>
      <c r="AJ91" s="184"/>
      <c r="AK91" s="10" t="s">
        <v>143</v>
      </c>
      <c r="AL91" s="183" t="e">
        <f t="shared" si="23"/>
        <v>#N/A</v>
      </c>
      <c r="AM91" s="183" t="e">
        <f t="shared" si="24"/>
        <v>#N/A</v>
      </c>
    </row>
    <row r="92" spans="1:42">
      <c r="A92" s="33" t="s">
        <v>926</v>
      </c>
      <c r="B92" s="33" t="s">
        <v>1892</v>
      </c>
      <c r="C92" s="86" t="s">
        <v>1331</v>
      </c>
      <c r="D92" s="34">
        <v>300</v>
      </c>
      <c r="E92" s="34" t="s">
        <v>2</v>
      </c>
      <c r="F92" s="509"/>
      <c r="G92" s="509"/>
      <c r="H92" s="509"/>
      <c r="I92" s="175">
        <v>36</v>
      </c>
      <c r="J92" s="181"/>
      <c r="K92" s="34">
        <f t="shared" si="16"/>
        <v>0</v>
      </c>
      <c r="L92" s="34">
        <f t="shared" si="17"/>
        <v>0</v>
      </c>
      <c r="M92" s="522">
        <v>2.4973999999999998</v>
      </c>
      <c r="N92" s="522">
        <v>3.4713859999999994</v>
      </c>
      <c r="O92" s="522">
        <f t="shared" si="18"/>
        <v>3.4713859999999994</v>
      </c>
      <c r="P92" s="57">
        <f t="shared" si="19"/>
        <v>4.8252265399999992</v>
      </c>
      <c r="Q92" s="42">
        <f t="shared" si="20"/>
        <v>4.9591228571428569</v>
      </c>
      <c r="R92" s="27">
        <f t="shared" si="21"/>
        <v>1487.7368571428572</v>
      </c>
      <c r="S92" s="41">
        <f t="shared" si="22"/>
        <v>0.3000000000000001</v>
      </c>
      <c r="T92" s="47"/>
      <c r="U92" s="28"/>
      <c r="V92" s="48"/>
      <c r="W92" s="71"/>
      <c r="X92" s="71"/>
      <c r="Y92" s="37"/>
      <c r="Z92" s="77"/>
      <c r="AA92" s="77"/>
      <c r="AB92" s="77"/>
      <c r="AC92" s="77"/>
      <c r="AF92" s="77"/>
      <c r="AG92" s="77"/>
      <c r="AH92" s="34"/>
      <c r="AI92" s="34"/>
      <c r="AJ92" s="184"/>
      <c r="AK92" s="187" t="s">
        <v>145</v>
      </c>
      <c r="AL92" s="183" t="e">
        <f t="shared" si="23"/>
        <v>#N/A</v>
      </c>
      <c r="AM92" s="183" t="e">
        <f t="shared" si="24"/>
        <v>#N/A</v>
      </c>
      <c r="AP92" s="187"/>
    </row>
    <row r="93" spans="1:42">
      <c r="A93" s="33" t="s">
        <v>926</v>
      </c>
      <c r="B93" s="33" t="s">
        <v>1893</v>
      </c>
      <c r="C93" s="86" t="s">
        <v>1332</v>
      </c>
      <c r="D93" s="34">
        <v>250</v>
      </c>
      <c r="E93" s="34" t="s">
        <v>2</v>
      </c>
      <c r="F93" s="509"/>
      <c r="G93" s="509"/>
      <c r="H93" s="509"/>
      <c r="I93" s="181"/>
      <c r="J93" s="181"/>
      <c r="K93" s="34">
        <f t="shared" si="16"/>
        <v>0</v>
      </c>
      <c r="L93" s="34">
        <f t="shared" si="17"/>
        <v>0</v>
      </c>
      <c r="M93" s="522">
        <v>1.1121000000000001</v>
      </c>
      <c r="N93" s="522">
        <v>1.5458190000000001</v>
      </c>
      <c r="O93" s="522">
        <f t="shared" si="18"/>
        <v>1.5458190000000001</v>
      </c>
      <c r="P93" s="57">
        <f t="shared" si="19"/>
        <v>2.1486884100000001</v>
      </c>
      <c r="Q93" s="42">
        <f t="shared" si="20"/>
        <v>2.2083128571428574</v>
      </c>
      <c r="R93" s="27">
        <f t="shared" si="21"/>
        <v>552.07821428571435</v>
      </c>
      <c r="S93" s="41">
        <f t="shared" si="22"/>
        <v>0.30000000000000004</v>
      </c>
      <c r="T93" s="47"/>
      <c r="U93" s="28"/>
      <c r="V93" s="48"/>
      <c r="W93" s="71"/>
      <c r="X93" s="71"/>
      <c r="Y93" s="37"/>
      <c r="Z93" s="77"/>
      <c r="AA93" s="77"/>
      <c r="AB93" s="77"/>
      <c r="AC93" s="77"/>
      <c r="AF93" s="77"/>
      <c r="AG93" s="77"/>
      <c r="AH93" s="34"/>
      <c r="AI93" s="34"/>
      <c r="AJ93" s="184"/>
      <c r="AK93" s="187" t="s">
        <v>147</v>
      </c>
      <c r="AL93" s="183"/>
      <c r="AM93" s="183"/>
      <c r="AP93" s="187"/>
    </row>
    <row r="94" spans="1:42">
      <c r="A94" s="33" t="s">
        <v>926</v>
      </c>
      <c r="B94" s="33" t="s">
        <v>1894</v>
      </c>
      <c r="C94" s="86" t="s">
        <v>1333</v>
      </c>
      <c r="D94" s="34">
        <v>160</v>
      </c>
      <c r="E94" s="34" t="s">
        <v>2</v>
      </c>
      <c r="F94" s="510">
        <v>40</v>
      </c>
      <c r="G94" s="510">
        <v>27</v>
      </c>
      <c r="H94" s="510">
        <v>24</v>
      </c>
      <c r="I94" s="34">
        <v>36</v>
      </c>
      <c r="J94" s="34"/>
      <c r="K94" s="34">
        <f t="shared" si="16"/>
        <v>1.1880825057295645</v>
      </c>
      <c r="L94" s="34">
        <f t="shared" si="17"/>
        <v>1.6514346829640947</v>
      </c>
      <c r="M94" s="522">
        <v>1.8099000000000001</v>
      </c>
      <c r="N94" s="522">
        <v>2.5157609999999999</v>
      </c>
      <c r="O94" s="522">
        <f t="shared" si="18"/>
        <v>2.5157609999999999</v>
      </c>
      <c r="P94" s="57">
        <f t="shared" si="19"/>
        <v>3.4969077899999998</v>
      </c>
      <c r="Q94" s="42">
        <f t="shared" si="20"/>
        <v>3.593944285714286</v>
      </c>
      <c r="R94" s="27">
        <f t="shared" si="21"/>
        <v>575.03108571428572</v>
      </c>
      <c r="S94" s="41">
        <f t="shared" si="22"/>
        <v>0.3000000000000001</v>
      </c>
      <c r="T94" s="47"/>
      <c r="U94" s="28"/>
      <c r="V94" s="48"/>
      <c r="W94" s="71"/>
      <c r="X94" s="71"/>
      <c r="Y94" s="37"/>
      <c r="Z94" s="77"/>
      <c r="AA94" s="77"/>
      <c r="AB94" s="77"/>
      <c r="AC94" s="77"/>
      <c r="AF94" s="77"/>
      <c r="AG94" s="77"/>
      <c r="AH94" s="34"/>
      <c r="AI94" s="34"/>
      <c r="AJ94" s="184"/>
      <c r="AK94" s="187" t="s">
        <v>149</v>
      </c>
      <c r="AL94" s="183" t="e">
        <f>VLOOKUP(AK94,B:O,6,FALSE)</f>
        <v>#N/A</v>
      </c>
      <c r="AM94" s="486" t="e">
        <f>AL94-O94</f>
        <v>#N/A</v>
      </c>
      <c r="AO94" s="187"/>
      <c r="AP94" s="187"/>
    </row>
    <row r="95" spans="1:42">
      <c r="A95" s="33" t="s">
        <v>926</v>
      </c>
      <c r="B95" s="33" t="s">
        <v>1895</v>
      </c>
      <c r="C95" s="86" t="s">
        <v>1334</v>
      </c>
      <c r="D95" s="34">
        <v>160</v>
      </c>
      <c r="E95" s="34" t="s">
        <v>2</v>
      </c>
      <c r="F95" s="510">
        <v>52</v>
      </c>
      <c r="G95" s="510">
        <v>39</v>
      </c>
      <c r="H95" s="510">
        <v>32</v>
      </c>
      <c r="I95" s="34">
        <v>36</v>
      </c>
      <c r="J95" s="34"/>
      <c r="K95" s="34">
        <f t="shared" si="16"/>
        <v>2.9746065699006876</v>
      </c>
      <c r="L95" s="34">
        <f t="shared" si="17"/>
        <v>4.1347031321619552</v>
      </c>
      <c r="M95" s="522">
        <v>1.3489</v>
      </c>
      <c r="N95" s="522">
        <v>1.8749709999999999</v>
      </c>
      <c r="O95" s="522">
        <f t="shared" si="18"/>
        <v>1.8749709999999999</v>
      </c>
      <c r="P95" s="57">
        <f t="shared" si="19"/>
        <v>2.6062096899999996</v>
      </c>
      <c r="Q95" s="42">
        <f t="shared" si="20"/>
        <v>2.6785300000000003</v>
      </c>
      <c r="R95" s="27">
        <f t="shared" si="21"/>
        <v>428.56480000000005</v>
      </c>
      <c r="S95" s="41">
        <f t="shared" si="22"/>
        <v>0.3000000000000001</v>
      </c>
      <c r="T95" s="47"/>
      <c r="U95" s="28"/>
      <c r="V95" s="48"/>
      <c r="W95" s="71"/>
      <c r="X95" s="71"/>
      <c r="Y95" s="37"/>
      <c r="Z95" s="77"/>
      <c r="AA95" s="77"/>
      <c r="AB95" s="77"/>
      <c r="AC95" s="77"/>
      <c r="AF95" s="77"/>
      <c r="AG95" s="77"/>
      <c r="AH95" s="34"/>
      <c r="AI95" s="34"/>
      <c r="AJ95" s="184"/>
      <c r="AK95" s="187" t="s">
        <v>153</v>
      </c>
      <c r="AL95" s="183" t="e">
        <f>VLOOKUP(AK95,B:O,6,FALSE)</f>
        <v>#N/A</v>
      </c>
      <c r="AM95" s="183" t="e">
        <f>AL95-O95</f>
        <v>#N/A</v>
      </c>
      <c r="AP95" s="187"/>
    </row>
    <row r="96" spans="1:42">
      <c r="A96" s="33" t="s">
        <v>926</v>
      </c>
      <c r="B96" s="33" t="s">
        <v>1896</v>
      </c>
      <c r="C96" s="86" t="s">
        <v>1335</v>
      </c>
      <c r="D96" s="34">
        <v>50</v>
      </c>
      <c r="E96" s="34" t="s">
        <v>2</v>
      </c>
      <c r="F96" s="509"/>
      <c r="G96" s="509"/>
      <c r="H96" s="509"/>
      <c r="I96" s="34">
        <v>42</v>
      </c>
      <c r="J96" s="34"/>
      <c r="K96" s="34">
        <f t="shared" si="16"/>
        <v>0</v>
      </c>
      <c r="L96" s="34">
        <f t="shared" si="17"/>
        <v>0</v>
      </c>
      <c r="M96" s="522"/>
      <c r="N96" s="522">
        <v>0</v>
      </c>
      <c r="O96" s="522">
        <f t="shared" si="18"/>
        <v>0</v>
      </c>
      <c r="P96" s="57">
        <f t="shared" si="19"/>
        <v>0</v>
      </c>
      <c r="Q96" s="42">
        <f t="shared" si="20"/>
        <v>0</v>
      </c>
      <c r="R96" s="27">
        <f t="shared" si="21"/>
        <v>0</v>
      </c>
      <c r="S96" s="41" t="e">
        <f t="shared" si="22"/>
        <v>#DIV/0!</v>
      </c>
      <c r="T96" s="47"/>
      <c r="U96" s="28"/>
      <c r="V96" s="48"/>
      <c r="W96" s="71"/>
      <c r="X96" s="71"/>
      <c r="Y96" s="37"/>
      <c r="Z96" s="77"/>
      <c r="AA96" s="77"/>
      <c r="AB96" s="77"/>
      <c r="AC96" s="77"/>
      <c r="AF96" s="77" t="s">
        <v>1127</v>
      </c>
      <c r="AG96" s="77">
        <v>2.58</v>
      </c>
      <c r="AH96" s="145">
        <f>Q96</f>
        <v>0</v>
      </c>
      <c r="AI96" s="77">
        <f>AH96-AG96</f>
        <v>-2.58</v>
      </c>
      <c r="AJ96" s="184"/>
      <c r="AK96" s="187" t="s">
        <v>155</v>
      </c>
      <c r="AL96" s="183" t="e">
        <f>VLOOKUP(AK96,B:O,6,FALSE)</f>
        <v>#N/A</v>
      </c>
      <c r="AM96" s="183" t="e">
        <f>AL96-O96</f>
        <v>#N/A</v>
      </c>
      <c r="AP96" s="187"/>
    </row>
    <row r="97" spans="1:43">
      <c r="A97" s="33" t="s">
        <v>926</v>
      </c>
      <c r="B97" s="33" t="s">
        <v>1897</v>
      </c>
      <c r="C97" s="86" t="s">
        <v>1336</v>
      </c>
      <c r="D97" s="34">
        <v>50</v>
      </c>
      <c r="E97" s="34" t="s">
        <v>2</v>
      </c>
      <c r="F97" s="509"/>
      <c r="G97" s="509"/>
      <c r="H97" s="509"/>
      <c r="I97" s="34">
        <v>42</v>
      </c>
      <c r="J97" s="34"/>
      <c r="K97" s="34">
        <f t="shared" si="16"/>
        <v>0</v>
      </c>
      <c r="L97" s="34">
        <f t="shared" si="17"/>
        <v>0</v>
      </c>
      <c r="M97" s="522"/>
      <c r="N97" s="522">
        <v>0</v>
      </c>
      <c r="O97" s="522">
        <f t="shared" si="18"/>
        <v>0</v>
      </c>
      <c r="P97" s="57">
        <f t="shared" si="19"/>
        <v>0</v>
      </c>
      <c r="Q97" s="42">
        <f t="shared" si="20"/>
        <v>0</v>
      </c>
      <c r="R97" s="27">
        <f t="shared" si="21"/>
        <v>0</v>
      </c>
      <c r="S97" s="41" t="e">
        <f t="shared" si="22"/>
        <v>#DIV/0!</v>
      </c>
      <c r="T97" s="47"/>
      <c r="U97" s="28"/>
      <c r="V97" s="48"/>
      <c r="W97" s="71"/>
      <c r="X97" s="71"/>
      <c r="Y97" s="37"/>
      <c r="Z97" s="77"/>
      <c r="AA97" s="77"/>
      <c r="AB97" s="77"/>
      <c r="AC97" s="77"/>
      <c r="AF97" s="77" t="s">
        <v>1168</v>
      </c>
      <c r="AG97" s="77"/>
      <c r="AH97" s="145"/>
      <c r="AI97" s="77"/>
      <c r="AJ97" s="184"/>
      <c r="AK97" s="187" t="s">
        <v>157</v>
      </c>
      <c r="AL97" s="183" t="e">
        <f>VLOOKUP(AK97,B:O,6,FALSE)</f>
        <v>#N/A</v>
      </c>
      <c r="AM97" s="183" t="e">
        <f>AL97-O97</f>
        <v>#N/A</v>
      </c>
      <c r="AP97" s="187"/>
    </row>
    <row r="98" spans="1:43" ht="15.75" customHeight="1">
      <c r="A98" s="33" t="s">
        <v>926</v>
      </c>
      <c r="B98" s="33" t="s">
        <v>1898</v>
      </c>
      <c r="C98" s="86" t="s">
        <v>1337</v>
      </c>
      <c r="D98" s="34">
        <v>40</v>
      </c>
      <c r="E98" s="34" t="s">
        <v>2</v>
      </c>
      <c r="F98" s="510">
        <v>52</v>
      </c>
      <c r="G98" s="510">
        <v>39</v>
      </c>
      <c r="H98" s="510">
        <v>32</v>
      </c>
      <c r="I98" s="34">
        <v>36</v>
      </c>
      <c r="J98" s="34"/>
      <c r="K98" s="34">
        <f t="shared" si="16"/>
        <v>2.9746065699006876</v>
      </c>
      <c r="L98" s="34">
        <f t="shared" si="17"/>
        <v>4.1347031321619552</v>
      </c>
      <c r="M98" s="522">
        <v>5.1947999999999999</v>
      </c>
      <c r="N98" s="522">
        <v>7.2207719999999993</v>
      </c>
      <c r="O98" s="522">
        <f t="shared" si="18"/>
        <v>7.2207719999999993</v>
      </c>
      <c r="P98" s="57">
        <f t="shared" si="19"/>
        <v>10.036873079999998</v>
      </c>
      <c r="Q98" s="42">
        <f t="shared" si="20"/>
        <v>10.315388571428571</v>
      </c>
      <c r="R98" s="27">
        <f t="shared" si="21"/>
        <v>412.61554285714283</v>
      </c>
      <c r="S98" s="41">
        <f t="shared" si="22"/>
        <v>0.30000000000000004</v>
      </c>
      <c r="T98" s="47"/>
      <c r="U98" s="28"/>
      <c r="V98" s="48"/>
      <c r="W98" s="71"/>
      <c r="X98" s="71"/>
      <c r="Y98" s="37"/>
      <c r="Z98" s="77"/>
      <c r="AA98" s="77"/>
      <c r="AB98" s="77"/>
      <c r="AC98" s="77"/>
      <c r="AF98" s="77" t="s">
        <v>1126</v>
      </c>
      <c r="AG98" s="77">
        <v>3.82</v>
      </c>
      <c r="AH98" s="145">
        <f>Q98</f>
        <v>10.315388571428571</v>
      </c>
      <c r="AI98" s="77">
        <f>AH98-AG98</f>
        <v>6.4953885714285704</v>
      </c>
      <c r="AJ98" s="184"/>
      <c r="AK98" s="187" t="s">
        <v>159</v>
      </c>
      <c r="AL98" s="183" t="e">
        <f>VLOOKUP(AK98,B:O,6,FALSE)</f>
        <v>#N/A</v>
      </c>
      <c r="AM98" s="183" t="e">
        <f>AL98-O98</f>
        <v>#N/A</v>
      </c>
      <c r="AP98" s="187"/>
    </row>
    <row r="99" spans="1:43" s="10" customFormat="1">
      <c r="A99" s="33" t="s">
        <v>926</v>
      </c>
      <c r="B99" s="33" t="s">
        <v>1966</v>
      </c>
      <c r="C99" s="86" t="s">
        <v>1624</v>
      </c>
      <c r="D99" s="175">
        <v>100</v>
      </c>
      <c r="E99" s="34" t="s">
        <v>2</v>
      </c>
      <c r="F99" s="510">
        <v>52</v>
      </c>
      <c r="G99" s="510">
        <v>39</v>
      </c>
      <c r="H99" s="510">
        <v>32</v>
      </c>
      <c r="I99" s="34"/>
      <c r="J99" s="34"/>
      <c r="K99" s="34">
        <f t="shared" si="16"/>
        <v>2.9746065699006876</v>
      </c>
      <c r="L99" s="34">
        <f t="shared" ref="L99:L130" si="25">IFERROR(K99*1.39, "Not available")</f>
        <v>4.1347031321619552</v>
      </c>
      <c r="M99" s="522">
        <v>4.3320999999999996</v>
      </c>
      <c r="N99" s="522">
        <v>6.0216189999999994</v>
      </c>
      <c r="O99" s="522">
        <f t="shared" ref="O99:O130" si="26">M99*1.39</f>
        <v>6.0216189999999994</v>
      </c>
      <c r="P99" s="57">
        <f t="shared" ref="P99:P130" si="27">N99*1.39</f>
        <v>8.3700504099999993</v>
      </c>
      <c r="Q99" s="42">
        <f t="shared" si="20"/>
        <v>8.6023128571428575</v>
      </c>
      <c r="R99" s="27">
        <f t="shared" si="21"/>
        <v>860.23128571428572</v>
      </c>
      <c r="S99" s="41">
        <f t="shared" si="22"/>
        <v>0.3000000000000001</v>
      </c>
      <c r="T99" s="47"/>
      <c r="U99" s="28"/>
      <c r="V99" s="48"/>
      <c r="W99" s="71"/>
      <c r="X99" s="71"/>
      <c r="Y99" s="37"/>
      <c r="Z99" s="77"/>
      <c r="AA99" s="77"/>
      <c r="AB99" s="77"/>
      <c r="AC99" s="77"/>
      <c r="AF99" s="77"/>
      <c r="AG99" s="77"/>
      <c r="AH99" s="145"/>
      <c r="AI99" s="77"/>
      <c r="AJ99" s="184"/>
      <c r="AK99" s="187"/>
      <c r="AL99" s="183"/>
      <c r="AM99" s="183"/>
      <c r="AN99"/>
      <c r="AQ99"/>
    </row>
    <row r="100" spans="1:43">
      <c r="A100" s="33" t="s">
        <v>926</v>
      </c>
      <c r="B100" s="33" t="s">
        <v>1899</v>
      </c>
      <c r="C100" s="86" t="s">
        <v>1338</v>
      </c>
      <c r="D100" s="34">
        <v>50</v>
      </c>
      <c r="E100" s="34" t="s">
        <v>2</v>
      </c>
      <c r="F100" s="509"/>
      <c r="G100" s="509"/>
      <c r="H100" s="509"/>
      <c r="I100" s="34">
        <v>36</v>
      </c>
      <c r="J100" s="34"/>
      <c r="K100" s="34">
        <f t="shared" si="16"/>
        <v>0</v>
      </c>
      <c r="L100" s="34">
        <f t="shared" si="25"/>
        <v>0</v>
      </c>
      <c r="M100" s="522">
        <v>3.6339000000000001</v>
      </c>
      <c r="N100" s="522">
        <v>5.0511210000000002</v>
      </c>
      <c r="O100" s="522">
        <f t="shared" si="26"/>
        <v>5.0511210000000002</v>
      </c>
      <c r="P100" s="57">
        <f t="shared" si="27"/>
        <v>7.0210581899999998</v>
      </c>
      <c r="Q100" s="42">
        <f t="shared" si="20"/>
        <v>7.2158871428571434</v>
      </c>
      <c r="R100" s="27">
        <f t="shared" si="21"/>
        <v>360.79435714285717</v>
      </c>
      <c r="S100" s="41">
        <f t="shared" si="22"/>
        <v>0.30000000000000004</v>
      </c>
      <c r="T100" s="47"/>
      <c r="U100" s="28"/>
      <c r="V100" s="48"/>
      <c r="W100" s="71"/>
      <c r="X100" s="71"/>
      <c r="Y100" s="37"/>
      <c r="Z100" s="77"/>
      <c r="AA100" s="77"/>
      <c r="AB100" s="77"/>
      <c r="AC100" s="77"/>
      <c r="AF100" s="77"/>
      <c r="AG100" s="77"/>
      <c r="AH100" s="145"/>
      <c r="AI100" s="77"/>
      <c r="AJ100" s="184"/>
      <c r="AK100" s="187" t="s">
        <v>159</v>
      </c>
      <c r="AL100" s="183" t="e">
        <f>VLOOKUP(AK100,B:O,6,FALSE)</f>
        <v>#N/A</v>
      </c>
      <c r="AM100" s="183" t="e">
        <f>AL100-O100</f>
        <v>#N/A</v>
      </c>
      <c r="AP100" s="187"/>
    </row>
    <row r="101" spans="1:43">
      <c r="A101" s="33" t="s">
        <v>926</v>
      </c>
      <c r="B101" s="33" t="s">
        <v>1900</v>
      </c>
      <c r="C101" s="86" t="s">
        <v>1339</v>
      </c>
      <c r="D101" s="34">
        <v>30</v>
      </c>
      <c r="E101" s="34" t="s">
        <v>2</v>
      </c>
      <c r="F101" s="509"/>
      <c r="G101" s="509"/>
      <c r="H101" s="509"/>
      <c r="I101" s="34">
        <v>36</v>
      </c>
      <c r="J101" s="34"/>
      <c r="K101" s="34">
        <f t="shared" si="16"/>
        <v>0</v>
      </c>
      <c r="L101" s="34">
        <f t="shared" si="25"/>
        <v>0</v>
      </c>
      <c r="M101" s="522">
        <v>5.9607999999999999</v>
      </c>
      <c r="N101" s="522">
        <v>8.2855119999999989</v>
      </c>
      <c r="O101" s="522">
        <f t="shared" si="26"/>
        <v>8.2855119999999989</v>
      </c>
      <c r="P101" s="57">
        <f t="shared" si="27"/>
        <v>11.516861679999998</v>
      </c>
      <c r="Q101" s="42">
        <f t="shared" si="20"/>
        <v>11.836445714285713</v>
      </c>
      <c r="R101" s="27">
        <f t="shared" si="21"/>
        <v>355.0933714285714</v>
      </c>
      <c r="S101" s="41">
        <f t="shared" si="22"/>
        <v>0.3</v>
      </c>
      <c r="T101" s="47"/>
      <c r="U101" s="28"/>
      <c r="V101" s="48"/>
      <c r="W101" s="71"/>
      <c r="X101" s="71"/>
      <c r="Y101" s="37"/>
      <c r="Z101" s="77"/>
      <c r="AA101" s="77"/>
      <c r="AB101" s="77"/>
      <c r="AC101" s="77"/>
      <c r="AF101" s="77" t="s">
        <v>1129</v>
      </c>
      <c r="AG101" s="77">
        <v>6.15</v>
      </c>
      <c r="AH101" s="145">
        <f>Q101</f>
        <v>11.836445714285713</v>
      </c>
      <c r="AI101" s="77">
        <f>AH101-AG101</f>
        <v>5.6864457142857123</v>
      </c>
      <c r="AJ101" s="184"/>
      <c r="AK101" s="187" t="s">
        <v>161</v>
      </c>
      <c r="AL101" s="183" t="e">
        <f>VLOOKUP(AK101,B:O,6,FALSE)</f>
        <v>#N/A</v>
      </c>
      <c r="AM101" s="183" t="e">
        <f>AL101-O101</f>
        <v>#N/A</v>
      </c>
      <c r="AP101" s="187"/>
    </row>
    <row r="102" spans="1:43">
      <c r="A102" s="33" t="s">
        <v>926</v>
      </c>
      <c r="B102" s="33" t="s">
        <v>1901</v>
      </c>
      <c r="C102" s="86" t="s">
        <v>1340</v>
      </c>
      <c r="D102" s="34">
        <v>30</v>
      </c>
      <c r="E102" s="34" t="s">
        <v>2</v>
      </c>
      <c r="F102" s="509"/>
      <c r="G102" s="509"/>
      <c r="H102" s="509"/>
      <c r="I102" s="34">
        <v>36</v>
      </c>
      <c r="J102" s="34"/>
      <c r="K102" s="34">
        <f t="shared" si="16"/>
        <v>0</v>
      </c>
      <c r="L102" s="34">
        <f t="shared" si="25"/>
        <v>0</v>
      </c>
      <c r="M102" s="522"/>
      <c r="N102" s="522">
        <v>0</v>
      </c>
      <c r="O102" s="522">
        <f t="shared" si="26"/>
        <v>0</v>
      </c>
      <c r="P102" s="57">
        <f t="shared" si="27"/>
        <v>0</v>
      </c>
      <c r="Q102" s="42">
        <f t="shared" si="20"/>
        <v>0</v>
      </c>
      <c r="R102" s="27">
        <f t="shared" si="21"/>
        <v>0</v>
      </c>
      <c r="S102" s="41" t="e">
        <f t="shared" si="22"/>
        <v>#DIV/0!</v>
      </c>
      <c r="T102" s="47"/>
      <c r="U102" s="28"/>
      <c r="V102" s="48"/>
      <c r="W102" s="71"/>
      <c r="X102" s="71"/>
      <c r="Y102" s="37"/>
      <c r="Z102" s="77"/>
      <c r="AA102" s="77"/>
      <c r="AB102" s="77"/>
      <c r="AC102" s="77"/>
      <c r="AF102" s="77" t="s">
        <v>1128</v>
      </c>
      <c r="AG102" s="77">
        <v>7.52</v>
      </c>
      <c r="AH102" s="145">
        <f>Q102</f>
        <v>0</v>
      </c>
      <c r="AI102" s="77">
        <f>AH102-AG102</f>
        <v>-7.52</v>
      </c>
      <c r="AJ102" s="184"/>
      <c r="AK102" s="187" t="s">
        <v>163</v>
      </c>
      <c r="AL102" s="183" t="e">
        <f>VLOOKUP(AK102,B:O,6,FALSE)</f>
        <v>#N/A</v>
      </c>
      <c r="AM102" s="183" t="e">
        <f>AL102-O102</f>
        <v>#N/A</v>
      </c>
      <c r="AP102" s="187"/>
    </row>
    <row r="103" spans="1:43">
      <c r="A103" s="54" t="s">
        <v>926</v>
      </c>
      <c r="B103" s="33" t="s">
        <v>1902</v>
      </c>
      <c r="C103" s="86" t="s">
        <v>1341</v>
      </c>
      <c r="D103" s="188">
        <v>60</v>
      </c>
      <c r="E103" s="189" t="s">
        <v>2</v>
      </c>
      <c r="F103" s="509"/>
      <c r="G103" s="509"/>
      <c r="H103" s="509"/>
      <c r="I103" s="34">
        <v>36</v>
      </c>
      <c r="J103" s="34"/>
      <c r="K103" s="34">
        <f t="shared" si="16"/>
        <v>0</v>
      </c>
      <c r="L103" s="34">
        <f t="shared" si="25"/>
        <v>0</v>
      </c>
      <c r="M103" s="522"/>
      <c r="N103" s="522">
        <v>0</v>
      </c>
      <c r="O103" s="522">
        <f t="shared" si="26"/>
        <v>0</v>
      </c>
      <c r="P103" s="57">
        <f t="shared" si="27"/>
        <v>0</v>
      </c>
      <c r="Q103" s="42">
        <f t="shared" si="20"/>
        <v>0</v>
      </c>
      <c r="R103" s="27">
        <f t="shared" si="21"/>
        <v>0</v>
      </c>
      <c r="S103" s="41" t="e">
        <f t="shared" si="22"/>
        <v>#DIV/0!</v>
      </c>
      <c r="T103" s="47"/>
      <c r="U103" s="28"/>
      <c r="V103" s="48"/>
      <c r="W103" s="71"/>
      <c r="X103" s="71"/>
      <c r="Y103" s="37"/>
      <c r="Z103" s="77"/>
      <c r="AA103" s="77"/>
      <c r="AB103" s="77"/>
      <c r="AC103" s="77"/>
      <c r="AF103" s="77"/>
      <c r="AG103" s="77"/>
      <c r="AH103" s="34"/>
      <c r="AI103" s="34"/>
      <c r="AJ103" s="184"/>
      <c r="AK103" s="10"/>
      <c r="AL103" s="183"/>
      <c r="AM103" s="183"/>
      <c r="AP103" s="187"/>
    </row>
    <row r="104" spans="1:43">
      <c r="A104" s="54" t="s">
        <v>926</v>
      </c>
      <c r="B104" s="33" t="s">
        <v>1903</v>
      </c>
      <c r="C104" s="86" t="s">
        <v>1342</v>
      </c>
      <c r="D104" s="188">
        <v>100</v>
      </c>
      <c r="E104" s="189" t="s">
        <v>2</v>
      </c>
      <c r="F104" s="509"/>
      <c r="G104" s="509"/>
      <c r="H104" s="509"/>
      <c r="I104" s="34">
        <v>36</v>
      </c>
      <c r="J104" s="34"/>
      <c r="K104" s="34">
        <f t="shared" si="16"/>
        <v>0</v>
      </c>
      <c r="L104" s="34">
        <f t="shared" si="25"/>
        <v>0</v>
      </c>
      <c r="M104" s="522"/>
      <c r="N104" s="522">
        <v>0</v>
      </c>
      <c r="O104" s="522">
        <f t="shared" si="26"/>
        <v>0</v>
      </c>
      <c r="P104" s="57">
        <f t="shared" si="27"/>
        <v>0</v>
      </c>
      <c r="Q104" s="42">
        <f t="shared" ref="Q104:Q135" si="28">O104/(1-0.3)</f>
        <v>0</v>
      </c>
      <c r="R104" s="27">
        <f t="shared" ref="R104:R135" si="29">D104*Q104</f>
        <v>0</v>
      </c>
      <c r="S104" s="41" t="e">
        <f t="shared" ref="S104:S135" si="30">(Q104-O104)/Q104</f>
        <v>#DIV/0!</v>
      </c>
      <c r="T104" s="47"/>
      <c r="U104" s="28"/>
      <c r="V104" s="48"/>
      <c r="W104" s="71"/>
      <c r="X104" s="71"/>
      <c r="Y104" s="37"/>
      <c r="Z104" s="77"/>
      <c r="AA104" s="77"/>
      <c r="AB104" s="77"/>
      <c r="AC104" s="77"/>
      <c r="AF104" s="77"/>
      <c r="AG104" s="77"/>
      <c r="AH104" s="34"/>
      <c r="AI104" s="34"/>
      <c r="AJ104" s="184"/>
      <c r="AK104" s="10"/>
      <c r="AL104" s="183"/>
      <c r="AM104" s="183"/>
      <c r="AP104" s="187"/>
    </row>
    <row r="105" spans="1:43">
      <c r="A105" s="33" t="s">
        <v>926</v>
      </c>
      <c r="B105" s="33" t="s">
        <v>1904</v>
      </c>
      <c r="C105" s="86" t="s">
        <v>1343</v>
      </c>
      <c r="D105" s="175">
        <v>120</v>
      </c>
      <c r="E105" s="34" t="s">
        <v>2</v>
      </c>
      <c r="F105" s="509"/>
      <c r="G105" s="509"/>
      <c r="H105" s="509"/>
      <c r="I105" s="34">
        <v>48</v>
      </c>
      <c r="J105" s="34"/>
      <c r="K105" s="34">
        <f t="shared" si="16"/>
        <v>0</v>
      </c>
      <c r="L105" s="34">
        <f t="shared" si="25"/>
        <v>0</v>
      </c>
      <c r="M105" s="522">
        <v>6.6143999999999998</v>
      </c>
      <c r="N105" s="522">
        <v>9.1940159999999995</v>
      </c>
      <c r="O105" s="522">
        <f t="shared" si="26"/>
        <v>9.1940159999999995</v>
      </c>
      <c r="P105" s="57">
        <f t="shared" si="27"/>
        <v>12.779682239999998</v>
      </c>
      <c r="Q105" s="42">
        <f t="shared" si="28"/>
        <v>13.134308571428571</v>
      </c>
      <c r="R105" s="27">
        <f t="shared" si="29"/>
        <v>1576.1170285714286</v>
      </c>
      <c r="S105" s="41">
        <f t="shared" si="30"/>
        <v>0.3</v>
      </c>
      <c r="T105" s="47"/>
      <c r="U105" s="28"/>
      <c r="V105" s="48"/>
      <c r="W105" s="71"/>
      <c r="X105" s="71"/>
      <c r="Y105" s="37"/>
      <c r="Z105" s="77"/>
      <c r="AA105" s="77"/>
      <c r="AB105" s="77"/>
      <c r="AC105" s="77"/>
      <c r="AF105" s="77" t="s">
        <v>1132</v>
      </c>
      <c r="AG105" s="77">
        <v>1.81</v>
      </c>
      <c r="AH105" s="145">
        <f>Q105</f>
        <v>13.134308571428571</v>
      </c>
      <c r="AI105" s="77">
        <f>AH105-AG105</f>
        <v>11.324308571428571</v>
      </c>
      <c r="AJ105" s="184"/>
      <c r="AK105" s="187" t="s">
        <v>165</v>
      </c>
      <c r="AL105" s="183" t="e">
        <f>VLOOKUP(AK105,B:O,6,FALSE)</f>
        <v>#N/A</v>
      </c>
      <c r="AM105" s="183" t="e">
        <f>AL105-O105</f>
        <v>#N/A</v>
      </c>
      <c r="AP105" s="187"/>
    </row>
    <row r="106" spans="1:43">
      <c r="A106" s="33" t="s">
        <v>926</v>
      </c>
      <c r="B106" s="33" t="s">
        <v>1905</v>
      </c>
      <c r="C106" s="86" t="s">
        <v>1344</v>
      </c>
      <c r="D106" s="34">
        <v>600</v>
      </c>
      <c r="E106" s="34" t="s">
        <v>2</v>
      </c>
      <c r="F106" s="509"/>
      <c r="G106" s="509"/>
      <c r="H106" s="509"/>
      <c r="I106" s="34"/>
      <c r="J106" s="34"/>
      <c r="K106" s="34">
        <f t="shared" si="16"/>
        <v>0</v>
      </c>
      <c r="L106" s="34">
        <f t="shared" si="25"/>
        <v>0</v>
      </c>
      <c r="M106" s="522">
        <v>5.6741999999999999</v>
      </c>
      <c r="N106" s="522">
        <v>7.8871379999999993</v>
      </c>
      <c r="O106" s="522">
        <f t="shared" si="26"/>
        <v>7.8871379999999993</v>
      </c>
      <c r="P106" s="57">
        <f t="shared" si="27"/>
        <v>10.963121819999998</v>
      </c>
      <c r="Q106" s="42">
        <f t="shared" si="28"/>
        <v>11.267339999999999</v>
      </c>
      <c r="R106" s="27">
        <f t="shared" si="29"/>
        <v>6760.4039999999995</v>
      </c>
      <c r="S106" s="41">
        <f t="shared" si="30"/>
        <v>0.3</v>
      </c>
      <c r="T106" s="47"/>
      <c r="U106" s="28"/>
      <c r="V106" s="48"/>
      <c r="W106" s="71"/>
      <c r="X106" s="71"/>
      <c r="Y106" s="37"/>
      <c r="Z106" s="77"/>
      <c r="AA106" s="77"/>
      <c r="AB106" s="77"/>
      <c r="AC106" s="77"/>
      <c r="AF106" s="77"/>
      <c r="AG106" s="77"/>
      <c r="AH106" s="34"/>
      <c r="AI106" s="34"/>
      <c r="AJ106" s="184"/>
      <c r="AK106" s="187" t="s">
        <v>167</v>
      </c>
      <c r="AL106" s="183" t="e">
        <f>VLOOKUP(AK106,B:O,6,FALSE)</f>
        <v>#N/A</v>
      </c>
      <c r="AM106" s="183" t="e">
        <f>AL106-O106</f>
        <v>#N/A</v>
      </c>
      <c r="AP106" s="187"/>
    </row>
    <row r="107" spans="1:43">
      <c r="A107" s="33" t="s">
        <v>926</v>
      </c>
      <c r="B107" s="33" t="s">
        <v>1906</v>
      </c>
      <c r="C107" s="86" t="s">
        <v>1345</v>
      </c>
      <c r="D107" s="34">
        <v>250</v>
      </c>
      <c r="E107" s="34" t="s">
        <v>2</v>
      </c>
      <c r="F107" s="509"/>
      <c r="G107" s="509"/>
      <c r="H107" s="509"/>
      <c r="I107" s="34"/>
      <c r="J107" s="34"/>
      <c r="K107" s="34">
        <f t="shared" si="16"/>
        <v>0</v>
      </c>
      <c r="L107" s="34">
        <f t="shared" si="25"/>
        <v>0</v>
      </c>
      <c r="M107" s="522"/>
      <c r="N107" s="522">
        <v>0</v>
      </c>
      <c r="O107" s="522">
        <f t="shared" si="26"/>
        <v>0</v>
      </c>
      <c r="P107" s="57">
        <f t="shared" si="27"/>
        <v>0</v>
      </c>
      <c r="Q107" s="42">
        <f t="shared" si="28"/>
        <v>0</v>
      </c>
      <c r="R107" s="27">
        <f t="shared" si="29"/>
        <v>0</v>
      </c>
      <c r="S107" s="41" t="e">
        <f t="shared" si="30"/>
        <v>#DIV/0!</v>
      </c>
      <c r="T107" s="47"/>
      <c r="U107" s="28"/>
      <c r="V107" s="48"/>
      <c r="W107" s="71"/>
      <c r="X107" s="71"/>
      <c r="Y107" s="37"/>
      <c r="Z107" s="77"/>
      <c r="AA107" s="77"/>
      <c r="AB107" s="77"/>
      <c r="AC107" s="77"/>
      <c r="AF107" s="77"/>
      <c r="AG107" s="77"/>
      <c r="AH107" s="34"/>
      <c r="AI107" s="34"/>
      <c r="AJ107" s="184"/>
      <c r="AK107" s="187" t="s">
        <v>171</v>
      </c>
      <c r="AL107" s="183" t="e">
        <f>VLOOKUP(AK107,B:O,6,FALSE)</f>
        <v>#N/A</v>
      </c>
      <c r="AM107" s="183" t="e">
        <f>AL107-O107</f>
        <v>#N/A</v>
      </c>
      <c r="AP107" s="187"/>
    </row>
    <row r="108" spans="1:43">
      <c r="A108" s="33" t="s">
        <v>926</v>
      </c>
      <c r="B108" s="33" t="s">
        <v>1907</v>
      </c>
      <c r="C108" s="86" t="s">
        <v>1346</v>
      </c>
      <c r="D108" s="34">
        <v>100</v>
      </c>
      <c r="E108" s="34" t="s">
        <v>2</v>
      </c>
      <c r="F108" s="509"/>
      <c r="G108" s="509"/>
      <c r="H108" s="509"/>
      <c r="I108" s="34"/>
      <c r="J108" s="34"/>
      <c r="K108" s="34">
        <f t="shared" si="16"/>
        <v>0</v>
      </c>
      <c r="L108" s="34">
        <f t="shared" si="25"/>
        <v>0</v>
      </c>
      <c r="M108" s="522">
        <v>6.1635</v>
      </c>
      <c r="N108" s="522">
        <v>8.567264999999999</v>
      </c>
      <c r="O108" s="522">
        <f t="shared" si="26"/>
        <v>8.567264999999999</v>
      </c>
      <c r="P108" s="57">
        <f t="shared" si="27"/>
        <v>11.908498349999999</v>
      </c>
      <c r="Q108" s="42">
        <f t="shared" si="28"/>
        <v>12.238949999999999</v>
      </c>
      <c r="R108" s="27">
        <f t="shared" si="29"/>
        <v>1223.895</v>
      </c>
      <c r="S108" s="41">
        <f t="shared" si="30"/>
        <v>0.30000000000000004</v>
      </c>
      <c r="T108" s="47"/>
      <c r="U108" s="28"/>
      <c r="V108" s="48"/>
      <c r="W108" s="71"/>
      <c r="X108" s="71"/>
      <c r="Y108" s="37"/>
      <c r="Z108" s="77"/>
      <c r="AA108" s="77"/>
      <c r="AB108" s="77"/>
      <c r="AC108" s="77"/>
      <c r="AF108" s="77"/>
      <c r="AG108" s="77"/>
      <c r="AH108" s="34"/>
      <c r="AI108" s="34"/>
      <c r="AJ108" s="184"/>
      <c r="AK108" s="187" t="s">
        <v>173</v>
      </c>
      <c r="AL108" s="183" t="e">
        <f>VLOOKUP(AK108,B:O,6,FALSE)</f>
        <v>#N/A</v>
      </c>
      <c r="AM108" s="183" t="e">
        <f>AL108-O108</f>
        <v>#N/A</v>
      </c>
      <c r="AP108" s="187"/>
    </row>
    <row r="109" spans="1:43">
      <c r="A109" s="54" t="s">
        <v>926</v>
      </c>
      <c r="B109" s="54" t="s">
        <v>1908</v>
      </c>
      <c r="C109" s="86" t="s">
        <v>1347</v>
      </c>
      <c r="D109" s="189">
        <v>120</v>
      </c>
      <c r="E109" s="189" t="s">
        <v>2</v>
      </c>
      <c r="F109" s="509"/>
      <c r="G109" s="509"/>
      <c r="H109" s="509"/>
      <c r="I109" s="34"/>
      <c r="J109" s="34"/>
      <c r="K109" s="34">
        <f t="shared" si="16"/>
        <v>0</v>
      </c>
      <c r="L109" s="34">
        <f t="shared" si="25"/>
        <v>0</v>
      </c>
      <c r="M109" s="522"/>
      <c r="N109" s="522">
        <v>0</v>
      </c>
      <c r="O109" s="522">
        <f t="shared" si="26"/>
        <v>0</v>
      </c>
      <c r="P109" s="57">
        <f t="shared" si="27"/>
        <v>0</v>
      </c>
      <c r="Q109" s="42">
        <f t="shared" si="28"/>
        <v>0</v>
      </c>
      <c r="R109" s="27">
        <f t="shared" si="29"/>
        <v>0</v>
      </c>
      <c r="S109" s="41" t="e">
        <f t="shared" si="30"/>
        <v>#DIV/0!</v>
      </c>
      <c r="T109" s="47"/>
      <c r="U109" s="28"/>
      <c r="V109" s="48"/>
      <c r="W109" s="71"/>
      <c r="X109" s="71"/>
      <c r="Y109" s="37"/>
      <c r="Z109" s="77"/>
      <c r="AA109" s="77"/>
      <c r="AB109" s="77"/>
      <c r="AC109" s="77"/>
      <c r="AF109" s="77"/>
      <c r="AG109" s="77"/>
      <c r="AH109" s="34"/>
      <c r="AI109" s="34"/>
      <c r="AJ109" s="184"/>
      <c r="AK109" s="10"/>
      <c r="AL109" s="183"/>
      <c r="AM109" s="183"/>
      <c r="AP109" s="187"/>
    </row>
    <row r="110" spans="1:43">
      <c r="A110" s="33" t="s">
        <v>926</v>
      </c>
      <c r="B110" s="33" t="s">
        <v>1909</v>
      </c>
      <c r="C110" s="86" t="s">
        <v>1348</v>
      </c>
      <c r="D110" s="34">
        <v>50</v>
      </c>
      <c r="E110" s="34" t="s">
        <v>2</v>
      </c>
      <c r="F110" s="509"/>
      <c r="G110" s="509"/>
      <c r="H110" s="509"/>
      <c r="I110" s="34">
        <v>36</v>
      </c>
      <c r="J110" s="34"/>
      <c r="K110" s="34">
        <f t="shared" si="16"/>
        <v>0</v>
      </c>
      <c r="L110" s="34">
        <f t="shared" si="25"/>
        <v>0</v>
      </c>
      <c r="M110" s="522"/>
      <c r="N110" s="522">
        <v>0</v>
      </c>
      <c r="O110" s="522">
        <f t="shared" si="26"/>
        <v>0</v>
      </c>
      <c r="P110" s="57">
        <f t="shared" si="27"/>
        <v>0</v>
      </c>
      <c r="Q110" s="42">
        <f t="shared" si="28"/>
        <v>0</v>
      </c>
      <c r="R110" s="27">
        <f t="shared" si="29"/>
        <v>0</v>
      </c>
      <c r="S110" s="41" t="e">
        <f t="shared" si="30"/>
        <v>#DIV/0!</v>
      </c>
      <c r="T110" s="47"/>
      <c r="U110" s="28"/>
      <c r="V110" s="48"/>
      <c r="W110" s="71"/>
      <c r="X110" s="71"/>
      <c r="Y110" s="37"/>
      <c r="Z110" s="77"/>
      <c r="AA110" s="77"/>
      <c r="AB110" s="77"/>
      <c r="AC110" s="77"/>
      <c r="AF110" s="77" t="s">
        <v>1133</v>
      </c>
      <c r="AG110" s="77">
        <v>4.24</v>
      </c>
      <c r="AH110" s="145">
        <f>Q110</f>
        <v>0</v>
      </c>
      <c r="AI110" s="77">
        <f>AH110-AG110</f>
        <v>-4.24</v>
      </c>
      <c r="AJ110" s="184"/>
      <c r="AK110" s="187" t="s">
        <v>175</v>
      </c>
      <c r="AL110" s="183" t="e">
        <f>VLOOKUP(AK110,B:O,6,FALSE)</f>
        <v>#N/A</v>
      </c>
      <c r="AM110" s="183" t="e">
        <f>AL110-O110</f>
        <v>#N/A</v>
      </c>
      <c r="AP110" s="187"/>
    </row>
    <row r="111" spans="1:43">
      <c r="A111" s="33" t="s">
        <v>926</v>
      </c>
      <c r="B111" s="33" t="s">
        <v>1910</v>
      </c>
      <c r="C111" s="86" t="s">
        <v>1497</v>
      </c>
      <c r="D111" s="34">
        <v>20</v>
      </c>
      <c r="E111" s="34" t="s">
        <v>2</v>
      </c>
      <c r="F111" s="510">
        <v>46</v>
      </c>
      <c r="G111" s="510">
        <v>38</v>
      </c>
      <c r="H111" s="510">
        <v>22</v>
      </c>
      <c r="I111" s="34">
        <v>42</v>
      </c>
      <c r="J111" s="34"/>
      <c r="K111" s="34">
        <f t="shared" si="16"/>
        <v>1.762689075630252</v>
      </c>
      <c r="L111" s="34">
        <f t="shared" si="25"/>
        <v>2.45013781512605</v>
      </c>
      <c r="M111" s="522">
        <v>1.736</v>
      </c>
      <c r="N111" s="522">
        <v>2.4130399999999996</v>
      </c>
      <c r="O111" s="522">
        <f t="shared" si="26"/>
        <v>2.4130399999999996</v>
      </c>
      <c r="P111" s="57">
        <f t="shared" si="27"/>
        <v>3.3541255999999993</v>
      </c>
      <c r="Q111" s="42">
        <f t="shared" si="28"/>
        <v>3.4471999999999996</v>
      </c>
      <c r="R111" s="27">
        <f t="shared" si="29"/>
        <v>68.943999999999988</v>
      </c>
      <c r="S111" s="41">
        <f t="shared" si="30"/>
        <v>0.30000000000000004</v>
      </c>
      <c r="T111" s="47"/>
      <c r="U111" s="28"/>
      <c r="V111" s="48"/>
      <c r="W111" s="71"/>
      <c r="X111" s="71"/>
      <c r="Y111" s="37"/>
      <c r="Z111" s="77"/>
      <c r="AA111" s="77"/>
      <c r="AB111" s="77"/>
      <c r="AC111" s="77"/>
      <c r="AF111" s="77"/>
      <c r="AG111" s="77"/>
      <c r="AH111" s="145"/>
      <c r="AI111" s="77"/>
      <c r="AJ111" s="184"/>
      <c r="AK111" s="187"/>
      <c r="AL111" s="183"/>
      <c r="AM111" s="183"/>
      <c r="AP111" s="187"/>
    </row>
    <row r="112" spans="1:43">
      <c r="A112" s="33" t="s">
        <v>926</v>
      </c>
      <c r="B112" s="33" t="s">
        <v>1911</v>
      </c>
      <c r="C112" s="86" t="s">
        <v>1496</v>
      </c>
      <c r="D112" s="34">
        <v>20</v>
      </c>
      <c r="E112" s="34" t="s">
        <v>2</v>
      </c>
      <c r="F112" s="510">
        <v>52</v>
      </c>
      <c r="G112" s="510">
        <v>39</v>
      </c>
      <c r="H112" s="510">
        <v>32</v>
      </c>
      <c r="I112" s="34">
        <v>42</v>
      </c>
      <c r="J112" s="34"/>
      <c r="K112" s="34">
        <f t="shared" si="16"/>
        <v>2.9746065699006876</v>
      </c>
      <c r="L112" s="34">
        <f t="shared" si="25"/>
        <v>4.1347031321619552</v>
      </c>
      <c r="M112" s="522">
        <v>5.3098000000000001</v>
      </c>
      <c r="N112" s="522">
        <v>7.3806219999999998</v>
      </c>
      <c r="O112" s="522">
        <f t="shared" si="26"/>
        <v>7.3806219999999998</v>
      </c>
      <c r="P112" s="57">
        <f t="shared" si="27"/>
        <v>10.259064579999999</v>
      </c>
      <c r="Q112" s="42">
        <f t="shared" si="28"/>
        <v>10.543745714285714</v>
      </c>
      <c r="R112" s="27">
        <f t="shared" si="29"/>
        <v>210.87491428571428</v>
      </c>
      <c r="S112" s="41">
        <f t="shared" si="30"/>
        <v>0.30000000000000004</v>
      </c>
      <c r="T112" s="47"/>
      <c r="U112" s="28"/>
      <c r="V112" s="48"/>
      <c r="W112" s="71"/>
      <c r="X112" s="71"/>
      <c r="Y112" s="37"/>
      <c r="Z112" s="77"/>
      <c r="AA112" s="77"/>
      <c r="AB112" s="77"/>
      <c r="AC112" s="77"/>
      <c r="AF112" s="77"/>
      <c r="AG112" s="77"/>
      <c r="AH112" s="145"/>
      <c r="AI112" s="77"/>
      <c r="AJ112" s="184"/>
      <c r="AK112" s="187"/>
      <c r="AL112" s="183"/>
      <c r="AM112" s="183"/>
      <c r="AP112" s="187"/>
    </row>
    <row r="113" spans="1:43">
      <c r="A113" s="33" t="s">
        <v>926</v>
      </c>
      <c r="B113" s="33" t="s">
        <v>1912</v>
      </c>
      <c r="C113" s="33" t="s">
        <v>1349</v>
      </c>
      <c r="D113" s="34">
        <v>120</v>
      </c>
      <c r="E113" s="34" t="s">
        <v>2</v>
      </c>
      <c r="F113" s="509"/>
      <c r="G113" s="509"/>
      <c r="H113" s="509"/>
      <c r="I113" s="34">
        <v>36</v>
      </c>
      <c r="J113" s="34"/>
      <c r="K113" s="34">
        <f t="shared" si="16"/>
        <v>0</v>
      </c>
      <c r="L113" s="34">
        <f t="shared" si="25"/>
        <v>0</v>
      </c>
      <c r="M113" s="522"/>
      <c r="N113" s="522">
        <v>0</v>
      </c>
      <c r="O113" s="522">
        <f t="shared" si="26"/>
        <v>0</v>
      </c>
      <c r="P113" s="57">
        <f t="shared" si="27"/>
        <v>0</v>
      </c>
      <c r="Q113" s="42">
        <f t="shared" si="28"/>
        <v>0</v>
      </c>
      <c r="R113" s="27">
        <f t="shared" si="29"/>
        <v>0</v>
      </c>
      <c r="S113" s="41" t="e">
        <f t="shared" si="30"/>
        <v>#DIV/0!</v>
      </c>
      <c r="T113" s="47"/>
      <c r="U113" s="28"/>
      <c r="V113" s="48"/>
      <c r="W113" s="71"/>
      <c r="X113" s="71"/>
      <c r="Y113" s="37"/>
      <c r="Z113" s="77"/>
      <c r="AA113" s="77"/>
      <c r="AB113" s="77"/>
      <c r="AC113" s="77"/>
      <c r="AF113" s="77" t="s">
        <v>1135</v>
      </c>
      <c r="AG113" s="77">
        <v>4.5</v>
      </c>
      <c r="AH113" s="145">
        <f>Q113</f>
        <v>0</v>
      </c>
      <c r="AI113" s="77">
        <f>AH113-AG113</f>
        <v>-4.5</v>
      </c>
      <c r="AJ113" s="184"/>
      <c r="AK113" s="10"/>
      <c r="AL113" s="183"/>
      <c r="AM113" s="183"/>
      <c r="AP113" s="187"/>
    </row>
    <row r="114" spans="1:43">
      <c r="A114" s="33" t="s">
        <v>926</v>
      </c>
      <c r="B114" s="33" t="s">
        <v>1913</v>
      </c>
      <c r="C114" s="33" t="s">
        <v>1350</v>
      </c>
      <c r="D114" s="34">
        <v>80</v>
      </c>
      <c r="E114" s="34" t="s">
        <v>2</v>
      </c>
      <c r="F114" s="510">
        <v>46</v>
      </c>
      <c r="G114" s="510">
        <v>35</v>
      </c>
      <c r="H114" s="510">
        <v>24</v>
      </c>
      <c r="I114" s="34">
        <v>36</v>
      </c>
      <c r="J114" s="34"/>
      <c r="K114" s="34">
        <f t="shared" si="16"/>
        <v>1.7711229946524065</v>
      </c>
      <c r="L114" s="34">
        <f t="shared" si="25"/>
        <v>2.4618609625668451</v>
      </c>
      <c r="M114" s="522">
        <v>2.5257000000000001</v>
      </c>
      <c r="N114" s="522">
        <v>3.510723</v>
      </c>
      <c r="O114" s="522">
        <f t="shared" si="26"/>
        <v>3.510723</v>
      </c>
      <c r="P114" s="57">
        <f t="shared" si="27"/>
        <v>4.8799049700000001</v>
      </c>
      <c r="Q114" s="42">
        <f t="shared" si="28"/>
        <v>5.0153185714285717</v>
      </c>
      <c r="R114" s="27">
        <f t="shared" si="29"/>
        <v>401.22548571428575</v>
      </c>
      <c r="S114" s="41">
        <f t="shared" si="30"/>
        <v>0.30000000000000004</v>
      </c>
      <c r="T114" s="47"/>
      <c r="U114" s="28"/>
      <c r="V114" s="48"/>
      <c r="W114" s="71"/>
      <c r="X114" s="71"/>
      <c r="Y114" s="37"/>
      <c r="Z114" s="77"/>
      <c r="AA114" s="77"/>
      <c r="AB114" s="77"/>
      <c r="AC114" s="77"/>
      <c r="AF114" s="77" t="s">
        <v>1141</v>
      </c>
      <c r="AG114" s="77">
        <v>6</v>
      </c>
      <c r="AH114" s="145">
        <f>Q114</f>
        <v>5.0153185714285717</v>
      </c>
      <c r="AI114" s="77">
        <f>AH114-AG114</f>
        <v>-0.98468142857142826</v>
      </c>
      <c r="AJ114" s="184"/>
      <c r="AK114" s="10"/>
      <c r="AL114" s="183"/>
      <c r="AM114" s="183"/>
      <c r="AP114" s="10"/>
    </row>
    <row r="115" spans="1:43">
      <c r="A115" s="33" t="s">
        <v>926</v>
      </c>
      <c r="B115" s="33" t="s">
        <v>1914</v>
      </c>
      <c r="C115" s="33" t="s">
        <v>1351</v>
      </c>
      <c r="D115" s="34">
        <v>40</v>
      </c>
      <c r="E115" s="34" t="s">
        <v>2</v>
      </c>
      <c r="F115" s="509"/>
      <c r="G115" s="509"/>
      <c r="H115" s="509"/>
      <c r="I115" s="34">
        <v>24</v>
      </c>
      <c r="J115" s="34"/>
      <c r="K115" s="34">
        <f t="shared" si="16"/>
        <v>0</v>
      </c>
      <c r="L115" s="34">
        <f t="shared" si="25"/>
        <v>0</v>
      </c>
      <c r="M115" s="522">
        <v>8.5145</v>
      </c>
      <c r="N115" s="522">
        <v>11.835154999999999</v>
      </c>
      <c r="O115" s="522">
        <f t="shared" si="26"/>
        <v>11.835154999999999</v>
      </c>
      <c r="P115" s="57">
        <f t="shared" si="27"/>
        <v>16.450865449999998</v>
      </c>
      <c r="Q115" s="42">
        <f t="shared" si="28"/>
        <v>16.907364285714284</v>
      </c>
      <c r="R115" s="27">
        <f t="shared" si="29"/>
        <v>676.29457142857132</v>
      </c>
      <c r="S115" s="41">
        <f t="shared" si="30"/>
        <v>0.3</v>
      </c>
      <c r="T115" s="47"/>
      <c r="U115" s="28"/>
      <c r="V115" s="48"/>
      <c r="W115" s="71"/>
      <c r="X115" s="71"/>
      <c r="Y115" s="37"/>
      <c r="Z115" s="77"/>
      <c r="AA115" s="77"/>
      <c r="AB115" s="77"/>
      <c r="AC115" s="77"/>
      <c r="AF115" s="77" t="s">
        <v>1142</v>
      </c>
      <c r="AG115" s="77">
        <v>6.91</v>
      </c>
      <c r="AH115" s="145">
        <f>Q115</f>
        <v>16.907364285714284</v>
      </c>
      <c r="AI115" s="77">
        <f>AH115-AG115</f>
        <v>9.9973642857142835</v>
      </c>
      <c r="AJ115" s="184"/>
      <c r="AK115" s="10"/>
      <c r="AL115" s="183"/>
      <c r="AM115" s="183"/>
      <c r="AP115" s="10"/>
    </row>
    <row r="116" spans="1:43" s="10" customFormat="1">
      <c r="A116" s="33" t="s">
        <v>926</v>
      </c>
      <c r="B116" s="33" t="s">
        <v>1915</v>
      </c>
      <c r="C116" s="33" t="s">
        <v>1352</v>
      </c>
      <c r="D116" s="34">
        <v>40</v>
      </c>
      <c r="E116" s="34" t="s">
        <v>2</v>
      </c>
      <c r="F116" s="510">
        <v>52</v>
      </c>
      <c r="G116" s="510">
        <v>39</v>
      </c>
      <c r="H116" s="510">
        <v>28</v>
      </c>
      <c r="I116" s="34">
        <v>36</v>
      </c>
      <c r="J116" s="34"/>
      <c r="K116" s="34">
        <f t="shared" si="16"/>
        <v>2.6027807486631014</v>
      </c>
      <c r="L116" s="34">
        <f t="shared" si="25"/>
        <v>3.6178652406417107</v>
      </c>
      <c r="M116" s="522">
        <v>7.2301000000000002</v>
      </c>
      <c r="N116" s="522">
        <v>10.049839</v>
      </c>
      <c r="O116" s="522">
        <f t="shared" si="26"/>
        <v>10.049839</v>
      </c>
      <c r="P116" s="57">
        <f t="shared" si="27"/>
        <v>13.96927621</v>
      </c>
      <c r="Q116" s="42">
        <f t="shared" si="28"/>
        <v>14.356912857142859</v>
      </c>
      <c r="R116" s="27">
        <f t="shared" si="29"/>
        <v>574.27651428571437</v>
      </c>
      <c r="S116" s="41">
        <f t="shared" si="30"/>
        <v>0.3000000000000001</v>
      </c>
      <c r="T116" s="47"/>
      <c r="U116" s="28"/>
      <c r="V116" s="48"/>
      <c r="W116" s="71"/>
      <c r="X116" s="71"/>
      <c r="Y116" s="37"/>
      <c r="Z116" s="77"/>
      <c r="AA116" s="77"/>
      <c r="AB116" s="77"/>
      <c r="AC116" s="77"/>
      <c r="AD116"/>
      <c r="AE116"/>
      <c r="AF116" s="77" t="s">
        <v>1143</v>
      </c>
      <c r="AG116" s="77">
        <v>7.5</v>
      </c>
      <c r="AH116" s="145">
        <f>Q116</f>
        <v>14.356912857142859</v>
      </c>
      <c r="AI116" s="77">
        <f>AH116-AG116</f>
        <v>6.8569128571428593</v>
      </c>
      <c r="AJ116" s="184"/>
      <c r="AL116" s="183"/>
      <c r="AM116" s="183"/>
      <c r="AN116"/>
      <c r="AO116"/>
      <c r="AQ116"/>
    </row>
    <row r="117" spans="1:43" s="10" customFormat="1">
      <c r="A117" s="33" t="s">
        <v>926</v>
      </c>
      <c r="B117" s="33" t="s">
        <v>1916</v>
      </c>
      <c r="C117" s="33" t="s">
        <v>1353</v>
      </c>
      <c r="D117" s="34">
        <v>160</v>
      </c>
      <c r="E117" s="34" t="s">
        <v>2</v>
      </c>
      <c r="F117" s="509"/>
      <c r="G117" s="509"/>
      <c r="H117" s="509"/>
      <c r="I117" s="34"/>
      <c r="J117" s="34"/>
      <c r="K117" s="34">
        <f t="shared" si="16"/>
        <v>0</v>
      </c>
      <c r="L117" s="34">
        <f t="shared" si="25"/>
        <v>0</v>
      </c>
      <c r="M117" s="522"/>
      <c r="N117" s="522">
        <v>0</v>
      </c>
      <c r="O117" s="522">
        <f t="shared" si="26"/>
        <v>0</v>
      </c>
      <c r="P117" s="57">
        <f t="shared" si="27"/>
        <v>0</v>
      </c>
      <c r="Q117" s="42">
        <f t="shared" si="28"/>
        <v>0</v>
      </c>
      <c r="R117" s="27">
        <f t="shared" si="29"/>
        <v>0</v>
      </c>
      <c r="S117" s="41" t="e">
        <f t="shared" si="30"/>
        <v>#DIV/0!</v>
      </c>
      <c r="T117" s="47"/>
      <c r="U117" s="28"/>
      <c r="V117" s="48"/>
      <c r="W117" s="71"/>
      <c r="X117" s="71"/>
      <c r="Y117" s="37"/>
      <c r="Z117" s="77"/>
      <c r="AA117" s="77"/>
      <c r="AB117" s="77"/>
      <c r="AC117" s="77"/>
      <c r="AD117"/>
      <c r="AE117"/>
      <c r="AF117" s="77"/>
      <c r="AG117" s="77"/>
      <c r="AH117" s="34"/>
      <c r="AI117" s="34"/>
      <c r="AJ117" s="184"/>
      <c r="AL117" s="183"/>
      <c r="AM117" s="183"/>
      <c r="AN117"/>
      <c r="AO117"/>
      <c r="AQ117"/>
    </row>
    <row r="118" spans="1:43" s="10" customFormat="1">
      <c r="A118" s="33" t="s">
        <v>926</v>
      </c>
      <c r="B118" s="33" t="s">
        <v>1917</v>
      </c>
      <c r="C118" s="33" t="s">
        <v>1354</v>
      </c>
      <c r="D118" s="34">
        <v>120</v>
      </c>
      <c r="E118" s="34" t="s">
        <v>2</v>
      </c>
      <c r="F118" s="510">
        <v>52</v>
      </c>
      <c r="G118" s="510">
        <v>30</v>
      </c>
      <c r="H118" s="510">
        <v>32</v>
      </c>
      <c r="I118" s="34"/>
      <c r="J118" s="34"/>
      <c r="K118" s="34">
        <f t="shared" si="16"/>
        <v>2.288158899923606</v>
      </c>
      <c r="L118" s="34">
        <f t="shared" si="25"/>
        <v>3.1805408708938123</v>
      </c>
      <c r="M118" s="522">
        <v>3.1057999999999999</v>
      </c>
      <c r="N118" s="522">
        <v>4.317062</v>
      </c>
      <c r="O118" s="522">
        <f t="shared" si="26"/>
        <v>4.317062</v>
      </c>
      <c r="P118" s="57">
        <f t="shared" si="27"/>
        <v>6.0007161799999995</v>
      </c>
      <c r="Q118" s="42">
        <f t="shared" si="28"/>
        <v>6.1672314285714291</v>
      </c>
      <c r="R118" s="27">
        <f t="shared" si="29"/>
        <v>740.06777142857152</v>
      </c>
      <c r="S118" s="41">
        <f t="shared" si="30"/>
        <v>0.30000000000000004</v>
      </c>
      <c r="T118" s="47"/>
      <c r="U118" s="28"/>
      <c r="V118" s="48"/>
      <c r="W118" s="71"/>
      <c r="X118" s="71"/>
      <c r="Y118" s="37"/>
      <c r="Z118" s="77"/>
      <c r="AA118" s="77"/>
      <c r="AB118" s="77"/>
      <c r="AC118" s="77"/>
      <c r="AD118"/>
      <c r="AE118"/>
      <c r="AF118" s="77"/>
      <c r="AG118" s="77"/>
      <c r="AH118" s="34"/>
      <c r="AI118" s="34"/>
      <c r="AJ118" s="184"/>
      <c r="AK118" s="187" t="s">
        <v>189</v>
      </c>
      <c r="AL118" s="183"/>
      <c r="AM118" s="183"/>
      <c r="AN118"/>
      <c r="AO118"/>
      <c r="AQ118"/>
    </row>
    <row r="119" spans="1:43">
      <c r="A119" s="33" t="s">
        <v>926</v>
      </c>
      <c r="B119" s="33" t="s">
        <v>1918</v>
      </c>
      <c r="C119" s="33" t="s">
        <v>1355</v>
      </c>
      <c r="D119" s="34">
        <v>40</v>
      </c>
      <c r="E119" s="34" t="s">
        <v>2</v>
      </c>
      <c r="F119" s="509"/>
      <c r="G119" s="509"/>
      <c r="H119" s="509"/>
      <c r="I119" s="34">
        <v>36</v>
      </c>
      <c r="J119" s="34"/>
      <c r="K119" s="34">
        <f t="shared" si="16"/>
        <v>0</v>
      </c>
      <c r="L119" s="34">
        <f t="shared" si="25"/>
        <v>0</v>
      </c>
      <c r="M119" s="522"/>
      <c r="N119" s="522">
        <v>0</v>
      </c>
      <c r="O119" s="522">
        <f t="shared" si="26"/>
        <v>0</v>
      </c>
      <c r="P119" s="57">
        <f t="shared" si="27"/>
        <v>0</v>
      </c>
      <c r="Q119" s="42">
        <f t="shared" si="28"/>
        <v>0</v>
      </c>
      <c r="R119" s="27">
        <f t="shared" si="29"/>
        <v>0</v>
      </c>
      <c r="S119" s="41" t="e">
        <f t="shared" si="30"/>
        <v>#DIV/0!</v>
      </c>
      <c r="T119" s="47"/>
      <c r="U119" s="28"/>
      <c r="V119" s="48"/>
      <c r="W119" s="71"/>
      <c r="X119" s="71"/>
      <c r="Y119" s="37"/>
      <c r="Z119" s="77"/>
      <c r="AA119" s="77"/>
      <c r="AB119" s="77"/>
      <c r="AC119" s="77"/>
      <c r="AF119" s="77"/>
      <c r="AG119" s="77"/>
      <c r="AH119" s="34"/>
      <c r="AI119" s="34"/>
      <c r="AJ119" s="184"/>
      <c r="AK119" s="187" t="s">
        <v>191</v>
      </c>
      <c r="AL119" s="183" t="e">
        <f>VLOOKUP(AK119,B:O,6,FALSE)</f>
        <v>#N/A</v>
      </c>
      <c r="AM119" s="183" t="e">
        <f>AL119-O119</f>
        <v>#N/A</v>
      </c>
      <c r="AP119" s="10"/>
    </row>
    <row r="120" spans="1:43">
      <c r="A120" s="33" t="s">
        <v>926</v>
      </c>
      <c r="B120" s="33" t="s">
        <v>1919</v>
      </c>
      <c r="C120" s="33" t="s">
        <v>1356</v>
      </c>
      <c r="D120" s="34">
        <v>40</v>
      </c>
      <c r="E120" s="34" t="s">
        <v>2</v>
      </c>
      <c r="F120" s="509"/>
      <c r="G120" s="509"/>
      <c r="H120" s="509"/>
      <c r="I120" s="34">
        <v>36</v>
      </c>
      <c r="J120" s="34"/>
      <c r="K120" s="34">
        <f t="shared" si="16"/>
        <v>0</v>
      </c>
      <c r="L120" s="34">
        <f t="shared" si="25"/>
        <v>0</v>
      </c>
      <c r="M120" s="522"/>
      <c r="N120" s="522">
        <v>0</v>
      </c>
      <c r="O120" s="522">
        <f t="shared" si="26"/>
        <v>0</v>
      </c>
      <c r="P120" s="57">
        <f t="shared" si="27"/>
        <v>0</v>
      </c>
      <c r="Q120" s="42">
        <f t="shared" si="28"/>
        <v>0</v>
      </c>
      <c r="R120" s="27">
        <f t="shared" si="29"/>
        <v>0</v>
      </c>
      <c r="S120" s="41" t="e">
        <f t="shared" si="30"/>
        <v>#DIV/0!</v>
      </c>
      <c r="T120" s="47"/>
      <c r="U120" s="28"/>
      <c r="V120" s="48"/>
      <c r="W120" s="71"/>
      <c r="X120" s="71"/>
      <c r="Y120" s="37"/>
      <c r="Z120" s="77"/>
      <c r="AA120" s="77"/>
      <c r="AB120" s="77"/>
      <c r="AC120" s="77"/>
      <c r="AF120" s="77"/>
      <c r="AG120" s="77"/>
      <c r="AH120" s="34"/>
      <c r="AI120" s="34"/>
      <c r="AJ120" s="184"/>
      <c r="AK120" s="10"/>
      <c r="AL120" s="183"/>
      <c r="AM120" s="183"/>
      <c r="AP120" s="10"/>
    </row>
    <row r="121" spans="1:43">
      <c r="A121" s="33" t="s">
        <v>926</v>
      </c>
      <c r="B121" s="33" t="s">
        <v>1920</v>
      </c>
      <c r="C121" s="86" t="s">
        <v>1357</v>
      </c>
      <c r="D121" s="34">
        <v>250</v>
      </c>
      <c r="E121" s="34" t="s">
        <v>2</v>
      </c>
      <c r="F121" s="509"/>
      <c r="G121" s="509"/>
      <c r="H121" s="509"/>
      <c r="I121" s="34"/>
      <c r="J121" s="34"/>
      <c r="K121" s="34">
        <f t="shared" si="16"/>
        <v>0</v>
      </c>
      <c r="L121" s="34">
        <f t="shared" si="25"/>
        <v>0</v>
      </c>
      <c r="M121" s="522"/>
      <c r="N121" s="522">
        <v>0</v>
      </c>
      <c r="O121" s="522">
        <f t="shared" si="26"/>
        <v>0</v>
      </c>
      <c r="P121" s="57">
        <f t="shared" si="27"/>
        <v>0</v>
      </c>
      <c r="Q121" s="42">
        <f t="shared" si="28"/>
        <v>0</v>
      </c>
      <c r="R121" s="27">
        <f t="shared" si="29"/>
        <v>0</v>
      </c>
      <c r="S121" s="41" t="e">
        <f t="shared" si="30"/>
        <v>#DIV/0!</v>
      </c>
      <c r="T121" s="47"/>
      <c r="U121" s="28"/>
      <c r="V121" s="48"/>
      <c r="W121" s="71"/>
      <c r="X121" s="71"/>
      <c r="Y121" s="37"/>
      <c r="Z121" s="77"/>
      <c r="AA121" s="77"/>
      <c r="AB121" s="77"/>
      <c r="AC121" s="77"/>
      <c r="AF121" s="77"/>
      <c r="AG121" s="77"/>
      <c r="AH121" s="34"/>
      <c r="AI121" s="34"/>
      <c r="AJ121" s="184"/>
      <c r="AK121" s="187" t="s">
        <v>195</v>
      </c>
      <c r="AL121" s="183" t="e">
        <f>VLOOKUP(AK121,B:O,6,FALSE)</f>
        <v>#N/A</v>
      </c>
      <c r="AM121" s="183" t="e">
        <f>AL121-O121</f>
        <v>#N/A</v>
      </c>
      <c r="AP121" s="187"/>
    </row>
    <row r="122" spans="1:43">
      <c r="A122" s="33" t="s">
        <v>926</v>
      </c>
      <c r="B122" s="33" t="s">
        <v>1921</v>
      </c>
      <c r="C122" s="86" t="s">
        <v>1358</v>
      </c>
      <c r="D122" s="34">
        <v>180</v>
      </c>
      <c r="E122" s="34" t="s">
        <v>2</v>
      </c>
      <c r="F122" s="510">
        <v>40</v>
      </c>
      <c r="G122" s="510">
        <v>25</v>
      </c>
      <c r="H122" s="510">
        <v>20</v>
      </c>
      <c r="I122" s="34"/>
      <c r="J122" s="34"/>
      <c r="K122" s="34">
        <f t="shared" si="16"/>
        <v>0.91673032849503433</v>
      </c>
      <c r="L122" s="34">
        <f t="shared" si="25"/>
        <v>1.2742551566080977</v>
      </c>
      <c r="M122" s="522">
        <v>0.77629999999999999</v>
      </c>
      <c r="N122" s="522">
        <v>1.0790569999999999</v>
      </c>
      <c r="O122" s="522">
        <f t="shared" si="26"/>
        <v>1.0790569999999999</v>
      </c>
      <c r="P122" s="57">
        <f t="shared" si="27"/>
        <v>1.4998892299999997</v>
      </c>
      <c r="Q122" s="42">
        <f t="shared" si="28"/>
        <v>1.5415099999999999</v>
      </c>
      <c r="R122" s="27">
        <f t="shared" si="29"/>
        <v>277.47179999999997</v>
      </c>
      <c r="S122" s="41">
        <f t="shared" si="30"/>
        <v>0.3</v>
      </c>
      <c r="T122" s="47"/>
      <c r="U122" s="28"/>
      <c r="V122" s="48"/>
      <c r="W122" s="71"/>
      <c r="X122" s="71"/>
      <c r="Y122" s="37"/>
      <c r="Z122" s="77"/>
      <c r="AA122" s="77"/>
      <c r="AB122" s="77"/>
      <c r="AC122" s="77"/>
      <c r="AF122" s="77"/>
      <c r="AG122" s="77"/>
      <c r="AH122" s="34"/>
      <c r="AI122" s="34"/>
      <c r="AJ122" s="184"/>
      <c r="AK122" s="187" t="s">
        <v>197</v>
      </c>
      <c r="AL122" s="183" t="e">
        <f>VLOOKUP(AK122,B:O,6,FALSE)</f>
        <v>#N/A</v>
      </c>
      <c r="AM122" s="183" t="e">
        <f>AL122-O122</f>
        <v>#N/A</v>
      </c>
      <c r="AP122" s="187"/>
    </row>
    <row r="123" spans="1:43" s="10" customFormat="1">
      <c r="A123" s="7" t="s">
        <v>926</v>
      </c>
      <c r="B123" s="7" t="s">
        <v>1922</v>
      </c>
      <c r="C123" s="88" t="s">
        <v>1359</v>
      </c>
      <c r="D123" s="14">
        <v>120</v>
      </c>
      <c r="E123" s="14" t="s">
        <v>2</v>
      </c>
      <c r="F123" s="510">
        <v>40</v>
      </c>
      <c r="G123" s="510">
        <v>25</v>
      </c>
      <c r="H123" s="510">
        <v>20</v>
      </c>
      <c r="I123" s="14"/>
      <c r="J123" s="14"/>
      <c r="K123" s="34">
        <f t="shared" si="16"/>
        <v>0.91673032849503433</v>
      </c>
      <c r="L123" s="34">
        <f t="shared" si="25"/>
        <v>1.2742551566080977</v>
      </c>
      <c r="M123" s="522">
        <v>0.93530000000000002</v>
      </c>
      <c r="N123" s="522">
        <v>1.3000669999999999</v>
      </c>
      <c r="O123" s="522">
        <f t="shared" si="26"/>
        <v>1.3000669999999999</v>
      </c>
      <c r="P123" s="58">
        <f t="shared" si="27"/>
        <v>1.8070931299999997</v>
      </c>
      <c r="Q123" s="44">
        <f t="shared" si="28"/>
        <v>1.8572385714285713</v>
      </c>
      <c r="R123" s="81">
        <f t="shared" si="29"/>
        <v>222.86862857142856</v>
      </c>
      <c r="S123" s="43">
        <f t="shared" si="30"/>
        <v>0.30000000000000004</v>
      </c>
      <c r="T123" s="49"/>
      <c r="U123" s="30"/>
      <c r="V123" s="50"/>
      <c r="W123" s="72"/>
      <c r="X123" s="72"/>
      <c r="Y123" s="38"/>
      <c r="Z123" s="77"/>
      <c r="AA123" s="77"/>
      <c r="AB123" s="77"/>
      <c r="AC123" s="77"/>
      <c r="AD123"/>
      <c r="AE123"/>
      <c r="AF123" s="77" t="s">
        <v>1182</v>
      </c>
      <c r="AG123" s="77"/>
      <c r="AH123" s="34"/>
      <c r="AI123" s="34"/>
      <c r="AJ123" s="184"/>
      <c r="AK123" s="187" t="s">
        <v>199</v>
      </c>
      <c r="AL123" s="183" t="e">
        <f>VLOOKUP(AK123,B:O,6,FALSE)</f>
        <v>#N/A</v>
      </c>
      <c r="AM123" s="183" t="e">
        <f>AL123-O123</f>
        <v>#N/A</v>
      </c>
      <c r="AN123"/>
      <c r="AO123"/>
      <c r="AP123" s="187"/>
      <c r="AQ123"/>
    </row>
    <row r="124" spans="1:43">
      <c r="A124" s="33" t="s">
        <v>926</v>
      </c>
      <c r="B124" s="33" t="s">
        <v>1923</v>
      </c>
      <c r="C124" s="86" t="s">
        <v>1360</v>
      </c>
      <c r="D124" s="34">
        <v>50</v>
      </c>
      <c r="E124" s="34" t="s">
        <v>2</v>
      </c>
      <c r="F124" s="510">
        <v>40</v>
      </c>
      <c r="G124" s="510">
        <v>25</v>
      </c>
      <c r="H124" s="510">
        <v>20</v>
      </c>
      <c r="I124" s="34"/>
      <c r="J124" s="34"/>
      <c r="K124" s="34">
        <f t="shared" si="16"/>
        <v>0.91673032849503433</v>
      </c>
      <c r="L124" s="34">
        <f t="shared" si="25"/>
        <v>1.2742551566080977</v>
      </c>
      <c r="M124" s="522">
        <v>1.0509999999999999</v>
      </c>
      <c r="N124" s="522">
        <v>1.4608899999999998</v>
      </c>
      <c r="O124" s="522">
        <f t="shared" si="26"/>
        <v>1.4608899999999998</v>
      </c>
      <c r="P124" s="57">
        <f t="shared" si="27"/>
        <v>2.0306370999999994</v>
      </c>
      <c r="Q124" s="42">
        <f t="shared" si="28"/>
        <v>2.086985714285714</v>
      </c>
      <c r="R124" s="27">
        <f t="shared" si="29"/>
        <v>104.3492857142857</v>
      </c>
      <c r="S124" s="41">
        <f t="shared" si="30"/>
        <v>0.3</v>
      </c>
      <c r="T124" s="47"/>
      <c r="U124" s="28"/>
      <c r="V124" s="48"/>
      <c r="W124" s="71"/>
      <c r="X124" s="71"/>
      <c r="Y124" s="37"/>
      <c r="Z124" s="79"/>
      <c r="AA124" s="79"/>
      <c r="AB124" s="79"/>
      <c r="AC124" s="79"/>
      <c r="AF124" s="77"/>
      <c r="AG124" s="77"/>
      <c r="AH124" s="34"/>
      <c r="AI124" s="34"/>
      <c r="AJ124" s="184"/>
      <c r="AK124" s="187" t="s">
        <v>201</v>
      </c>
      <c r="AL124" s="183" t="e">
        <f>VLOOKUP(AK124,B:O,6,FALSE)</f>
        <v>#N/A</v>
      </c>
      <c r="AM124" s="183" t="e">
        <f>AL124-O124</f>
        <v>#N/A</v>
      </c>
      <c r="AP124" s="187"/>
    </row>
    <row r="125" spans="1:43">
      <c r="A125" s="33" t="s">
        <v>926</v>
      </c>
      <c r="B125" s="33" t="s">
        <v>1924</v>
      </c>
      <c r="C125" s="86" t="s">
        <v>1361</v>
      </c>
      <c r="D125" s="34">
        <v>80</v>
      </c>
      <c r="E125" s="34" t="s">
        <v>2</v>
      </c>
      <c r="F125" s="510">
        <v>40</v>
      </c>
      <c r="G125" s="510">
        <v>25</v>
      </c>
      <c r="H125" s="510">
        <v>20</v>
      </c>
      <c r="I125" s="34"/>
      <c r="J125" s="34"/>
      <c r="K125" s="34">
        <f t="shared" si="16"/>
        <v>0.91673032849503433</v>
      </c>
      <c r="L125" s="34">
        <f t="shared" si="25"/>
        <v>1.2742551566080977</v>
      </c>
      <c r="M125" s="522">
        <v>1.0470999999999999</v>
      </c>
      <c r="N125" s="522">
        <v>1.4554689999999997</v>
      </c>
      <c r="O125" s="522">
        <f t="shared" si="26"/>
        <v>1.4554689999999997</v>
      </c>
      <c r="P125" s="57">
        <f t="shared" si="27"/>
        <v>2.0231019099999994</v>
      </c>
      <c r="Q125" s="42">
        <f t="shared" si="28"/>
        <v>2.0792414285714282</v>
      </c>
      <c r="R125" s="27">
        <f t="shared" si="29"/>
        <v>166.33931428571427</v>
      </c>
      <c r="S125" s="41">
        <f t="shared" si="30"/>
        <v>0.30000000000000004</v>
      </c>
      <c r="T125" s="47"/>
      <c r="U125" s="28"/>
      <c r="V125" s="48"/>
      <c r="W125" s="71"/>
      <c r="X125" s="71"/>
      <c r="Y125" s="37"/>
      <c r="Z125" s="77"/>
      <c r="AA125" s="77"/>
      <c r="AB125" s="77"/>
      <c r="AC125" s="77"/>
      <c r="AF125" s="77"/>
      <c r="AG125" s="77"/>
      <c r="AH125" s="34"/>
      <c r="AI125" s="34"/>
      <c r="AJ125" s="184"/>
      <c r="AK125" s="187" t="s">
        <v>203</v>
      </c>
      <c r="AL125" s="183"/>
      <c r="AM125" s="183"/>
      <c r="AP125" s="187"/>
    </row>
    <row r="126" spans="1:43">
      <c r="A126" s="33" t="s">
        <v>926</v>
      </c>
      <c r="B126" s="33" t="s">
        <v>1925</v>
      </c>
      <c r="C126" s="86" t="s">
        <v>1443</v>
      </c>
      <c r="D126" s="34">
        <v>50</v>
      </c>
      <c r="E126" s="34" t="s">
        <v>2</v>
      </c>
      <c r="F126" s="510">
        <v>59</v>
      </c>
      <c r="G126" s="510">
        <v>39</v>
      </c>
      <c r="H126" s="510">
        <v>34</v>
      </c>
      <c r="I126" s="34">
        <v>48</v>
      </c>
      <c r="J126" s="34"/>
      <c r="K126" s="34">
        <f t="shared" si="16"/>
        <v>3.5859740259740258</v>
      </c>
      <c r="L126" s="34">
        <f t="shared" si="25"/>
        <v>4.9845038961038952</v>
      </c>
      <c r="M126" s="522">
        <v>1.0449999999999999</v>
      </c>
      <c r="N126" s="522">
        <v>1.4525499999999998</v>
      </c>
      <c r="O126" s="522">
        <f t="shared" si="26"/>
        <v>1.4525499999999998</v>
      </c>
      <c r="P126" s="57">
        <f t="shared" si="27"/>
        <v>2.0190444999999997</v>
      </c>
      <c r="Q126" s="42">
        <f t="shared" si="28"/>
        <v>2.0750714285714285</v>
      </c>
      <c r="R126" s="27">
        <f t="shared" si="29"/>
        <v>103.75357142857142</v>
      </c>
      <c r="S126" s="41">
        <f t="shared" si="30"/>
        <v>0.30000000000000004</v>
      </c>
      <c r="T126" s="47"/>
      <c r="U126" s="28"/>
      <c r="V126" s="48"/>
      <c r="W126" s="71"/>
      <c r="X126" s="71"/>
      <c r="Y126" s="37"/>
      <c r="Z126" s="77"/>
      <c r="AA126" s="77"/>
      <c r="AB126" s="77"/>
      <c r="AC126" s="77"/>
      <c r="AF126" s="77"/>
      <c r="AG126" s="77"/>
      <c r="AH126" s="34"/>
      <c r="AI126" s="34"/>
      <c r="AJ126" s="184"/>
      <c r="AK126" s="187"/>
      <c r="AL126" s="183"/>
      <c r="AM126" s="183"/>
      <c r="AP126" s="187"/>
    </row>
    <row r="127" spans="1:43">
      <c r="A127" s="33" t="s">
        <v>926</v>
      </c>
      <c r="B127" s="33" t="s">
        <v>1926</v>
      </c>
      <c r="C127" s="33" t="s">
        <v>1362</v>
      </c>
      <c r="D127" s="34">
        <v>8</v>
      </c>
      <c r="E127" s="34" t="s">
        <v>2</v>
      </c>
      <c r="F127" s="509"/>
      <c r="G127" s="509"/>
      <c r="H127" s="509"/>
      <c r="I127" s="34"/>
      <c r="J127" s="34"/>
      <c r="K127" s="34">
        <f t="shared" si="16"/>
        <v>0</v>
      </c>
      <c r="L127" s="34">
        <f t="shared" si="25"/>
        <v>0</v>
      </c>
      <c r="M127" s="522">
        <v>1.0658000000000001</v>
      </c>
      <c r="N127" s="522">
        <v>1.4814620000000001</v>
      </c>
      <c r="O127" s="522">
        <f t="shared" si="26"/>
        <v>1.4814620000000001</v>
      </c>
      <c r="P127" s="57">
        <f t="shared" si="27"/>
        <v>2.05923218</v>
      </c>
      <c r="Q127" s="42">
        <f t="shared" si="28"/>
        <v>2.116374285714286</v>
      </c>
      <c r="R127" s="27">
        <f t="shared" si="29"/>
        <v>16.930994285714288</v>
      </c>
      <c r="S127" s="41">
        <f t="shared" si="30"/>
        <v>0.30000000000000004</v>
      </c>
      <c r="T127" s="47"/>
      <c r="U127" s="28"/>
      <c r="V127" s="48"/>
      <c r="W127" s="71"/>
      <c r="X127" s="71"/>
      <c r="Y127" s="37"/>
      <c r="Z127" s="77"/>
      <c r="AA127" s="77"/>
      <c r="AB127" s="77"/>
      <c r="AC127" s="77"/>
      <c r="AF127" s="77" t="s">
        <v>1131</v>
      </c>
      <c r="AG127" s="77">
        <v>18.809999999999999</v>
      </c>
      <c r="AH127" s="145">
        <f>Q127</f>
        <v>2.116374285714286</v>
      </c>
      <c r="AI127" s="77">
        <f>AH127-AG127</f>
        <v>-16.693625714285712</v>
      </c>
      <c r="AJ127" s="184"/>
      <c r="AK127" s="187"/>
      <c r="AL127" s="183"/>
      <c r="AM127" s="183"/>
      <c r="AP127" s="187"/>
    </row>
    <row r="128" spans="1:43">
      <c r="A128" s="33" t="s">
        <v>926</v>
      </c>
      <c r="B128" s="33" t="s">
        <v>1927</v>
      </c>
      <c r="C128" s="86" t="s">
        <v>1406</v>
      </c>
      <c r="D128" s="175">
        <v>20</v>
      </c>
      <c r="E128" s="34" t="s">
        <v>2</v>
      </c>
      <c r="F128" s="510">
        <v>45</v>
      </c>
      <c r="G128" s="510">
        <v>39</v>
      </c>
      <c r="H128" s="510">
        <v>39</v>
      </c>
      <c r="I128" s="34"/>
      <c r="J128" s="34"/>
      <c r="K128" s="34">
        <f t="shared" si="16"/>
        <v>3.1372803666921314</v>
      </c>
      <c r="L128" s="34">
        <f t="shared" si="25"/>
        <v>4.3608197097020627</v>
      </c>
      <c r="M128" s="522">
        <v>1.7293000000000001</v>
      </c>
      <c r="N128" s="522">
        <v>2.4037269999999999</v>
      </c>
      <c r="O128" s="522">
        <f t="shared" si="26"/>
        <v>2.4037269999999999</v>
      </c>
      <c r="P128" s="57">
        <f t="shared" si="27"/>
        <v>3.3411805299999995</v>
      </c>
      <c r="Q128" s="42">
        <f t="shared" si="28"/>
        <v>3.4338957142857143</v>
      </c>
      <c r="R128" s="27">
        <f t="shared" si="29"/>
        <v>68.67791428571428</v>
      </c>
      <c r="S128" s="41">
        <f t="shared" si="30"/>
        <v>0.3</v>
      </c>
      <c r="T128" s="47"/>
      <c r="U128" s="28"/>
      <c r="V128" s="48"/>
      <c r="W128" s="71"/>
      <c r="X128" s="71"/>
      <c r="Y128" s="37"/>
      <c r="Z128" s="77"/>
      <c r="AA128" s="77"/>
      <c r="AB128" s="77"/>
      <c r="AC128" s="77"/>
      <c r="AD128" s="10"/>
      <c r="AE128" s="10"/>
      <c r="AF128" s="77" t="s">
        <v>1407</v>
      </c>
      <c r="AG128" s="77"/>
      <c r="AH128" s="145"/>
      <c r="AI128" s="77"/>
      <c r="AJ128" s="184"/>
      <c r="AK128" s="187"/>
      <c r="AL128" s="183"/>
      <c r="AM128" s="183"/>
    </row>
    <row r="129" spans="1:43">
      <c r="A129" s="33" t="s">
        <v>926</v>
      </c>
      <c r="B129" s="33" t="s">
        <v>1928</v>
      </c>
      <c r="C129" s="86" t="s">
        <v>1363</v>
      </c>
      <c r="D129" s="175">
        <v>75</v>
      </c>
      <c r="E129" s="34" t="s">
        <v>2</v>
      </c>
      <c r="F129" s="509"/>
      <c r="G129" s="509"/>
      <c r="H129" s="509"/>
      <c r="I129" s="34"/>
      <c r="J129" s="34"/>
      <c r="K129" s="34">
        <f t="shared" si="16"/>
        <v>0</v>
      </c>
      <c r="L129" s="34">
        <f t="shared" si="25"/>
        <v>0</v>
      </c>
      <c r="M129" s="522"/>
      <c r="N129" s="522">
        <v>0</v>
      </c>
      <c r="O129" s="522">
        <f t="shared" si="26"/>
        <v>0</v>
      </c>
      <c r="P129" s="57">
        <f t="shared" si="27"/>
        <v>0</v>
      </c>
      <c r="Q129" s="42">
        <f t="shared" si="28"/>
        <v>0</v>
      </c>
      <c r="R129" s="27">
        <f t="shared" si="29"/>
        <v>0</v>
      </c>
      <c r="S129" s="41" t="e">
        <f t="shared" si="30"/>
        <v>#DIV/0!</v>
      </c>
      <c r="T129" s="47"/>
      <c r="U129" s="28"/>
      <c r="V129" s="48"/>
      <c r="W129" s="71"/>
      <c r="X129" s="71"/>
      <c r="Y129" s="37"/>
      <c r="Z129" s="77"/>
      <c r="AA129" s="77"/>
      <c r="AB129" s="77"/>
      <c r="AC129" s="77"/>
      <c r="AD129" s="10"/>
      <c r="AE129" s="10"/>
      <c r="AF129" s="77" t="s">
        <v>1115</v>
      </c>
      <c r="AG129" s="77">
        <v>3.83</v>
      </c>
      <c r="AH129" s="145">
        <f>Q129</f>
        <v>0</v>
      </c>
      <c r="AI129" s="77">
        <f>AH129-AG129</f>
        <v>-3.83</v>
      </c>
      <c r="AJ129" s="184"/>
      <c r="AK129" s="187" t="s">
        <v>213</v>
      </c>
      <c r="AL129" s="183" t="e">
        <f>VLOOKUP(AK129,B:O,6,FALSE)</f>
        <v>#N/A</v>
      </c>
      <c r="AM129" s="183" t="e">
        <f>AL129-O129</f>
        <v>#N/A</v>
      </c>
    </row>
    <row r="130" spans="1:43">
      <c r="A130" s="33" t="s">
        <v>926</v>
      </c>
      <c r="B130" s="33" t="s">
        <v>1929</v>
      </c>
      <c r="C130" s="86" t="s">
        <v>1364</v>
      </c>
      <c r="D130" s="175">
        <v>75</v>
      </c>
      <c r="E130" s="34" t="s">
        <v>2</v>
      </c>
      <c r="F130" s="509"/>
      <c r="G130" s="509"/>
      <c r="H130" s="509"/>
      <c r="I130" s="34"/>
      <c r="J130" s="34"/>
      <c r="K130" s="34">
        <f t="shared" si="16"/>
        <v>0</v>
      </c>
      <c r="L130" s="34">
        <f t="shared" si="25"/>
        <v>0</v>
      </c>
      <c r="M130" s="522"/>
      <c r="N130" s="522">
        <v>0</v>
      </c>
      <c r="O130" s="522">
        <f t="shared" si="26"/>
        <v>0</v>
      </c>
      <c r="P130" s="57">
        <f t="shared" si="27"/>
        <v>0</v>
      </c>
      <c r="Q130" s="42">
        <f t="shared" si="28"/>
        <v>0</v>
      </c>
      <c r="R130" s="27">
        <f t="shared" si="29"/>
        <v>0</v>
      </c>
      <c r="S130" s="41" t="e">
        <f t="shared" si="30"/>
        <v>#DIV/0!</v>
      </c>
      <c r="T130" s="47"/>
      <c r="U130" s="28"/>
      <c r="V130" s="48"/>
      <c r="W130" s="71"/>
      <c r="X130" s="71"/>
      <c r="Y130" s="37"/>
      <c r="Z130" s="77"/>
      <c r="AA130" s="77"/>
      <c r="AB130" s="77"/>
      <c r="AC130" s="77"/>
      <c r="AD130" s="10"/>
      <c r="AE130" s="10"/>
      <c r="AF130" s="77" t="s">
        <v>1116</v>
      </c>
      <c r="AG130" s="77">
        <v>3.92</v>
      </c>
      <c r="AH130" s="145">
        <f>Q130</f>
        <v>0</v>
      </c>
      <c r="AI130" s="77">
        <f>AH130-AG130</f>
        <v>-3.92</v>
      </c>
      <c r="AJ130" s="184"/>
      <c r="AK130" s="187" t="s">
        <v>215</v>
      </c>
      <c r="AL130" s="183" t="e">
        <f>VLOOKUP(AK130,B:O,6,FALSE)</f>
        <v>#N/A</v>
      </c>
      <c r="AM130" s="183" t="e">
        <f>AL130-O130</f>
        <v>#N/A</v>
      </c>
    </row>
    <row r="131" spans="1:43">
      <c r="A131" s="33" t="s">
        <v>926</v>
      </c>
      <c r="B131" s="33" t="s">
        <v>1930</v>
      </c>
      <c r="C131" s="86" t="s">
        <v>1365</v>
      </c>
      <c r="D131" s="175">
        <v>100</v>
      </c>
      <c r="E131" s="34" t="s">
        <v>2</v>
      </c>
      <c r="F131" s="509"/>
      <c r="G131" s="509"/>
      <c r="H131" s="509"/>
      <c r="I131" s="34"/>
      <c r="J131" s="34"/>
      <c r="K131" s="34">
        <f t="shared" ref="K131:K194" si="31" xml:space="preserve"> IFERROR(1200 * (F131*G131*H131)/26180000,"Not available")</f>
        <v>0</v>
      </c>
      <c r="L131" s="34">
        <f t="shared" ref="L131:L162" si="32">IFERROR(K131*1.39, "Not available")</f>
        <v>0</v>
      </c>
      <c r="M131" s="522">
        <v>1.3355999999999999</v>
      </c>
      <c r="N131" s="522">
        <v>1.8564839999999998</v>
      </c>
      <c r="O131" s="522">
        <f t="shared" ref="O131:O162" si="33">M131*1.39</f>
        <v>1.8564839999999998</v>
      </c>
      <c r="P131" s="57">
        <f t="shared" ref="P131:P162" si="34">N131*1.39</f>
        <v>2.5805127599999995</v>
      </c>
      <c r="Q131" s="42">
        <f t="shared" si="28"/>
        <v>2.65212</v>
      </c>
      <c r="R131" s="27">
        <f t="shared" si="29"/>
        <v>265.21199999999999</v>
      </c>
      <c r="S131" s="41">
        <f t="shared" si="30"/>
        <v>0.3000000000000001</v>
      </c>
      <c r="T131" s="47"/>
      <c r="U131" s="28"/>
      <c r="V131" s="48"/>
      <c r="W131" s="71"/>
      <c r="X131" s="71"/>
      <c r="Y131" s="37"/>
      <c r="Z131" s="77"/>
      <c r="AA131" s="77"/>
      <c r="AB131" s="77"/>
      <c r="AC131" s="77"/>
      <c r="AD131" s="10"/>
      <c r="AE131" s="10"/>
      <c r="AF131" s="77" t="s">
        <v>1169</v>
      </c>
      <c r="AG131" s="77"/>
      <c r="AH131" s="145"/>
      <c r="AI131" s="77"/>
      <c r="AJ131" s="184"/>
      <c r="AK131" s="187" t="s">
        <v>223</v>
      </c>
      <c r="AL131" s="183" t="e">
        <f>VLOOKUP(AK131,B:O,6,FALSE)</f>
        <v>#N/A</v>
      </c>
      <c r="AM131" s="183" t="e">
        <f>AL131-O131</f>
        <v>#N/A</v>
      </c>
    </row>
    <row r="132" spans="1:43">
      <c r="A132" s="33" t="s">
        <v>926</v>
      </c>
      <c r="B132" s="33" t="s">
        <v>1931</v>
      </c>
      <c r="C132" s="86" t="s">
        <v>1366</v>
      </c>
      <c r="D132" s="175">
        <v>100</v>
      </c>
      <c r="E132" s="34" t="s">
        <v>2</v>
      </c>
      <c r="F132" s="509"/>
      <c r="G132" s="509"/>
      <c r="H132" s="509"/>
      <c r="I132" s="34"/>
      <c r="J132" s="34"/>
      <c r="K132" s="34">
        <f t="shared" si="31"/>
        <v>0</v>
      </c>
      <c r="L132" s="34">
        <f t="shared" si="32"/>
        <v>0</v>
      </c>
      <c r="M132" s="522">
        <v>6.1184000000000003</v>
      </c>
      <c r="N132" s="522">
        <v>8.5045760000000001</v>
      </c>
      <c r="O132" s="522">
        <f t="shared" si="33"/>
        <v>8.5045760000000001</v>
      </c>
      <c r="P132" s="57">
        <f t="shared" si="34"/>
        <v>11.82136064</v>
      </c>
      <c r="Q132" s="42">
        <f t="shared" si="28"/>
        <v>12.149394285714287</v>
      </c>
      <c r="R132" s="27">
        <f t="shared" si="29"/>
        <v>1214.9394285714286</v>
      </c>
      <c r="S132" s="41">
        <f t="shared" si="30"/>
        <v>0.30000000000000004</v>
      </c>
      <c r="T132" s="47"/>
      <c r="U132" s="28"/>
      <c r="V132" s="48"/>
      <c r="W132" s="71"/>
      <c r="X132" s="71"/>
      <c r="Y132" s="37"/>
      <c r="Z132" s="77"/>
      <c r="AA132" s="77"/>
      <c r="AB132" s="77"/>
      <c r="AC132" s="77"/>
      <c r="AD132" s="10"/>
      <c r="AE132" s="10"/>
      <c r="AF132" s="77" t="s">
        <v>1109</v>
      </c>
      <c r="AG132" s="77">
        <v>3.3</v>
      </c>
      <c r="AH132" s="145">
        <f>Q132</f>
        <v>12.149394285714287</v>
      </c>
      <c r="AI132" s="77">
        <f>AH132-AG132</f>
        <v>8.8493942857142862</v>
      </c>
      <c r="AJ132" s="184"/>
      <c r="AK132" s="187" t="s">
        <v>225</v>
      </c>
      <c r="AL132" s="183" t="e">
        <f>VLOOKUP(AK132,B:O,6,FALSE)</f>
        <v>#N/A</v>
      </c>
      <c r="AM132" s="183" t="e">
        <f>AL132-O132</f>
        <v>#N/A</v>
      </c>
    </row>
    <row r="133" spans="1:43">
      <c r="A133" s="33" t="s">
        <v>926</v>
      </c>
      <c r="B133" s="33" t="s">
        <v>1932</v>
      </c>
      <c r="C133" s="86" t="s">
        <v>1367</v>
      </c>
      <c r="D133" s="34">
        <v>30</v>
      </c>
      <c r="E133" s="34" t="s">
        <v>2</v>
      </c>
      <c r="F133" s="510">
        <v>52</v>
      </c>
      <c r="G133" s="510">
        <v>39</v>
      </c>
      <c r="H133" s="510">
        <v>32</v>
      </c>
      <c r="I133" s="34"/>
      <c r="J133" s="34"/>
      <c r="K133" s="34">
        <f t="shared" si="31"/>
        <v>2.9746065699006876</v>
      </c>
      <c r="L133" s="34">
        <f t="shared" si="32"/>
        <v>4.1347031321619552</v>
      </c>
      <c r="M133" s="522">
        <v>6.3067000000000002</v>
      </c>
      <c r="N133" s="522">
        <v>8.7663130000000002</v>
      </c>
      <c r="O133" s="522">
        <f t="shared" si="33"/>
        <v>8.7663130000000002</v>
      </c>
      <c r="P133" s="57">
        <f t="shared" si="34"/>
        <v>12.18517507</v>
      </c>
      <c r="Q133" s="42">
        <f t="shared" si="28"/>
        <v>12.523304285714287</v>
      </c>
      <c r="R133" s="27">
        <f t="shared" si="29"/>
        <v>375.69912857142862</v>
      </c>
      <c r="S133" s="41">
        <f t="shared" si="30"/>
        <v>0.30000000000000004</v>
      </c>
      <c r="T133" s="47"/>
      <c r="U133" s="28"/>
      <c r="V133" s="48"/>
      <c r="W133" s="71"/>
      <c r="X133" s="71"/>
      <c r="Y133" s="37"/>
      <c r="Z133" s="77"/>
      <c r="AA133" s="77"/>
      <c r="AB133" s="77"/>
      <c r="AC133" s="77"/>
      <c r="AF133" s="77" t="s">
        <v>1114</v>
      </c>
      <c r="AG133" s="77">
        <v>3</v>
      </c>
      <c r="AH133" s="145">
        <f>Q133</f>
        <v>12.523304285714287</v>
      </c>
      <c r="AI133" s="77">
        <f>AH133-AG133</f>
        <v>9.5233042857142873</v>
      </c>
      <c r="AJ133" s="184"/>
      <c r="AK133" s="10"/>
      <c r="AL133" s="183"/>
      <c r="AM133" s="183"/>
    </row>
    <row r="134" spans="1:43">
      <c r="A134" s="33" t="s">
        <v>926</v>
      </c>
      <c r="B134" s="33" t="s">
        <v>1933</v>
      </c>
      <c r="C134" s="86" t="s">
        <v>1368</v>
      </c>
      <c r="D134" s="34">
        <v>30</v>
      </c>
      <c r="E134" s="34" t="s">
        <v>2</v>
      </c>
      <c r="F134" s="509"/>
      <c r="G134" s="509"/>
      <c r="H134" s="509"/>
      <c r="I134" s="34">
        <v>48</v>
      </c>
      <c r="J134" s="34"/>
      <c r="K134" s="34">
        <f t="shared" si="31"/>
        <v>0</v>
      </c>
      <c r="L134" s="34">
        <f t="shared" si="32"/>
        <v>0</v>
      </c>
      <c r="M134" s="522"/>
      <c r="N134" s="522">
        <v>0</v>
      </c>
      <c r="O134" s="522">
        <f t="shared" si="33"/>
        <v>0</v>
      </c>
      <c r="P134" s="57">
        <f t="shared" si="34"/>
        <v>0</v>
      </c>
      <c r="Q134" s="42">
        <f t="shared" si="28"/>
        <v>0</v>
      </c>
      <c r="R134" s="27">
        <f t="shared" si="29"/>
        <v>0</v>
      </c>
      <c r="S134" s="41" t="e">
        <f t="shared" si="30"/>
        <v>#DIV/0!</v>
      </c>
      <c r="T134" s="47"/>
      <c r="U134" s="28"/>
      <c r="V134" s="48"/>
      <c r="W134" s="71"/>
      <c r="X134" s="71"/>
      <c r="Y134" s="37"/>
      <c r="Z134" s="77"/>
      <c r="AA134" s="77"/>
      <c r="AB134" s="77"/>
      <c r="AC134" s="77"/>
      <c r="AF134" s="77"/>
      <c r="AG134" s="77"/>
      <c r="AH134" s="145"/>
      <c r="AI134" s="77"/>
      <c r="AJ134" s="184"/>
      <c r="AK134" s="187" t="s">
        <v>227</v>
      </c>
      <c r="AL134" s="183" t="e">
        <f>VLOOKUP(AK134,B:O,6,FALSE)</f>
        <v>#N/A</v>
      </c>
      <c r="AM134" s="183" t="e">
        <f>AL134-O134</f>
        <v>#N/A</v>
      </c>
      <c r="AO134" s="10"/>
      <c r="AP134" s="187"/>
    </row>
    <row r="135" spans="1:43">
      <c r="A135" s="33" t="s">
        <v>926</v>
      </c>
      <c r="B135" s="33" t="s">
        <v>1934</v>
      </c>
      <c r="C135" s="86" t="s">
        <v>1369</v>
      </c>
      <c r="D135" s="34">
        <v>18</v>
      </c>
      <c r="E135" s="34" t="s">
        <v>2</v>
      </c>
      <c r="F135" s="509"/>
      <c r="G135" s="509"/>
      <c r="H135" s="509"/>
      <c r="I135" s="34">
        <v>24</v>
      </c>
      <c r="J135" s="34"/>
      <c r="K135" s="34">
        <f t="shared" si="31"/>
        <v>0</v>
      </c>
      <c r="L135" s="34">
        <f t="shared" si="32"/>
        <v>0</v>
      </c>
      <c r="M135" s="522"/>
      <c r="N135" s="522">
        <v>0</v>
      </c>
      <c r="O135" s="522">
        <f t="shared" si="33"/>
        <v>0</v>
      </c>
      <c r="P135" s="57">
        <f t="shared" si="34"/>
        <v>0</v>
      </c>
      <c r="Q135" s="42">
        <f t="shared" si="28"/>
        <v>0</v>
      </c>
      <c r="R135" s="27">
        <f t="shared" si="29"/>
        <v>0</v>
      </c>
      <c r="S135" s="41" t="e">
        <f t="shared" si="30"/>
        <v>#DIV/0!</v>
      </c>
      <c r="T135" s="47"/>
      <c r="U135" s="28"/>
      <c r="V135" s="48"/>
      <c r="W135" s="71"/>
      <c r="X135" s="71"/>
      <c r="Y135" s="37"/>
      <c r="Z135" s="77"/>
      <c r="AA135" s="77"/>
      <c r="AB135" s="77"/>
      <c r="AC135" s="77"/>
      <c r="AF135" s="77" t="s">
        <v>1122</v>
      </c>
      <c r="AG135" s="77">
        <v>17.27</v>
      </c>
      <c r="AH135" s="145">
        <f>Q135</f>
        <v>0</v>
      </c>
      <c r="AI135" s="77">
        <f>AH135-AG135</f>
        <v>-17.27</v>
      </c>
      <c r="AJ135" s="184"/>
      <c r="AK135" s="187" t="s">
        <v>233</v>
      </c>
      <c r="AL135" s="183" t="e">
        <f>VLOOKUP(AK135,B:O,6,FALSE)</f>
        <v>#N/A</v>
      </c>
      <c r="AM135" s="183" t="e">
        <f>AL135-O135</f>
        <v>#N/A</v>
      </c>
      <c r="AP135" s="187"/>
    </row>
    <row r="136" spans="1:43">
      <c r="A136" s="33" t="s">
        <v>926</v>
      </c>
      <c r="B136" s="33" t="s">
        <v>1935</v>
      </c>
      <c r="C136" s="86" t="s">
        <v>1370</v>
      </c>
      <c r="D136" s="34">
        <v>20</v>
      </c>
      <c r="E136" s="34" t="s">
        <v>2</v>
      </c>
      <c r="F136" s="509"/>
      <c r="G136" s="509"/>
      <c r="H136" s="509"/>
      <c r="I136" s="34">
        <v>36</v>
      </c>
      <c r="J136" s="34"/>
      <c r="K136" s="34">
        <f t="shared" si="31"/>
        <v>0</v>
      </c>
      <c r="L136" s="34">
        <f t="shared" si="32"/>
        <v>0</v>
      </c>
      <c r="M136" s="522"/>
      <c r="N136" s="522">
        <v>0</v>
      </c>
      <c r="O136" s="522">
        <f t="shared" si="33"/>
        <v>0</v>
      </c>
      <c r="P136" s="57">
        <f t="shared" si="34"/>
        <v>0</v>
      </c>
      <c r="Q136" s="42">
        <f t="shared" ref="Q136:Q172" si="35">O136/(1-0.3)</f>
        <v>0</v>
      </c>
      <c r="R136" s="27">
        <f t="shared" ref="R136:R167" si="36">D136*Q136</f>
        <v>0</v>
      </c>
      <c r="S136" s="41" t="e">
        <f t="shared" ref="S136:S172" si="37">(Q136-O136)/Q136</f>
        <v>#DIV/0!</v>
      </c>
      <c r="T136" s="47"/>
      <c r="U136" s="28"/>
      <c r="V136" s="48"/>
      <c r="W136" s="71"/>
      <c r="X136" s="71"/>
      <c r="Y136" s="37"/>
      <c r="Z136" s="77"/>
      <c r="AA136" s="77"/>
      <c r="AB136" s="77"/>
      <c r="AC136" s="77"/>
      <c r="AF136" s="77" t="s">
        <v>1120</v>
      </c>
      <c r="AG136" s="77">
        <v>13.04</v>
      </c>
      <c r="AH136" s="145">
        <f>Q136</f>
        <v>0</v>
      </c>
      <c r="AI136" s="77">
        <f>AH136-AG136</f>
        <v>-13.04</v>
      </c>
      <c r="AJ136" s="184"/>
      <c r="AK136" s="187" t="s">
        <v>235</v>
      </c>
      <c r="AL136" s="183" t="e">
        <f>VLOOKUP(AK136,B:O,6,FALSE)</f>
        <v>#N/A</v>
      </c>
      <c r="AM136" s="183" t="e">
        <f>AL136-O136</f>
        <v>#N/A</v>
      </c>
      <c r="AP136" s="10"/>
    </row>
    <row r="137" spans="1:43">
      <c r="A137" s="33" t="s">
        <v>926</v>
      </c>
      <c r="B137" s="33" t="s">
        <v>1936</v>
      </c>
      <c r="C137" s="86" t="s">
        <v>1371</v>
      </c>
      <c r="D137" s="34">
        <v>14</v>
      </c>
      <c r="E137" s="34" t="s">
        <v>2</v>
      </c>
      <c r="F137" s="510">
        <v>56</v>
      </c>
      <c r="G137" s="510">
        <v>39</v>
      </c>
      <c r="H137" s="510">
        <v>58</v>
      </c>
      <c r="I137" s="34">
        <v>36</v>
      </c>
      <c r="J137" s="34"/>
      <c r="K137" s="34">
        <f t="shared" si="31"/>
        <v>5.8062032085561501</v>
      </c>
      <c r="L137" s="34">
        <f t="shared" si="32"/>
        <v>8.0706224598930483</v>
      </c>
      <c r="M137" s="522">
        <v>1.0445</v>
      </c>
      <c r="N137" s="522">
        <v>1.4518549999999999</v>
      </c>
      <c r="O137" s="522">
        <f t="shared" si="33"/>
        <v>1.4518549999999999</v>
      </c>
      <c r="P137" s="57">
        <f t="shared" si="34"/>
        <v>2.0180784499999995</v>
      </c>
      <c r="Q137" s="42">
        <f t="shared" si="35"/>
        <v>2.0740785714285712</v>
      </c>
      <c r="R137" s="27">
        <f t="shared" si="36"/>
        <v>29.037099999999995</v>
      </c>
      <c r="S137" s="41">
        <f t="shared" si="37"/>
        <v>0.3</v>
      </c>
      <c r="T137" s="47"/>
      <c r="U137" s="28"/>
      <c r="V137" s="48"/>
      <c r="W137" s="71"/>
      <c r="X137" s="71"/>
      <c r="Y137" s="37"/>
      <c r="Z137" s="77"/>
      <c r="AA137" s="77"/>
      <c r="AB137" s="77"/>
      <c r="AC137" s="77"/>
      <c r="AF137" s="77" t="s">
        <v>1119</v>
      </c>
      <c r="AG137" s="77">
        <v>18.66</v>
      </c>
      <c r="AH137" s="145">
        <f>Q137</f>
        <v>2.0740785714285712</v>
      </c>
      <c r="AI137" s="77">
        <f>AH137-AG137</f>
        <v>-16.585921428571428</v>
      </c>
      <c r="AJ137" s="184"/>
      <c r="AK137" s="187" t="s">
        <v>237</v>
      </c>
      <c r="AL137" s="183" t="e">
        <f>VLOOKUP(AK137,B:O,6,FALSE)</f>
        <v>#N/A</v>
      </c>
      <c r="AM137" s="183" t="e">
        <f>AL137-O137</f>
        <v>#N/A</v>
      </c>
      <c r="AO137" s="10"/>
      <c r="AP137" s="187"/>
      <c r="AQ137" s="10"/>
    </row>
    <row r="138" spans="1:43">
      <c r="A138" s="33" t="s">
        <v>926</v>
      </c>
      <c r="B138" s="33" t="s">
        <v>1937</v>
      </c>
      <c r="C138" s="86" t="s">
        <v>1372</v>
      </c>
      <c r="D138" s="34">
        <v>8</v>
      </c>
      <c r="E138" s="34" t="s">
        <v>2</v>
      </c>
      <c r="F138" s="509"/>
      <c r="G138" s="509"/>
      <c r="H138" s="509"/>
      <c r="I138" s="34"/>
      <c r="J138" s="34"/>
      <c r="K138" s="34">
        <f t="shared" si="31"/>
        <v>0</v>
      </c>
      <c r="L138" s="34">
        <f t="shared" si="32"/>
        <v>0</v>
      </c>
      <c r="M138" s="522"/>
      <c r="N138" s="522">
        <v>0</v>
      </c>
      <c r="O138" s="522">
        <f t="shared" si="33"/>
        <v>0</v>
      </c>
      <c r="P138" s="57">
        <f t="shared" si="34"/>
        <v>0</v>
      </c>
      <c r="Q138" s="42">
        <f t="shared" si="35"/>
        <v>0</v>
      </c>
      <c r="R138" s="27">
        <f t="shared" si="36"/>
        <v>0</v>
      </c>
      <c r="S138" s="41" t="e">
        <f t="shared" si="37"/>
        <v>#DIV/0!</v>
      </c>
      <c r="T138" s="47"/>
      <c r="U138" s="28"/>
      <c r="V138" s="48"/>
      <c r="W138" s="71"/>
      <c r="X138" s="71"/>
      <c r="Y138" s="37"/>
      <c r="Z138" s="77"/>
      <c r="AA138" s="77"/>
      <c r="AB138" s="77"/>
      <c r="AC138" s="77"/>
      <c r="AF138" s="77" t="s">
        <v>1170</v>
      </c>
      <c r="AG138" s="77"/>
      <c r="AH138" s="145"/>
      <c r="AI138" s="77"/>
      <c r="AJ138" s="184"/>
      <c r="AK138" s="187" t="s">
        <v>241</v>
      </c>
      <c r="AL138" s="183" t="e">
        <f>VLOOKUP(AK138,B:O,6,FALSE)</f>
        <v>#N/A</v>
      </c>
      <c r="AM138" s="183" t="e">
        <f>AL138-O138</f>
        <v>#N/A</v>
      </c>
      <c r="AO138" s="10"/>
      <c r="AP138" s="187"/>
      <c r="AQ138" s="10"/>
    </row>
    <row r="139" spans="1:43">
      <c r="A139" s="33" t="s">
        <v>926</v>
      </c>
      <c r="B139" s="33" t="s">
        <v>1938</v>
      </c>
      <c r="C139" s="86" t="s">
        <v>1373</v>
      </c>
      <c r="D139" s="34">
        <v>15</v>
      </c>
      <c r="E139" s="34" t="s">
        <v>2</v>
      </c>
      <c r="F139" s="510">
        <v>56</v>
      </c>
      <c r="G139" s="510">
        <v>40</v>
      </c>
      <c r="H139" s="510">
        <v>51</v>
      </c>
      <c r="I139" s="34"/>
      <c r="J139" s="34"/>
      <c r="K139" s="34">
        <f t="shared" si="31"/>
        <v>5.2363636363636363</v>
      </c>
      <c r="L139" s="34">
        <f t="shared" si="32"/>
        <v>7.278545454545454</v>
      </c>
      <c r="M139" s="522">
        <v>8.3000000000000007</v>
      </c>
      <c r="N139" s="522">
        <v>11.537000000000001</v>
      </c>
      <c r="O139" s="522">
        <f t="shared" si="33"/>
        <v>11.537000000000001</v>
      </c>
      <c r="P139" s="57">
        <f t="shared" si="34"/>
        <v>16.036429999999999</v>
      </c>
      <c r="Q139" s="42">
        <f t="shared" si="35"/>
        <v>16.481428571428573</v>
      </c>
      <c r="R139" s="27">
        <f t="shared" si="36"/>
        <v>247.22142857142859</v>
      </c>
      <c r="S139" s="41">
        <f t="shared" si="37"/>
        <v>0.30000000000000004</v>
      </c>
      <c r="T139" s="47"/>
      <c r="U139" s="28"/>
      <c r="V139" s="48"/>
      <c r="W139" s="71"/>
      <c r="X139" s="71"/>
      <c r="Y139" s="37"/>
      <c r="Z139" s="77"/>
      <c r="AA139" s="77"/>
      <c r="AB139" s="77"/>
      <c r="AC139" s="77"/>
      <c r="AF139" s="77" t="s">
        <v>1171</v>
      </c>
      <c r="AG139" s="77"/>
      <c r="AH139" s="145"/>
      <c r="AI139" s="77"/>
      <c r="AJ139" s="184"/>
      <c r="AK139" s="187"/>
      <c r="AL139" s="183"/>
      <c r="AM139" s="183"/>
      <c r="AO139" s="10"/>
      <c r="AP139" s="187"/>
      <c r="AQ139" s="10"/>
    </row>
    <row r="140" spans="1:43">
      <c r="A140" s="33" t="s">
        <v>926</v>
      </c>
      <c r="B140" s="33" t="s">
        <v>1939</v>
      </c>
      <c r="C140" s="86" t="s">
        <v>1429</v>
      </c>
      <c r="D140" s="34">
        <v>8</v>
      </c>
      <c r="E140" s="34" t="s">
        <v>2</v>
      </c>
      <c r="F140" s="509"/>
      <c r="G140" s="509"/>
      <c r="H140" s="509"/>
      <c r="I140" s="34">
        <v>36</v>
      </c>
      <c r="J140" s="34"/>
      <c r="K140" s="34">
        <f t="shared" si="31"/>
        <v>0</v>
      </c>
      <c r="L140" s="34">
        <f t="shared" si="32"/>
        <v>0</v>
      </c>
      <c r="M140" s="522"/>
      <c r="N140" s="522">
        <v>0</v>
      </c>
      <c r="O140" s="522">
        <f t="shared" si="33"/>
        <v>0</v>
      </c>
      <c r="P140" s="57">
        <f t="shared" si="34"/>
        <v>0</v>
      </c>
      <c r="Q140" s="42">
        <f t="shared" si="35"/>
        <v>0</v>
      </c>
      <c r="R140" s="27">
        <f t="shared" si="36"/>
        <v>0</v>
      </c>
      <c r="S140" s="41" t="e">
        <f t="shared" si="37"/>
        <v>#DIV/0!</v>
      </c>
      <c r="T140" s="47"/>
      <c r="U140" s="28"/>
      <c r="V140" s="48"/>
      <c r="W140" s="71"/>
      <c r="X140" s="71"/>
      <c r="Y140" s="37"/>
      <c r="Z140" s="77"/>
      <c r="AA140" s="77"/>
      <c r="AB140" s="77"/>
      <c r="AC140" s="77"/>
      <c r="AF140" s="77" t="s">
        <v>1121</v>
      </c>
      <c r="AG140" s="77">
        <v>26.83</v>
      </c>
      <c r="AH140" s="145">
        <f>Q140</f>
        <v>0</v>
      </c>
      <c r="AI140" s="77">
        <f>AH140-AG140</f>
        <v>-26.83</v>
      </c>
      <c r="AJ140" s="184"/>
      <c r="AK140" s="187" t="s">
        <v>245</v>
      </c>
      <c r="AL140" s="183" t="e">
        <f>VLOOKUP(AK140,B:O,6,FALSE)</f>
        <v>#N/A</v>
      </c>
      <c r="AM140" s="183" t="e">
        <f>AL140-O140</f>
        <v>#N/A</v>
      </c>
      <c r="AO140" s="10"/>
      <c r="AP140" s="10"/>
      <c r="AQ140" s="10"/>
    </row>
    <row r="141" spans="1:43">
      <c r="A141" s="33" t="s">
        <v>926</v>
      </c>
      <c r="B141" s="33" t="s">
        <v>1940</v>
      </c>
      <c r="C141" s="86" t="s">
        <v>1374</v>
      </c>
      <c r="D141" s="34">
        <v>12</v>
      </c>
      <c r="E141" s="34" t="s">
        <v>2</v>
      </c>
      <c r="F141" s="509"/>
      <c r="G141" s="509"/>
      <c r="H141" s="509"/>
      <c r="I141" s="34"/>
      <c r="J141" s="34"/>
      <c r="K141" s="34">
        <f t="shared" si="31"/>
        <v>0</v>
      </c>
      <c r="L141" s="34">
        <f t="shared" si="32"/>
        <v>0</v>
      </c>
      <c r="M141" s="522"/>
      <c r="N141" s="522">
        <v>0</v>
      </c>
      <c r="O141" s="522">
        <f t="shared" si="33"/>
        <v>0</v>
      </c>
      <c r="P141" s="57">
        <f t="shared" si="34"/>
        <v>0</v>
      </c>
      <c r="Q141" s="42">
        <f t="shared" si="35"/>
        <v>0</v>
      </c>
      <c r="R141" s="27">
        <f t="shared" si="36"/>
        <v>0</v>
      </c>
      <c r="S141" s="41" t="e">
        <f t="shared" si="37"/>
        <v>#DIV/0!</v>
      </c>
      <c r="T141" s="47"/>
      <c r="U141" s="28"/>
      <c r="V141" s="48"/>
      <c r="W141" s="71"/>
      <c r="X141" s="71"/>
      <c r="Y141" s="37"/>
      <c r="Z141" s="77"/>
      <c r="AA141" s="77"/>
      <c r="AB141" s="77"/>
      <c r="AC141" s="77"/>
      <c r="AF141" s="77" t="s">
        <v>1172</v>
      </c>
      <c r="AG141" s="77"/>
      <c r="AH141" s="34"/>
      <c r="AI141" s="34"/>
      <c r="AJ141" s="184"/>
      <c r="AK141" s="187"/>
      <c r="AL141" s="183"/>
      <c r="AM141" s="183"/>
      <c r="AO141" s="10"/>
      <c r="AP141" s="10"/>
      <c r="AQ141" s="10"/>
    </row>
    <row r="142" spans="1:43">
      <c r="A142" s="33" t="s">
        <v>926</v>
      </c>
      <c r="B142" s="33" t="s">
        <v>1941</v>
      </c>
      <c r="C142" s="86" t="s">
        <v>1375</v>
      </c>
      <c r="D142" s="34">
        <v>12</v>
      </c>
      <c r="E142" s="34" t="s">
        <v>2</v>
      </c>
      <c r="F142" s="509"/>
      <c r="G142" s="509"/>
      <c r="H142" s="509"/>
      <c r="I142" s="34"/>
      <c r="J142" s="34"/>
      <c r="K142" s="34">
        <f t="shared" si="31"/>
        <v>0</v>
      </c>
      <c r="L142" s="34">
        <f t="shared" si="32"/>
        <v>0</v>
      </c>
      <c r="M142" s="522"/>
      <c r="N142" s="522">
        <v>0</v>
      </c>
      <c r="O142" s="522">
        <f t="shared" si="33"/>
        <v>0</v>
      </c>
      <c r="P142" s="57">
        <f t="shared" si="34"/>
        <v>0</v>
      </c>
      <c r="Q142" s="42">
        <f t="shared" si="35"/>
        <v>0</v>
      </c>
      <c r="R142" s="27">
        <f t="shared" si="36"/>
        <v>0</v>
      </c>
      <c r="S142" s="41" t="e">
        <f t="shared" si="37"/>
        <v>#DIV/0!</v>
      </c>
      <c r="T142" s="47"/>
      <c r="U142" s="28"/>
      <c r="V142" s="48"/>
      <c r="W142" s="71"/>
      <c r="X142" s="71"/>
      <c r="Y142" s="37"/>
      <c r="Z142" s="77"/>
      <c r="AA142" s="77"/>
      <c r="AB142" s="77"/>
      <c r="AC142" s="77"/>
      <c r="AF142" s="77"/>
      <c r="AG142" s="77"/>
      <c r="AH142" s="34"/>
      <c r="AI142" s="34"/>
      <c r="AJ142" s="184"/>
      <c r="AK142" s="10"/>
      <c r="AL142" s="183"/>
      <c r="AM142" s="183"/>
      <c r="AO142" s="10"/>
      <c r="AP142" s="10"/>
      <c r="AQ142" s="10"/>
    </row>
    <row r="143" spans="1:43">
      <c r="A143" s="33" t="s">
        <v>926</v>
      </c>
      <c r="B143" s="33" t="s">
        <v>1942</v>
      </c>
      <c r="C143" s="86" t="s">
        <v>1376</v>
      </c>
      <c r="D143" s="34">
        <v>18</v>
      </c>
      <c r="E143" s="34" t="s">
        <v>2</v>
      </c>
      <c r="F143" s="509"/>
      <c r="G143" s="509"/>
      <c r="H143" s="509"/>
      <c r="I143" s="34"/>
      <c r="J143" s="34"/>
      <c r="K143" s="34">
        <f t="shared" si="31"/>
        <v>0</v>
      </c>
      <c r="L143" s="34">
        <f t="shared" si="32"/>
        <v>0</v>
      </c>
      <c r="M143" s="522"/>
      <c r="N143" s="522">
        <v>0</v>
      </c>
      <c r="O143" s="522">
        <f t="shared" si="33"/>
        <v>0</v>
      </c>
      <c r="P143" s="57">
        <f t="shared" si="34"/>
        <v>0</v>
      </c>
      <c r="Q143" s="42">
        <f t="shared" si="35"/>
        <v>0</v>
      </c>
      <c r="R143" s="27">
        <f t="shared" si="36"/>
        <v>0</v>
      </c>
      <c r="S143" s="41" t="e">
        <f t="shared" si="37"/>
        <v>#DIV/0!</v>
      </c>
      <c r="T143" s="47"/>
      <c r="U143" s="28"/>
      <c r="V143" s="48"/>
      <c r="W143" s="71"/>
      <c r="X143" s="71"/>
      <c r="Y143" s="37"/>
      <c r="Z143" s="77"/>
      <c r="AA143" s="77"/>
      <c r="AB143" s="77"/>
      <c r="AC143" s="77"/>
      <c r="AF143" s="77" t="s">
        <v>1173</v>
      </c>
      <c r="AG143" s="77">
        <v>20.99</v>
      </c>
      <c r="AH143" s="145">
        <f>Q143</f>
        <v>0</v>
      </c>
      <c r="AI143" s="77">
        <f>AH143-AG143</f>
        <v>-20.99</v>
      </c>
      <c r="AJ143" s="184"/>
      <c r="AK143" s="187" t="s">
        <v>249</v>
      </c>
      <c r="AL143" s="183" t="e">
        <f>VLOOKUP(AK143,B:O,6,FALSE)</f>
        <v>#N/A</v>
      </c>
      <c r="AM143" s="183" t="e">
        <f>AL143-O143</f>
        <v>#N/A</v>
      </c>
      <c r="AO143" s="10"/>
      <c r="AP143" s="10"/>
      <c r="AQ143" s="10"/>
    </row>
    <row r="144" spans="1:43">
      <c r="A144" s="33" t="s">
        <v>926</v>
      </c>
      <c r="B144" s="33" t="s">
        <v>1943</v>
      </c>
      <c r="C144" s="86" t="s">
        <v>1618</v>
      </c>
      <c r="D144" s="34">
        <v>20</v>
      </c>
      <c r="E144" s="34" t="s">
        <v>2</v>
      </c>
      <c r="F144" s="510">
        <v>56</v>
      </c>
      <c r="G144" s="510">
        <v>40</v>
      </c>
      <c r="H144" s="510">
        <v>38</v>
      </c>
      <c r="I144" s="34"/>
      <c r="J144" s="34"/>
      <c r="K144" s="34">
        <f t="shared" si="31"/>
        <v>3.9016042780748661</v>
      </c>
      <c r="L144" s="34">
        <f t="shared" si="32"/>
        <v>5.4232299465240636</v>
      </c>
      <c r="M144" s="522">
        <v>4.1292999999999997</v>
      </c>
      <c r="N144" s="522">
        <v>5.7397269999999994</v>
      </c>
      <c r="O144" s="522">
        <f t="shared" si="33"/>
        <v>5.7397269999999994</v>
      </c>
      <c r="P144" s="57">
        <f t="shared" si="34"/>
        <v>7.9782205299999989</v>
      </c>
      <c r="Q144" s="42">
        <f t="shared" si="35"/>
        <v>8.1996099999999998</v>
      </c>
      <c r="R144" s="27">
        <f t="shared" si="36"/>
        <v>163.9922</v>
      </c>
      <c r="S144" s="41">
        <f t="shared" si="37"/>
        <v>0.30000000000000004</v>
      </c>
      <c r="T144" s="47"/>
      <c r="U144" s="28"/>
      <c r="V144" s="48"/>
      <c r="W144" s="71"/>
      <c r="X144" s="71"/>
      <c r="Y144" s="37"/>
      <c r="Z144" s="77"/>
      <c r="AA144" s="77"/>
      <c r="AB144" s="77"/>
      <c r="AC144" s="77"/>
      <c r="AF144" s="77"/>
      <c r="AG144" s="77"/>
      <c r="AH144" s="145"/>
      <c r="AI144" s="77"/>
      <c r="AJ144" s="184"/>
      <c r="AK144" s="187"/>
      <c r="AL144" s="183"/>
      <c r="AM144" s="183"/>
      <c r="AO144" s="10"/>
      <c r="AP144" s="10"/>
      <c r="AQ144" s="10"/>
    </row>
    <row r="145" spans="1:43">
      <c r="A145" s="33" t="s">
        <v>926</v>
      </c>
      <c r="B145" s="33" t="s">
        <v>1944</v>
      </c>
      <c r="C145" s="86" t="s">
        <v>1377</v>
      </c>
      <c r="D145" s="34">
        <v>20</v>
      </c>
      <c r="E145" s="34" t="s">
        <v>2</v>
      </c>
      <c r="F145" s="510">
        <v>56</v>
      </c>
      <c r="G145" s="510">
        <v>40</v>
      </c>
      <c r="H145" s="510">
        <v>35</v>
      </c>
      <c r="I145" s="34"/>
      <c r="J145" s="34"/>
      <c r="K145" s="34">
        <f t="shared" si="31"/>
        <v>3.5935828877005349</v>
      </c>
      <c r="L145" s="34">
        <f t="shared" si="32"/>
        <v>4.9950802139037433</v>
      </c>
      <c r="M145" s="522">
        <v>7.0206</v>
      </c>
      <c r="N145" s="522">
        <v>9.7586339999999989</v>
      </c>
      <c r="O145" s="522">
        <f t="shared" si="33"/>
        <v>9.7586339999999989</v>
      </c>
      <c r="P145" s="57">
        <f t="shared" si="34"/>
        <v>13.564501259999998</v>
      </c>
      <c r="Q145" s="42">
        <f t="shared" si="35"/>
        <v>13.940905714285714</v>
      </c>
      <c r="R145" s="27">
        <f t="shared" si="36"/>
        <v>278.81811428571427</v>
      </c>
      <c r="S145" s="41">
        <f t="shared" si="37"/>
        <v>0.30000000000000004</v>
      </c>
      <c r="T145" s="47"/>
      <c r="U145" s="28"/>
      <c r="V145" s="48"/>
      <c r="W145" s="71"/>
      <c r="X145" s="71"/>
      <c r="Y145" s="37"/>
      <c r="Z145" s="77"/>
      <c r="AA145" s="77"/>
      <c r="AB145" s="77"/>
      <c r="AC145" s="77"/>
      <c r="AF145" s="77" t="s">
        <v>1123</v>
      </c>
      <c r="AG145" s="77">
        <v>9.4</v>
      </c>
      <c r="AH145" s="145">
        <f t="shared" ref="AH145:AH151" si="38">Q145</f>
        <v>13.940905714285714</v>
      </c>
      <c r="AI145" s="77">
        <f t="shared" ref="AI145:AI151" si="39">AH145-AG145</f>
        <v>4.5409057142857137</v>
      </c>
      <c r="AJ145" s="184"/>
      <c r="AK145" s="10"/>
      <c r="AL145" s="183"/>
      <c r="AM145" s="183"/>
      <c r="AP145" s="10"/>
      <c r="AQ145" s="10"/>
    </row>
    <row r="146" spans="1:43">
      <c r="A146" s="7" t="s">
        <v>926</v>
      </c>
      <c r="B146" s="7" t="s">
        <v>1945</v>
      </c>
      <c r="C146" s="88" t="s">
        <v>1377</v>
      </c>
      <c r="D146" s="14">
        <v>20</v>
      </c>
      <c r="E146" s="14" t="s">
        <v>2</v>
      </c>
      <c r="F146" s="510">
        <v>52</v>
      </c>
      <c r="G146" s="510">
        <v>39</v>
      </c>
      <c r="H146" s="510">
        <v>32</v>
      </c>
      <c r="I146" s="14">
        <v>36</v>
      </c>
      <c r="J146" s="14"/>
      <c r="K146" s="34">
        <f t="shared" si="31"/>
        <v>2.9746065699006876</v>
      </c>
      <c r="L146" s="34">
        <f t="shared" si="32"/>
        <v>4.1347031321619552</v>
      </c>
      <c r="M146" s="522">
        <v>4.6313000000000004</v>
      </c>
      <c r="N146" s="522">
        <v>6.4375070000000001</v>
      </c>
      <c r="O146" s="522">
        <f t="shared" si="33"/>
        <v>6.4375070000000001</v>
      </c>
      <c r="P146" s="58">
        <f t="shared" si="34"/>
        <v>8.9481347299999996</v>
      </c>
      <c r="Q146" s="44">
        <f t="shared" si="35"/>
        <v>9.1964385714285726</v>
      </c>
      <c r="R146" s="81">
        <f t="shared" si="36"/>
        <v>183.92877142857145</v>
      </c>
      <c r="S146" s="43">
        <f t="shared" si="37"/>
        <v>0.3000000000000001</v>
      </c>
      <c r="T146" s="49"/>
      <c r="U146" s="30"/>
      <c r="V146" s="50"/>
      <c r="W146" s="72"/>
      <c r="X146" s="72"/>
      <c r="Y146" s="38"/>
      <c r="Z146" s="78"/>
      <c r="AA146" s="78"/>
      <c r="AB146" s="78"/>
      <c r="AC146" s="78"/>
      <c r="AF146" s="78" t="s">
        <v>1174</v>
      </c>
      <c r="AG146" s="78">
        <v>8.81</v>
      </c>
      <c r="AH146" s="160">
        <f t="shared" si="38"/>
        <v>9.1964385714285726</v>
      </c>
      <c r="AI146" s="78">
        <f t="shared" si="39"/>
        <v>0.38643857142857208</v>
      </c>
      <c r="AJ146" s="34"/>
      <c r="AK146" s="222"/>
      <c r="AL146" s="485"/>
      <c r="AM146" s="485"/>
      <c r="AP146" s="10"/>
      <c r="AQ146" s="10"/>
    </row>
    <row r="147" spans="1:43">
      <c r="A147" s="33" t="s">
        <v>926</v>
      </c>
      <c r="B147" s="33" t="s">
        <v>1946</v>
      </c>
      <c r="C147" s="33" t="s">
        <v>1378</v>
      </c>
      <c r="D147" s="34">
        <v>20</v>
      </c>
      <c r="E147" s="34" t="s">
        <v>2</v>
      </c>
      <c r="F147" s="509"/>
      <c r="G147" s="509"/>
      <c r="H147" s="509"/>
      <c r="I147" s="34">
        <v>36</v>
      </c>
      <c r="J147" s="34"/>
      <c r="K147" s="34">
        <f t="shared" si="31"/>
        <v>0</v>
      </c>
      <c r="L147" s="34">
        <f t="shared" si="32"/>
        <v>0</v>
      </c>
      <c r="M147" s="522"/>
      <c r="N147" s="522">
        <v>0</v>
      </c>
      <c r="O147" s="522">
        <f t="shared" si="33"/>
        <v>0</v>
      </c>
      <c r="P147" s="57">
        <f t="shared" si="34"/>
        <v>0</v>
      </c>
      <c r="Q147" s="42">
        <f t="shared" si="35"/>
        <v>0</v>
      </c>
      <c r="R147" s="27">
        <f t="shared" si="36"/>
        <v>0</v>
      </c>
      <c r="S147" s="41" t="e">
        <f t="shared" si="37"/>
        <v>#DIV/0!</v>
      </c>
      <c r="T147" s="47"/>
      <c r="U147" s="28"/>
      <c r="V147" s="48"/>
      <c r="W147" s="71"/>
      <c r="X147" s="71"/>
      <c r="Y147" s="37"/>
      <c r="Z147" s="77"/>
      <c r="AA147" s="77"/>
      <c r="AB147" s="77"/>
      <c r="AC147" s="77"/>
      <c r="AF147" s="77" t="s">
        <v>1117</v>
      </c>
      <c r="AG147" s="77">
        <v>18.350000000000001</v>
      </c>
      <c r="AH147" s="145">
        <f t="shared" si="38"/>
        <v>0</v>
      </c>
      <c r="AI147" s="77">
        <f t="shared" si="39"/>
        <v>-18.350000000000001</v>
      </c>
      <c r="AJ147" s="34"/>
      <c r="AK147" s="33"/>
      <c r="AL147" s="77"/>
      <c r="AM147" s="77"/>
      <c r="AO147" s="187" t="s">
        <v>318</v>
      </c>
      <c r="AP147" s="187" t="s">
        <v>319</v>
      </c>
      <c r="AQ147" s="10"/>
    </row>
    <row r="148" spans="1:43">
      <c r="A148" s="33" t="s">
        <v>926</v>
      </c>
      <c r="B148" s="33" t="s">
        <v>1947</v>
      </c>
      <c r="C148" s="86" t="s">
        <v>1379</v>
      </c>
      <c r="D148" s="34">
        <v>10</v>
      </c>
      <c r="E148" s="34" t="s">
        <v>2</v>
      </c>
      <c r="F148" s="509"/>
      <c r="G148" s="509"/>
      <c r="H148" s="509"/>
      <c r="I148" s="34"/>
      <c r="J148" s="34"/>
      <c r="K148" s="34">
        <f t="shared" si="31"/>
        <v>0</v>
      </c>
      <c r="L148" s="34">
        <f t="shared" si="32"/>
        <v>0</v>
      </c>
      <c r="M148" s="522">
        <v>2.0320000000000005E-2</v>
      </c>
      <c r="N148" s="522">
        <v>2.8244800000000004E-2</v>
      </c>
      <c r="O148" s="522">
        <f t="shared" si="33"/>
        <v>2.8244800000000004E-2</v>
      </c>
      <c r="P148" s="57">
        <f t="shared" si="34"/>
        <v>3.9260272000000006E-2</v>
      </c>
      <c r="Q148" s="42">
        <f t="shared" si="35"/>
        <v>4.0349714285714294E-2</v>
      </c>
      <c r="R148" s="27">
        <f t="shared" si="36"/>
        <v>0.40349714285714294</v>
      </c>
      <c r="S148" s="41">
        <f t="shared" si="37"/>
        <v>0.30000000000000004</v>
      </c>
      <c r="T148" s="47"/>
      <c r="U148" s="28"/>
      <c r="V148" s="48"/>
      <c r="W148" s="71"/>
      <c r="X148" s="71"/>
      <c r="Y148" s="37"/>
      <c r="Z148" s="77"/>
      <c r="AA148" s="77"/>
      <c r="AB148" s="77"/>
      <c r="AC148" s="77"/>
      <c r="AF148" s="77" t="s">
        <v>1118</v>
      </c>
      <c r="AG148" s="77">
        <v>29.97</v>
      </c>
      <c r="AH148" s="145">
        <f t="shared" si="38"/>
        <v>4.0349714285714294E-2</v>
      </c>
      <c r="AI148" s="77">
        <f t="shared" si="39"/>
        <v>-29.929650285714285</v>
      </c>
      <c r="AJ148" s="34"/>
      <c r="AK148" s="86" t="s">
        <v>259</v>
      </c>
      <c r="AL148" s="77" t="e">
        <f>VLOOKUP(AK148,B:O,6,FALSE)</f>
        <v>#N/A</v>
      </c>
      <c r="AM148" s="77" t="e">
        <f>AL148-O148</f>
        <v>#N/A</v>
      </c>
      <c r="AO148" s="187" t="s">
        <v>909</v>
      </c>
      <c r="AP148" s="187" t="s">
        <v>910</v>
      </c>
    </row>
    <row r="149" spans="1:43">
      <c r="A149" s="33" t="s">
        <v>926</v>
      </c>
      <c r="B149" s="33" t="s">
        <v>1948</v>
      </c>
      <c r="C149" s="86" t="s">
        <v>1380</v>
      </c>
      <c r="D149" s="34">
        <v>10</v>
      </c>
      <c r="E149" s="34" t="s">
        <v>2</v>
      </c>
      <c r="F149" s="509"/>
      <c r="G149" s="509"/>
      <c r="H149" s="509"/>
      <c r="I149" s="34"/>
      <c r="J149" s="34"/>
      <c r="K149" s="34">
        <f t="shared" si="31"/>
        <v>0</v>
      </c>
      <c r="L149" s="34">
        <f t="shared" si="32"/>
        <v>0</v>
      </c>
      <c r="M149" s="522">
        <v>3.7819999999999993E-2</v>
      </c>
      <c r="N149" s="522">
        <v>5.2569799999999986E-2</v>
      </c>
      <c r="O149" s="522">
        <f t="shared" si="33"/>
        <v>5.2569799999999986E-2</v>
      </c>
      <c r="P149" s="57">
        <f t="shared" si="34"/>
        <v>7.3072021999999973E-2</v>
      </c>
      <c r="Q149" s="42">
        <f t="shared" si="35"/>
        <v>7.509971428571427E-2</v>
      </c>
      <c r="R149" s="27">
        <f t="shared" si="36"/>
        <v>0.7509971428571427</v>
      </c>
      <c r="S149" s="41">
        <f t="shared" si="37"/>
        <v>0.30000000000000004</v>
      </c>
      <c r="T149" s="47"/>
      <c r="U149" s="28"/>
      <c r="V149" s="48"/>
      <c r="W149" s="71"/>
      <c r="X149" s="71"/>
      <c r="Y149" s="37"/>
      <c r="Z149" s="77"/>
      <c r="AA149" s="77"/>
      <c r="AB149" s="77"/>
      <c r="AC149" s="77"/>
      <c r="AF149" s="77" t="s">
        <v>1124</v>
      </c>
      <c r="AG149" s="77">
        <v>27.4</v>
      </c>
      <c r="AH149" s="145">
        <f t="shared" si="38"/>
        <v>7.509971428571427E-2</v>
      </c>
      <c r="AI149" s="77">
        <f t="shared" si="39"/>
        <v>-27.324900285714286</v>
      </c>
      <c r="AJ149" s="34"/>
      <c r="AK149" s="86" t="s">
        <v>261</v>
      </c>
      <c r="AL149" s="77"/>
      <c r="AM149" s="77"/>
      <c r="AO149" s="187" t="s">
        <v>169</v>
      </c>
      <c r="AP149" s="187" t="s">
        <v>170</v>
      </c>
    </row>
    <row r="150" spans="1:43">
      <c r="A150" s="33" t="s">
        <v>926</v>
      </c>
      <c r="B150" s="33" t="s">
        <v>1949</v>
      </c>
      <c r="C150" s="86" t="s">
        <v>1381</v>
      </c>
      <c r="D150" s="34">
        <v>10</v>
      </c>
      <c r="E150" s="34" t="s">
        <v>2</v>
      </c>
      <c r="F150" s="510">
        <v>63</v>
      </c>
      <c r="G150" s="510">
        <v>34</v>
      </c>
      <c r="H150" s="510">
        <v>28</v>
      </c>
      <c r="I150" s="34">
        <v>48</v>
      </c>
      <c r="J150" s="34"/>
      <c r="K150" s="34">
        <f t="shared" si="31"/>
        <v>2.749090909090909</v>
      </c>
      <c r="L150" s="34">
        <f t="shared" si="32"/>
        <v>3.8212363636363631</v>
      </c>
      <c r="M150" s="522">
        <v>6.9889999999999994E-2</v>
      </c>
      <c r="N150" s="522">
        <v>9.7147099999999986E-2</v>
      </c>
      <c r="O150" s="522">
        <f t="shared" si="33"/>
        <v>9.7147099999999986E-2</v>
      </c>
      <c r="P150" s="57">
        <f t="shared" si="34"/>
        <v>0.13503446899999996</v>
      </c>
      <c r="Q150" s="42">
        <f t="shared" si="35"/>
        <v>0.13878157142857142</v>
      </c>
      <c r="R150" s="27">
        <f t="shared" si="36"/>
        <v>1.3878157142857142</v>
      </c>
      <c r="S150" s="41">
        <f t="shared" si="37"/>
        <v>0.30000000000000004</v>
      </c>
      <c r="T150" s="47"/>
      <c r="U150" s="28"/>
      <c r="V150" s="48"/>
      <c r="W150" s="71"/>
      <c r="X150" s="71"/>
      <c r="Y150" s="37"/>
      <c r="Z150" s="77"/>
      <c r="AA150" s="77"/>
      <c r="AB150" s="77"/>
      <c r="AC150" s="77"/>
      <c r="AF150" s="77" t="s">
        <v>1125</v>
      </c>
      <c r="AG150" s="77">
        <v>27.05</v>
      </c>
      <c r="AH150" s="145">
        <f t="shared" si="38"/>
        <v>0.13878157142857142</v>
      </c>
      <c r="AI150" s="77">
        <f t="shared" si="39"/>
        <v>-26.911218428571431</v>
      </c>
      <c r="AJ150" s="34"/>
      <c r="AK150" s="86" t="s">
        <v>263</v>
      </c>
      <c r="AL150" s="77" t="e">
        <f>VLOOKUP(AK150,B:O,6,FALSE)</f>
        <v>#N/A</v>
      </c>
      <c r="AM150" s="77" t="e">
        <f>AL150-O150</f>
        <v>#N/A</v>
      </c>
      <c r="AO150" s="187" t="s">
        <v>205</v>
      </c>
      <c r="AP150" s="187" t="s">
        <v>206</v>
      </c>
    </row>
    <row r="151" spans="1:43">
      <c r="A151" s="33" t="s">
        <v>926</v>
      </c>
      <c r="B151" s="33" t="s">
        <v>1950</v>
      </c>
      <c r="C151" s="33" t="s">
        <v>1382</v>
      </c>
      <c r="D151" s="34">
        <v>24</v>
      </c>
      <c r="E151" s="34" t="s">
        <v>2</v>
      </c>
      <c r="F151" s="510">
        <v>72</v>
      </c>
      <c r="G151" s="510">
        <v>37</v>
      </c>
      <c r="H151" s="510">
        <v>17</v>
      </c>
      <c r="I151" s="34">
        <v>42</v>
      </c>
      <c r="J151" s="34"/>
      <c r="K151" s="34">
        <f t="shared" si="31"/>
        <v>2.0758441558441558</v>
      </c>
      <c r="L151" s="34">
        <f t="shared" si="32"/>
        <v>2.8854233766233763</v>
      </c>
      <c r="M151" s="522">
        <v>0.10070999999999998</v>
      </c>
      <c r="N151" s="522">
        <v>0.13998689999999997</v>
      </c>
      <c r="O151" s="522">
        <f t="shared" si="33"/>
        <v>0.13998689999999997</v>
      </c>
      <c r="P151" s="57">
        <f t="shared" si="34"/>
        <v>0.19458179099999995</v>
      </c>
      <c r="Q151" s="42">
        <f t="shared" si="35"/>
        <v>0.19998128571428569</v>
      </c>
      <c r="R151" s="27">
        <f t="shared" si="36"/>
        <v>4.7995508571428562</v>
      </c>
      <c r="S151" s="41">
        <f t="shared" si="37"/>
        <v>0.3000000000000001</v>
      </c>
      <c r="T151" s="47"/>
      <c r="U151" s="28"/>
      <c r="V151" s="48"/>
      <c r="W151" s="71"/>
      <c r="X151" s="71"/>
      <c r="Y151" s="37"/>
      <c r="Z151" s="77"/>
      <c r="AA151" s="77"/>
      <c r="AB151" s="77"/>
      <c r="AC151" s="77"/>
      <c r="AF151" s="77" t="s">
        <v>1140</v>
      </c>
      <c r="AG151" s="77">
        <v>6.58</v>
      </c>
      <c r="AH151" s="145">
        <f t="shared" si="38"/>
        <v>0.19998128571428569</v>
      </c>
      <c r="AI151" s="77">
        <f t="shared" si="39"/>
        <v>-6.3800187142857148</v>
      </c>
      <c r="AJ151" s="34"/>
      <c r="AK151" s="33"/>
      <c r="AL151" s="77"/>
      <c r="AM151" s="77"/>
      <c r="AO151" s="10"/>
      <c r="AP151" s="187"/>
    </row>
    <row r="152" spans="1:43">
      <c r="A152" s="33" t="s">
        <v>926</v>
      </c>
      <c r="B152" s="33" t="s">
        <v>1951</v>
      </c>
      <c r="C152" s="86" t="s">
        <v>1383</v>
      </c>
      <c r="D152" s="34">
        <v>10</v>
      </c>
      <c r="E152" s="34" t="s">
        <v>2</v>
      </c>
      <c r="F152" s="510">
        <v>49</v>
      </c>
      <c r="G152" s="510">
        <v>49</v>
      </c>
      <c r="H152" s="510">
        <v>19</v>
      </c>
      <c r="I152" s="34"/>
      <c r="J152" s="34"/>
      <c r="K152" s="34">
        <f t="shared" si="31"/>
        <v>2.0910160427807485</v>
      </c>
      <c r="L152" s="34">
        <f t="shared" si="32"/>
        <v>2.9065122994652404</v>
      </c>
      <c r="M152" s="522">
        <v>0.16845000000000002</v>
      </c>
      <c r="N152" s="522">
        <v>0.23414550000000001</v>
      </c>
      <c r="O152" s="522">
        <f t="shared" si="33"/>
        <v>0.23414550000000001</v>
      </c>
      <c r="P152" s="57">
        <f t="shared" si="34"/>
        <v>0.32546224499999998</v>
      </c>
      <c r="Q152" s="42">
        <f t="shared" si="35"/>
        <v>0.33449357142857145</v>
      </c>
      <c r="R152" s="27">
        <f t="shared" si="36"/>
        <v>3.3449357142857146</v>
      </c>
      <c r="S152" s="41">
        <f t="shared" si="37"/>
        <v>0.3</v>
      </c>
      <c r="T152" s="47">
        <f>O152/(1-0.35)</f>
        <v>0.36022384615384617</v>
      </c>
      <c r="U152" s="28">
        <f>(T152*D152)</f>
        <v>3.6022384615384615</v>
      </c>
      <c r="V152" s="48">
        <v>0.35</v>
      </c>
      <c r="W152" s="71"/>
      <c r="X152" s="71"/>
      <c r="Y152" s="37"/>
      <c r="Z152" s="77"/>
      <c r="AA152" s="77"/>
      <c r="AB152" s="77"/>
      <c r="AC152" s="77"/>
      <c r="AF152" s="77" t="s">
        <v>1175</v>
      </c>
      <c r="AG152" s="77"/>
      <c r="AH152" s="145"/>
      <c r="AI152" s="77"/>
      <c r="AJ152" s="34"/>
      <c r="AK152" s="86" t="s">
        <v>267</v>
      </c>
      <c r="AL152" s="77" t="e">
        <f>VLOOKUP(AK152,B:O,6,FALSE)</f>
        <v>#N/A</v>
      </c>
      <c r="AM152" s="77" t="e">
        <f>AL152-O152</f>
        <v>#N/A</v>
      </c>
      <c r="AO152" s="10"/>
      <c r="AP152" s="10"/>
    </row>
    <row r="153" spans="1:43">
      <c r="A153" s="33" t="s">
        <v>926</v>
      </c>
      <c r="B153" s="33" t="s">
        <v>1952</v>
      </c>
      <c r="C153" s="33" t="s">
        <v>1442</v>
      </c>
      <c r="D153" s="175">
        <v>40</v>
      </c>
      <c r="E153" s="34" t="s">
        <v>2</v>
      </c>
      <c r="F153" s="509"/>
      <c r="G153" s="509"/>
      <c r="H153" s="509"/>
      <c r="I153" s="34">
        <v>24</v>
      </c>
      <c r="J153" s="34"/>
      <c r="K153" s="34">
        <f t="shared" si="31"/>
        <v>0</v>
      </c>
      <c r="L153" s="34">
        <f t="shared" si="32"/>
        <v>0</v>
      </c>
      <c r="M153" s="522">
        <v>0.19477000000000003</v>
      </c>
      <c r="N153" s="522">
        <v>0.27073030000000003</v>
      </c>
      <c r="O153" s="522">
        <f t="shared" si="33"/>
        <v>0.27073030000000003</v>
      </c>
      <c r="P153" s="57">
        <f t="shared" si="34"/>
        <v>0.37631511700000003</v>
      </c>
      <c r="Q153" s="42">
        <f t="shared" si="35"/>
        <v>0.38675757142857148</v>
      </c>
      <c r="R153" s="27">
        <f t="shared" si="36"/>
        <v>15.470302857142858</v>
      </c>
      <c r="S153" s="41">
        <f t="shared" si="37"/>
        <v>0.3</v>
      </c>
      <c r="T153" s="47"/>
      <c r="U153" s="28"/>
      <c r="V153" s="48"/>
      <c r="W153" s="71"/>
      <c r="X153" s="71"/>
      <c r="Y153" s="37"/>
      <c r="Z153" s="77"/>
      <c r="AA153" s="77"/>
      <c r="AB153" s="77"/>
      <c r="AC153" s="77"/>
      <c r="AF153" s="77"/>
      <c r="AG153" s="77"/>
      <c r="AH153" s="145"/>
      <c r="AI153" s="77"/>
      <c r="AJ153" s="34"/>
      <c r="AK153" s="86"/>
      <c r="AL153" s="77"/>
      <c r="AM153" s="77"/>
      <c r="AO153" s="10"/>
      <c r="AP153" s="10"/>
    </row>
    <row r="154" spans="1:43">
      <c r="A154" s="33" t="s">
        <v>926</v>
      </c>
      <c r="B154" s="33" t="s">
        <v>1953</v>
      </c>
      <c r="C154" s="33" t="s">
        <v>1384</v>
      </c>
      <c r="D154" s="175">
        <v>40</v>
      </c>
      <c r="E154" s="34" t="s">
        <v>2</v>
      </c>
      <c r="F154" s="509"/>
      <c r="G154" s="509"/>
      <c r="H154" s="509"/>
      <c r="I154" s="34">
        <v>24</v>
      </c>
      <c r="J154" s="34"/>
      <c r="K154" s="34">
        <f t="shared" si="31"/>
        <v>0</v>
      </c>
      <c r="L154" s="34">
        <f t="shared" si="32"/>
        <v>0</v>
      </c>
      <c r="M154" s="522">
        <v>0.25667000000000001</v>
      </c>
      <c r="N154" s="522">
        <v>0.35677130000000001</v>
      </c>
      <c r="O154" s="522">
        <f t="shared" si="33"/>
        <v>0.35677130000000001</v>
      </c>
      <c r="P154" s="57">
        <f t="shared" si="34"/>
        <v>0.49591210699999999</v>
      </c>
      <c r="Q154" s="42">
        <f t="shared" si="35"/>
        <v>0.50967328571428572</v>
      </c>
      <c r="R154" s="27">
        <f t="shared" si="36"/>
        <v>20.38693142857143</v>
      </c>
      <c r="S154" s="41">
        <f t="shared" si="37"/>
        <v>0.3</v>
      </c>
      <c r="T154" s="47"/>
      <c r="U154" s="28"/>
      <c r="V154" s="48"/>
      <c r="W154" s="71"/>
      <c r="X154" s="71"/>
      <c r="Y154" s="37"/>
      <c r="Z154" s="77"/>
      <c r="AA154" s="77"/>
      <c r="AB154" s="77"/>
      <c r="AC154" s="77"/>
      <c r="AF154" s="77" t="s">
        <v>1139</v>
      </c>
      <c r="AG154" s="77">
        <v>11.05</v>
      </c>
      <c r="AH154" s="145">
        <f>Q154</f>
        <v>0.50967328571428572</v>
      </c>
      <c r="AI154" s="77">
        <f>AH154-AG154</f>
        <v>-10.540326714285715</v>
      </c>
      <c r="AJ154" s="34"/>
      <c r="AK154" s="33"/>
      <c r="AL154" s="77"/>
      <c r="AM154" s="77"/>
      <c r="AO154" s="10"/>
      <c r="AP154" s="10"/>
    </row>
    <row r="155" spans="1:43">
      <c r="A155" s="33" t="s">
        <v>926</v>
      </c>
      <c r="B155" s="33" t="s">
        <v>1954</v>
      </c>
      <c r="C155" s="86" t="s">
        <v>1385</v>
      </c>
      <c r="D155" s="34">
        <v>10</v>
      </c>
      <c r="E155" s="34" t="s">
        <v>2</v>
      </c>
      <c r="F155" s="509"/>
      <c r="G155" s="509"/>
      <c r="H155" s="509"/>
      <c r="I155" s="34">
        <v>30</v>
      </c>
      <c r="J155" s="34"/>
      <c r="K155" s="34">
        <f t="shared" si="31"/>
        <v>0</v>
      </c>
      <c r="L155" s="34">
        <f t="shared" si="32"/>
        <v>0</v>
      </c>
      <c r="M155" s="522">
        <v>0.27791000000000005</v>
      </c>
      <c r="N155" s="522">
        <v>0.38629490000000005</v>
      </c>
      <c r="O155" s="522">
        <f t="shared" si="33"/>
        <v>0.38629490000000005</v>
      </c>
      <c r="P155" s="57">
        <f t="shared" si="34"/>
        <v>0.536949911</v>
      </c>
      <c r="Q155" s="42">
        <f t="shared" si="35"/>
        <v>0.55184985714285728</v>
      </c>
      <c r="R155" s="27">
        <f t="shared" si="36"/>
        <v>5.518498571428573</v>
      </c>
      <c r="S155" s="41">
        <f t="shared" si="37"/>
        <v>0.3000000000000001</v>
      </c>
      <c r="T155" s="47"/>
      <c r="U155" s="28"/>
      <c r="V155" s="48"/>
      <c r="W155" s="71"/>
      <c r="X155" s="71"/>
      <c r="Y155" s="37"/>
      <c r="Z155" s="77"/>
      <c r="AA155" s="77"/>
      <c r="AB155" s="77"/>
      <c r="AC155" s="77"/>
      <c r="AF155" s="77" t="s">
        <v>1176</v>
      </c>
      <c r="AG155" s="77"/>
      <c r="AH155" s="34"/>
      <c r="AI155" s="34"/>
      <c r="AJ155" s="34"/>
      <c r="AK155" s="86" t="s">
        <v>271</v>
      </c>
      <c r="AL155" s="77" t="e">
        <f>VLOOKUP(AK155,B:O,6,FALSE)</f>
        <v>#N/A</v>
      </c>
      <c r="AM155" s="77" t="e">
        <f>AL155-O155</f>
        <v>#N/A</v>
      </c>
      <c r="AO155" s="10"/>
      <c r="AP155" s="187"/>
    </row>
    <row r="156" spans="1:43">
      <c r="A156" s="33" t="s">
        <v>926</v>
      </c>
      <c r="B156" s="33" t="s">
        <v>1955</v>
      </c>
      <c r="C156" s="86" t="s">
        <v>1411</v>
      </c>
      <c r="D156" s="34">
        <v>20</v>
      </c>
      <c r="E156" s="34" t="s">
        <v>2</v>
      </c>
      <c r="F156" s="509"/>
      <c r="G156" s="509"/>
      <c r="H156" s="509"/>
      <c r="I156" s="34"/>
      <c r="J156" s="34"/>
      <c r="K156" s="34">
        <f t="shared" si="31"/>
        <v>0</v>
      </c>
      <c r="L156" s="34">
        <f t="shared" si="32"/>
        <v>0</v>
      </c>
      <c r="M156" s="522">
        <v>0.34916999999999992</v>
      </c>
      <c r="N156" s="522">
        <v>0.48534629999999984</v>
      </c>
      <c r="O156" s="522">
        <f t="shared" si="33"/>
        <v>0.48534629999999984</v>
      </c>
      <c r="P156" s="57">
        <f t="shared" si="34"/>
        <v>0.67463135699999977</v>
      </c>
      <c r="Q156" s="42">
        <f t="shared" si="35"/>
        <v>0.69335185714285696</v>
      </c>
      <c r="R156" s="27">
        <f t="shared" si="36"/>
        <v>13.867037142857139</v>
      </c>
      <c r="S156" s="41">
        <f t="shared" si="37"/>
        <v>0.30000000000000004</v>
      </c>
      <c r="T156" s="47"/>
      <c r="U156" s="28"/>
      <c r="V156" s="48"/>
      <c r="W156" s="71"/>
      <c r="X156" s="71"/>
      <c r="Y156" s="37"/>
      <c r="Z156" s="77"/>
      <c r="AA156" s="77"/>
      <c r="AB156" s="77"/>
      <c r="AC156" s="77"/>
      <c r="AF156" s="77" t="s">
        <v>1412</v>
      </c>
      <c r="AG156" s="77"/>
      <c r="AH156" s="34"/>
      <c r="AI156" s="34"/>
      <c r="AJ156" s="34"/>
      <c r="AK156" s="86"/>
      <c r="AL156" s="77"/>
      <c r="AM156" s="77"/>
      <c r="AO156" s="10"/>
      <c r="AP156" s="187"/>
    </row>
    <row r="157" spans="1:43">
      <c r="A157" s="33" t="s">
        <v>926</v>
      </c>
      <c r="B157" s="33" t="s">
        <v>1956</v>
      </c>
      <c r="C157" s="86" t="s">
        <v>1386</v>
      </c>
      <c r="D157" s="34">
        <v>20</v>
      </c>
      <c r="E157" s="34" t="s">
        <v>2</v>
      </c>
      <c r="F157" s="509"/>
      <c r="G157" s="509"/>
      <c r="H157" s="509"/>
      <c r="I157" s="34">
        <v>36</v>
      </c>
      <c r="J157" s="34"/>
      <c r="K157" s="34">
        <f t="shared" si="31"/>
        <v>0</v>
      </c>
      <c r="L157" s="34">
        <f t="shared" si="32"/>
        <v>0</v>
      </c>
      <c r="M157" s="522"/>
      <c r="N157" s="522">
        <v>0</v>
      </c>
      <c r="O157" s="522">
        <f t="shared" si="33"/>
        <v>0</v>
      </c>
      <c r="P157" s="57">
        <f t="shared" si="34"/>
        <v>0</v>
      </c>
      <c r="Q157" s="42">
        <f t="shared" si="35"/>
        <v>0</v>
      </c>
      <c r="R157" s="27">
        <f t="shared" si="36"/>
        <v>0</v>
      </c>
      <c r="S157" s="41" t="e">
        <f t="shared" si="37"/>
        <v>#DIV/0!</v>
      </c>
      <c r="T157" s="47"/>
      <c r="U157" s="28"/>
      <c r="V157" s="48"/>
      <c r="W157" s="71"/>
      <c r="X157" s="71"/>
      <c r="Y157" s="37"/>
      <c r="Z157" s="77"/>
      <c r="AA157" s="77"/>
      <c r="AB157" s="77"/>
      <c r="AC157" s="77"/>
      <c r="AF157" s="77" t="s">
        <v>1177</v>
      </c>
      <c r="AG157" s="77"/>
      <c r="AH157" s="34"/>
      <c r="AI157" s="34"/>
      <c r="AJ157" s="34"/>
      <c r="AK157" s="86" t="s">
        <v>275</v>
      </c>
      <c r="AL157" s="77" t="e">
        <f>VLOOKUP(AK157,B:O,6,FALSE)</f>
        <v>#N/A</v>
      </c>
      <c r="AM157" s="77" t="e">
        <f>AL157-O157</f>
        <v>#N/A</v>
      </c>
      <c r="AO157" s="10"/>
      <c r="AP157" s="10"/>
    </row>
    <row r="158" spans="1:43">
      <c r="A158" s="33" t="s">
        <v>926</v>
      </c>
      <c r="B158" s="33" t="s">
        <v>1957</v>
      </c>
      <c r="C158" s="86" t="s">
        <v>1387</v>
      </c>
      <c r="D158" s="34">
        <v>80</v>
      </c>
      <c r="E158" s="34" t="s">
        <v>2</v>
      </c>
      <c r="F158" s="509"/>
      <c r="G158" s="509"/>
      <c r="H158" s="509"/>
      <c r="I158" s="34"/>
      <c r="J158" s="34"/>
      <c r="K158" s="34">
        <f t="shared" si="31"/>
        <v>0</v>
      </c>
      <c r="L158" s="34">
        <f t="shared" si="32"/>
        <v>0</v>
      </c>
      <c r="M158" s="522"/>
      <c r="N158" s="522">
        <v>0</v>
      </c>
      <c r="O158" s="522">
        <f t="shared" si="33"/>
        <v>0</v>
      </c>
      <c r="P158" s="57">
        <f t="shared" si="34"/>
        <v>0</v>
      </c>
      <c r="Q158" s="42">
        <f t="shared" si="35"/>
        <v>0</v>
      </c>
      <c r="R158" s="27">
        <f t="shared" si="36"/>
        <v>0</v>
      </c>
      <c r="S158" s="41" t="e">
        <f t="shared" si="37"/>
        <v>#DIV/0!</v>
      </c>
      <c r="T158" s="47"/>
      <c r="U158" s="28"/>
      <c r="V158" s="48"/>
      <c r="W158" s="71"/>
      <c r="X158" s="71"/>
      <c r="Y158" s="37"/>
      <c r="Z158" s="77"/>
      <c r="AA158" s="77"/>
      <c r="AB158" s="77"/>
      <c r="AC158" s="77"/>
      <c r="AF158" s="77" t="s">
        <v>1178</v>
      </c>
      <c r="AG158" s="77"/>
      <c r="AH158" s="34"/>
      <c r="AI158" s="34"/>
      <c r="AJ158" s="34"/>
      <c r="AK158" s="86" t="s">
        <v>277</v>
      </c>
      <c r="AL158" s="77" t="e">
        <f>VLOOKUP(AK158,B:O,6,FALSE)</f>
        <v>#N/A</v>
      </c>
      <c r="AM158" s="77" t="e">
        <f>AL158-O158</f>
        <v>#N/A</v>
      </c>
    </row>
    <row r="159" spans="1:43">
      <c r="A159" s="33" t="s">
        <v>926</v>
      </c>
      <c r="B159" s="33" t="s">
        <v>1958</v>
      </c>
      <c r="C159" s="33" t="s">
        <v>1388</v>
      </c>
      <c r="D159" s="34">
        <v>20</v>
      </c>
      <c r="E159" s="34" t="s">
        <v>2</v>
      </c>
      <c r="F159" s="509"/>
      <c r="G159" s="509"/>
      <c r="H159" s="509"/>
      <c r="I159" s="34">
        <v>42</v>
      </c>
      <c r="J159" s="34"/>
      <c r="K159" s="34">
        <f t="shared" si="31"/>
        <v>0</v>
      </c>
      <c r="L159" s="34">
        <f t="shared" si="32"/>
        <v>0</v>
      </c>
      <c r="M159" s="522">
        <v>0.1226</v>
      </c>
      <c r="N159" s="522">
        <v>0.17041399999999998</v>
      </c>
      <c r="O159" s="522">
        <f t="shared" si="33"/>
        <v>0.17041399999999998</v>
      </c>
      <c r="P159" s="57">
        <f t="shared" si="34"/>
        <v>0.23687545999999995</v>
      </c>
      <c r="Q159" s="42">
        <f t="shared" si="35"/>
        <v>0.24344857142857143</v>
      </c>
      <c r="R159" s="27">
        <f t="shared" si="36"/>
        <v>4.8689714285714283</v>
      </c>
      <c r="S159" s="41">
        <f t="shared" si="37"/>
        <v>0.3000000000000001</v>
      </c>
      <c r="T159" s="47"/>
      <c r="U159" s="28"/>
      <c r="V159" s="48"/>
      <c r="W159" s="71"/>
      <c r="X159" s="71"/>
      <c r="Y159" s="37"/>
      <c r="Z159" s="77"/>
      <c r="AA159" s="77"/>
      <c r="AB159" s="77"/>
      <c r="AC159" s="77"/>
      <c r="AD159" s="10"/>
      <c r="AE159" s="10"/>
      <c r="AF159" s="77" t="s">
        <v>1179</v>
      </c>
      <c r="AG159" s="77">
        <v>10.8</v>
      </c>
      <c r="AH159" s="145">
        <f>Q159</f>
        <v>0.24344857142857143</v>
      </c>
      <c r="AI159" s="77">
        <f>AH159-AG159</f>
        <v>-10.55655142857143</v>
      </c>
      <c r="AJ159" s="34"/>
      <c r="AK159" s="33"/>
      <c r="AL159" s="77"/>
      <c r="AM159" s="77"/>
    </row>
    <row r="160" spans="1:43">
      <c r="A160" s="33" t="s">
        <v>926</v>
      </c>
      <c r="B160" s="33" t="s">
        <v>1959</v>
      </c>
      <c r="C160" s="33" t="s">
        <v>1389</v>
      </c>
      <c r="D160" s="34">
        <v>40</v>
      </c>
      <c r="E160" s="34" t="s">
        <v>2</v>
      </c>
      <c r="F160" s="509"/>
      <c r="G160" s="509"/>
      <c r="H160" s="509"/>
      <c r="I160" s="34"/>
      <c r="J160" s="34"/>
      <c r="K160" s="34">
        <f t="shared" si="31"/>
        <v>0</v>
      </c>
      <c r="L160" s="34">
        <f t="shared" si="32"/>
        <v>0</v>
      </c>
      <c r="M160" s="522">
        <v>0.20569999999999999</v>
      </c>
      <c r="N160" s="522">
        <v>0.28592299999999998</v>
      </c>
      <c r="O160" s="522">
        <f t="shared" si="33"/>
        <v>0.28592299999999998</v>
      </c>
      <c r="P160" s="57">
        <f t="shared" si="34"/>
        <v>0.39743296999999994</v>
      </c>
      <c r="Q160" s="42">
        <f t="shared" si="35"/>
        <v>0.40846142857142859</v>
      </c>
      <c r="R160" s="27">
        <f t="shared" si="36"/>
        <v>16.338457142857145</v>
      </c>
      <c r="S160" s="41">
        <f t="shared" si="37"/>
        <v>0.30000000000000004</v>
      </c>
      <c r="T160" s="47"/>
      <c r="U160" s="28"/>
      <c r="V160" s="48"/>
      <c r="W160" s="71"/>
      <c r="X160" s="71"/>
      <c r="Y160" s="37"/>
      <c r="Z160" s="77"/>
      <c r="AA160" s="77"/>
      <c r="AB160" s="77"/>
      <c r="AC160" s="77"/>
      <c r="AD160" s="10"/>
      <c r="AE160" s="10"/>
      <c r="AF160" s="77"/>
      <c r="AG160" s="77"/>
      <c r="AH160" s="145"/>
      <c r="AI160" s="77"/>
      <c r="AJ160" s="34"/>
      <c r="AK160" s="33"/>
      <c r="AL160" s="77"/>
      <c r="AM160" s="77"/>
    </row>
    <row r="161" spans="1:42">
      <c r="A161" s="33" t="s">
        <v>926</v>
      </c>
      <c r="B161" s="33" t="s">
        <v>1960</v>
      </c>
      <c r="C161" s="33" t="s">
        <v>1390</v>
      </c>
      <c r="D161" s="34">
        <v>30</v>
      </c>
      <c r="E161" s="34" t="s">
        <v>2</v>
      </c>
      <c r="F161" s="509"/>
      <c r="G161" s="509"/>
      <c r="H161" s="509"/>
      <c r="I161" s="34"/>
      <c r="J161" s="34"/>
      <c r="K161" s="34">
        <f t="shared" si="31"/>
        <v>0</v>
      </c>
      <c r="L161" s="34">
        <f t="shared" si="32"/>
        <v>0</v>
      </c>
      <c r="M161" s="522">
        <v>0.29580000000000001</v>
      </c>
      <c r="N161" s="522">
        <v>0.41116199999999997</v>
      </c>
      <c r="O161" s="522">
        <f t="shared" si="33"/>
        <v>0.41116199999999997</v>
      </c>
      <c r="P161" s="57">
        <f t="shared" si="34"/>
        <v>0.5715151799999999</v>
      </c>
      <c r="Q161" s="42">
        <f t="shared" si="35"/>
        <v>0.58737428571428574</v>
      </c>
      <c r="R161" s="27">
        <f t="shared" si="36"/>
        <v>17.621228571428571</v>
      </c>
      <c r="S161" s="41">
        <f t="shared" si="37"/>
        <v>0.3000000000000001</v>
      </c>
      <c r="T161" s="47"/>
      <c r="U161" s="28"/>
      <c r="V161" s="48"/>
      <c r="W161" s="71"/>
      <c r="X161" s="71"/>
      <c r="Y161" s="37"/>
      <c r="Z161" s="77"/>
      <c r="AA161" s="77"/>
      <c r="AB161" s="77"/>
      <c r="AC161" s="77"/>
      <c r="AD161" s="10"/>
      <c r="AE161" s="10"/>
      <c r="AF161" s="77" t="s">
        <v>1134</v>
      </c>
      <c r="AG161" s="77">
        <v>12.19</v>
      </c>
      <c r="AH161" s="145">
        <f>Q161</f>
        <v>0.58737428571428574</v>
      </c>
      <c r="AI161" s="77">
        <f>AH161-AG161</f>
        <v>-11.602625714285713</v>
      </c>
      <c r="AJ161" s="34"/>
      <c r="AK161" s="33" t="s">
        <v>283</v>
      </c>
      <c r="AL161" s="77" t="e">
        <f t="shared" ref="AL161:AL167" si="40">VLOOKUP(AK161,B:O,6,FALSE)</f>
        <v>#N/A</v>
      </c>
      <c r="AM161" s="77" t="e">
        <f t="shared" ref="AM161:AM167" si="41">AL161-O161</f>
        <v>#N/A</v>
      </c>
    </row>
    <row r="162" spans="1:42">
      <c r="A162" s="33" t="s">
        <v>926</v>
      </c>
      <c r="B162" s="33" t="s">
        <v>1961</v>
      </c>
      <c r="C162" s="33" t="s">
        <v>1391</v>
      </c>
      <c r="D162" s="34">
        <v>30</v>
      </c>
      <c r="E162" s="34" t="s">
        <v>2</v>
      </c>
      <c r="F162" s="509"/>
      <c r="G162" s="509"/>
      <c r="H162" s="509"/>
      <c r="I162" s="34"/>
      <c r="J162" s="34"/>
      <c r="K162" s="34">
        <f t="shared" si="31"/>
        <v>0</v>
      </c>
      <c r="L162" s="34">
        <f t="shared" si="32"/>
        <v>0</v>
      </c>
      <c r="M162" s="522">
        <v>0.33310000000000001</v>
      </c>
      <c r="N162" s="522">
        <v>0.463009</v>
      </c>
      <c r="O162" s="522">
        <f t="shared" si="33"/>
        <v>0.463009</v>
      </c>
      <c r="P162" s="57">
        <f t="shared" si="34"/>
        <v>0.64358251</v>
      </c>
      <c r="Q162" s="42">
        <f t="shared" si="35"/>
        <v>0.66144142857142862</v>
      </c>
      <c r="R162" s="27">
        <f t="shared" si="36"/>
        <v>19.843242857142858</v>
      </c>
      <c r="S162" s="41">
        <f t="shared" si="37"/>
        <v>0.30000000000000004</v>
      </c>
      <c r="T162" s="47"/>
      <c r="U162" s="28"/>
      <c r="V162" s="48"/>
      <c r="W162" s="71"/>
      <c r="X162" s="71"/>
      <c r="Y162" s="37"/>
      <c r="Z162" s="77"/>
      <c r="AA162" s="77"/>
      <c r="AB162" s="77"/>
      <c r="AC162" s="77"/>
      <c r="AD162" s="10"/>
      <c r="AE162" s="10"/>
      <c r="AF162" s="77"/>
      <c r="AG162" s="77"/>
      <c r="AH162" s="145"/>
      <c r="AI162" s="77"/>
      <c r="AJ162" s="34"/>
      <c r="AK162" s="86" t="s">
        <v>285</v>
      </c>
      <c r="AL162" s="77" t="e">
        <f t="shared" si="40"/>
        <v>#N/A</v>
      </c>
      <c r="AM162" s="77" t="e">
        <f t="shared" si="41"/>
        <v>#N/A</v>
      </c>
    </row>
    <row r="163" spans="1:42">
      <c r="A163" s="33" t="s">
        <v>926</v>
      </c>
      <c r="B163" s="33" t="s">
        <v>1962</v>
      </c>
      <c r="C163" s="33" t="s">
        <v>1392</v>
      </c>
      <c r="D163" s="34">
        <v>45</v>
      </c>
      <c r="E163" s="34" t="s">
        <v>2</v>
      </c>
      <c r="F163" s="509"/>
      <c r="G163" s="509"/>
      <c r="H163" s="509"/>
      <c r="I163" s="34"/>
      <c r="J163" s="34"/>
      <c r="K163" s="34">
        <f t="shared" si="31"/>
        <v>0</v>
      </c>
      <c r="L163" s="34">
        <f t="shared" ref="L163:L182" si="42">IFERROR(K163*1.39, "Not available")</f>
        <v>0</v>
      </c>
      <c r="M163" s="522">
        <v>0.39879999999999999</v>
      </c>
      <c r="N163" s="522">
        <v>0.55433199999999994</v>
      </c>
      <c r="O163" s="522">
        <f t="shared" ref="O163:O182" si="43">M163*1.39</f>
        <v>0.55433199999999994</v>
      </c>
      <c r="P163" s="57">
        <f t="shared" ref="P163:P182" si="44">N163*1.39</f>
        <v>0.77052147999999987</v>
      </c>
      <c r="Q163" s="42">
        <f t="shared" si="35"/>
        <v>0.79190285714285713</v>
      </c>
      <c r="R163" s="27">
        <f t="shared" si="36"/>
        <v>35.635628571428569</v>
      </c>
      <c r="S163" s="41">
        <f t="shared" si="37"/>
        <v>0.30000000000000004</v>
      </c>
      <c r="T163" s="47"/>
      <c r="U163" s="28"/>
      <c r="V163" s="48"/>
      <c r="W163" s="71"/>
      <c r="X163" s="71"/>
      <c r="Y163" s="37"/>
      <c r="Z163" s="77"/>
      <c r="AA163" s="77"/>
      <c r="AB163" s="77"/>
      <c r="AC163" s="77"/>
      <c r="AD163" s="10"/>
      <c r="AE163" s="10"/>
      <c r="AF163" s="77"/>
      <c r="AG163" s="77"/>
      <c r="AH163" s="145"/>
      <c r="AI163" s="77"/>
      <c r="AJ163" s="34"/>
      <c r="AK163" s="86" t="s">
        <v>287</v>
      </c>
      <c r="AL163" s="77" t="e">
        <f t="shared" si="40"/>
        <v>#N/A</v>
      </c>
      <c r="AM163" s="77" t="e">
        <f t="shared" si="41"/>
        <v>#N/A</v>
      </c>
      <c r="AO163" s="187"/>
      <c r="AP163" s="187"/>
    </row>
    <row r="164" spans="1:42" ht="14.25" customHeight="1">
      <c r="A164" s="33" t="s">
        <v>926</v>
      </c>
      <c r="B164" s="33" t="s">
        <v>1963</v>
      </c>
      <c r="C164" s="86" t="s">
        <v>1393</v>
      </c>
      <c r="D164" s="175">
        <v>100</v>
      </c>
      <c r="E164" s="34" t="s">
        <v>2</v>
      </c>
      <c r="F164" s="509"/>
      <c r="G164" s="509"/>
      <c r="H164" s="509"/>
      <c r="I164" s="34">
        <v>56</v>
      </c>
      <c r="J164" s="34"/>
      <c r="K164" s="34">
        <f t="shared" si="31"/>
        <v>0</v>
      </c>
      <c r="L164" s="34">
        <f t="shared" si="42"/>
        <v>0</v>
      </c>
      <c r="M164" s="522">
        <v>0.44</v>
      </c>
      <c r="N164" s="522">
        <v>0.61159999999999992</v>
      </c>
      <c r="O164" s="522">
        <f t="shared" si="43"/>
        <v>0.61159999999999992</v>
      </c>
      <c r="P164" s="57">
        <f t="shared" si="44"/>
        <v>0.85012399999999988</v>
      </c>
      <c r="Q164" s="42">
        <f t="shared" si="35"/>
        <v>0.87371428571428567</v>
      </c>
      <c r="R164" s="27">
        <f t="shared" si="36"/>
        <v>87.371428571428567</v>
      </c>
      <c r="S164" s="41">
        <f t="shared" si="37"/>
        <v>0.30000000000000004</v>
      </c>
      <c r="T164" s="47"/>
      <c r="U164" s="28"/>
      <c r="V164" s="48"/>
      <c r="W164" s="71"/>
      <c r="X164" s="71"/>
      <c r="Y164" s="37"/>
      <c r="Z164" s="77"/>
      <c r="AA164" s="77"/>
      <c r="AB164" s="77"/>
      <c r="AC164" s="77"/>
      <c r="AD164" s="10"/>
      <c r="AE164" s="10"/>
      <c r="AF164" s="77" t="s">
        <v>1110</v>
      </c>
      <c r="AG164" s="77">
        <v>1.1499999999999999</v>
      </c>
      <c r="AH164" s="145">
        <f>Q164</f>
        <v>0.87371428571428567</v>
      </c>
      <c r="AI164" s="77">
        <f>AH164-AG164</f>
        <v>-0.27628571428571425</v>
      </c>
      <c r="AJ164" s="34"/>
      <c r="AK164" s="86" t="s">
        <v>291</v>
      </c>
      <c r="AL164" s="77" t="e">
        <f t="shared" si="40"/>
        <v>#N/A</v>
      </c>
      <c r="AM164" s="77" t="e">
        <f t="shared" si="41"/>
        <v>#N/A</v>
      </c>
      <c r="AO164" s="10"/>
      <c r="AP164" s="187"/>
    </row>
    <row r="165" spans="1:42">
      <c r="A165" s="33" t="s">
        <v>926</v>
      </c>
      <c r="B165" s="33" t="s">
        <v>1964</v>
      </c>
      <c r="C165" s="86" t="s">
        <v>1394</v>
      </c>
      <c r="D165" s="175">
        <v>100</v>
      </c>
      <c r="E165" s="34" t="s">
        <v>2</v>
      </c>
      <c r="F165" s="509"/>
      <c r="G165" s="509"/>
      <c r="H165" s="509"/>
      <c r="I165" s="34">
        <v>56</v>
      </c>
      <c r="J165" s="34"/>
      <c r="K165" s="34">
        <f t="shared" si="31"/>
        <v>0</v>
      </c>
      <c r="L165" s="34">
        <f t="shared" si="42"/>
        <v>0</v>
      </c>
      <c r="M165" s="522">
        <v>0.54349999999999998</v>
      </c>
      <c r="N165" s="522">
        <v>0.75546499999999994</v>
      </c>
      <c r="O165" s="522">
        <f t="shared" si="43"/>
        <v>0.75546499999999994</v>
      </c>
      <c r="P165" s="57">
        <f t="shared" si="44"/>
        <v>1.0500963499999998</v>
      </c>
      <c r="Q165" s="42">
        <f t="shared" si="35"/>
        <v>1.0792357142857143</v>
      </c>
      <c r="R165" s="27">
        <f t="shared" si="36"/>
        <v>107.92357142857144</v>
      </c>
      <c r="S165" s="41">
        <f t="shared" si="37"/>
        <v>0.30000000000000004</v>
      </c>
      <c r="T165" s="47"/>
      <c r="U165" s="28"/>
      <c r="V165" s="48"/>
      <c r="W165" s="71"/>
      <c r="X165" s="71"/>
      <c r="Y165" s="37"/>
      <c r="Z165" s="77"/>
      <c r="AA165" s="77"/>
      <c r="AB165" s="77"/>
      <c r="AC165" s="77"/>
      <c r="AD165" s="10"/>
      <c r="AE165" s="10"/>
      <c r="AF165" s="77" t="s">
        <v>1111</v>
      </c>
      <c r="AG165" s="77">
        <v>2.75</v>
      </c>
      <c r="AH165" s="145">
        <f>Q165</f>
        <v>1.0792357142857143</v>
      </c>
      <c r="AI165" s="77">
        <f>AH165-AG165</f>
        <v>-1.6707642857142857</v>
      </c>
      <c r="AJ165" s="34"/>
      <c r="AK165" s="86" t="s">
        <v>293</v>
      </c>
      <c r="AL165" s="77" t="e">
        <f t="shared" si="40"/>
        <v>#N/A</v>
      </c>
      <c r="AM165" s="77" t="e">
        <f t="shared" si="41"/>
        <v>#N/A</v>
      </c>
      <c r="AO165" s="10"/>
      <c r="AP165" s="10"/>
    </row>
    <row r="166" spans="1:42">
      <c r="A166" s="33" t="s">
        <v>926</v>
      </c>
      <c r="B166" s="33" t="s">
        <v>1965</v>
      </c>
      <c r="C166" s="86" t="s">
        <v>1395</v>
      </c>
      <c r="D166" s="175">
        <v>90</v>
      </c>
      <c r="E166" s="34" t="s">
        <v>2</v>
      </c>
      <c r="F166" s="509"/>
      <c r="G166" s="509"/>
      <c r="H166" s="509"/>
      <c r="I166" s="34">
        <v>48</v>
      </c>
      <c r="J166" s="34"/>
      <c r="K166" s="34">
        <f t="shared" si="31"/>
        <v>0</v>
      </c>
      <c r="L166" s="34">
        <f t="shared" si="42"/>
        <v>0</v>
      </c>
      <c r="M166" s="522">
        <v>0.33600000000000002</v>
      </c>
      <c r="N166" s="522">
        <v>0.46704000000000001</v>
      </c>
      <c r="O166" s="522">
        <f t="shared" si="43"/>
        <v>0.46704000000000001</v>
      </c>
      <c r="P166" s="57">
        <f t="shared" si="44"/>
        <v>0.64918559999999992</v>
      </c>
      <c r="Q166" s="42">
        <f t="shared" si="35"/>
        <v>0.66720000000000002</v>
      </c>
      <c r="R166" s="27">
        <f t="shared" si="36"/>
        <v>60.048000000000002</v>
      </c>
      <c r="S166" s="41">
        <f t="shared" si="37"/>
        <v>0.3</v>
      </c>
      <c r="T166" s="47"/>
      <c r="U166" s="28"/>
      <c r="V166" s="48"/>
      <c r="W166" s="71"/>
      <c r="X166" s="71"/>
      <c r="Y166" s="37"/>
      <c r="Z166" s="77"/>
      <c r="AA166" s="77"/>
      <c r="AB166" s="77"/>
      <c r="AC166" s="77"/>
      <c r="AD166" s="10"/>
      <c r="AE166" s="10"/>
      <c r="AF166" s="77"/>
      <c r="AG166" s="77"/>
      <c r="AH166" s="145"/>
      <c r="AI166" s="77"/>
      <c r="AJ166" s="34"/>
      <c r="AK166" s="86" t="s">
        <v>295</v>
      </c>
      <c r="AL166" s="77" t="e">
        <f t="shared" si="40"/>
        <v>#N/A</v>
      </c>
      <c r="AM166" s="77" t="e">
        <f t="shared" si="41"/>
        <v>#N/A</v>
      </c>
      <c r="AO166" s="10"/>
      <c r="AP166" s="10"/>
    </row>
    <row r="167" spans="1:42">
      <c r="A167" s="33" t="s">
        <v>926</v>
      </c>
      <c r="B167" s="33" t="s">
        <v>1967</v>
      </c>
      <c r="C167" s="86" t="s">
        <v>1396</v>
      </c>
      <c r="D167" s="175">
        <v>60</v>
      </c>
      <c r="E167" s="34" t="s">
        <v>2</v>
      </c>
      <c r="F167" s="509"/>
      <c r="G167" s="509"/>
      <c r="H167" s="509"/>
      <c r="I167" s="34">
        <v>36</v>
      </c>
      <c r="J167" s="34"/>
      <c r="K167" s="34">
        <f t="shared" si="31"/>
        <v>0</v>
      </c>
      <c r="L167" s="34">
        <f t="shared" si="42"/>
        <v>0</v>
      </c>
      <c r="M167" s="522">
        <v>0.38019999999999998</v>
      </c>
      <c r="N167" s="522">
        <v>0.52847799999999989</v>
      </c>
      <c r="O167" s="522">
        <f t="shared" si="43"/>
        <v>0.52847799999999989</v>
      </c>
      <c r="P167" s="57">
        <f t="shared" si="44"/>
        <v>0.73458441999999979</v>
      </c>
      <c r="Q167" s="42">
        <f t="shared" si="35"/>
        <v>0.75496857142857132</v>
      </c>
      <c r="R167" s="27">
        <f t="shared" si="36"/>
        <v>45.298114285714277</v>
      </c>
      <c r="S167" s="41">
        <f t="shared" si="37"/>
        <v>0.30000000000000004</v>
      </c>
      <c r="T167" s="47"/>
      <c r="U167" s="28"/>
      <c r="V167" s="48"/>
      <c r="W167" s="71"/>
      <c r="X167" s="71"/>
      <c r="Y167" s="37"/>
      <c r="Z167" s="77"/>
      <c r="AA167" s="77"/>
      <c r="AB167" s="77"/>
      <c r="AC167" s="77"/>
      <c r="AD167" s="10"/>
      <c r="AE167" s="10"/>
      <c r="AF167" s="77" t="s">
        <v>1112</v>
      </c>
      <c r="AG167" s="77">
        <v>3.64</v>
      </c>
      <c r="AH167" s="145">
        <f>Q167</f>
        <v>0.75496857142857132</v>
      </c>
      <c r="AI167" s="77">
        <f>AH167-AG167</f>
        <v>-2.8850314285714287</v>
      </c>
      <c r="AJ167" s="34"/>
      <c r="AK167" s="86" t="s">
        <v>297</v>
      </c>
      <c r="AL167" s="77" t="e">
        <f t="shared" si="40"/>
        <v>#N/A</v>
      </c>
      <c r="AM167" s="74" t="e">
        <f t="shared" si="41"/>
        <v>#N/A</v>
      </c>
    </row>
    <row r="168" spans="1:42">
      <c r="A168" s="33" t="s">
        <v>926</v>
      </c>
      <c r="B168" s="33" t="s">
        <v>1968</v>
      </c>
      <c r="C168" s="86" t="s">
        <v>1607</v>
      </c>
      <c r="D168" s="175">
        <v>100</v>
      </c>
      <c r="E168" s="34" t="s">
        <v>2</v>
      </c>
      <c r="F168" s="509"/>
      <c r="G168" s="509"/>
      <c r="H168" s="509"/>
      <c r="I168" s="34"/>
      <c r="J168" s="34"/>
      <c r="K168" s="34">
        <f t="shared" si="31"/>
        <v>0</v>
      </c>
      <c r="L168" s="34">
        <f t="shared" si="42"/>
        <v>0</v>
      </c>
      <c r="M168" s="522">
        <v>0.42909999999999998</v>
      </c>
      <c r="N168" s="522">
        <v>0.5964489999999999</v>
      </c>
      <c r="O168" s="522">
        <f t="shared" si="43"/>
        <v>0.5964489999999999</v>
      </c>
      <c r="P168" s="57">
        <f t="shared" si="44"/>
        <v>0.8290641099999998</v>
      </c>
      <c r="Q168" s="42">
        <f t="shared" si="35"/>
        <v>0.85206999999999988</v>
      </c>
      <c r="R168" s="27">
        <f t="shared" ref="R168:R172" si="45">D168*Q168</f>
        <v>85.206999999999994</v>
      </c>
      <c r="S168" s="41">
        <f t="shared" si="37"/>
        <v>0.30000000000000004</v>
      </c>
      <c r="T168" s="47"/>
      <c r="U168" s="28"/>
      <c r="V168" s="48"/>
      <c r="W168" s="71"/>
      <c r="X168" s="71"/>
      <c r="Y168" s="37"/>
      <c r="Z168" s="77"/>
      <c r="AA168" s="77"/>
      <c r="AB168" s="77"/>
      <c r="AC168" s="77"/>
      <c r="AD168" s="10"/>
      <c r="AE168" s="10"/>
      <c r="AF168" s="77"/>
      <c r="AG168" s="77"/>
      <c r="AH168" s="145"/>
      <c r="AI168" s="77"/>
      <c r="AJ168" s="34"/>
      <c r="AK168" s="86"/>
      <c r="AL168" s="77"/>
      <c r="AM168" s="74"/>
    </row>
    <row r="169" spans="1:42">
      <c r="A169" s="33" t="s">
        <v>926</v>
      </c>
      <c r="B169" s="33" t="s">
        <v>1969</v>
      </c>
      <c r="C169" s="86" t="s">
        <v>1397</v>
      </c>
      <c r="D169" s="175">
        <v>70</v>
      </c>
      <c r="E169" s="34" t="s">
        <v>2</v>
      </c>
      <c r="F169" s="509"/>
      <c r="G169" s="509"/>
      <c r="H169" s="509"/>
      <c r="I169" s="34">
        <v>36</v>
      </c>
      <c r="J169" s="34"/>
      <c r="K169" s="34">
        <f t="shared" si="31"/>
        <v>0</v>
      </c>
      <c r="L169" s="34">
        <f t="shared" si="42"/>
        <v>0</v>
      </c>
      <c r="M169" s="522">
        <v>0.40710000000000002</v>
      </c>
      <c r="N169" s="522">
        <v>0.56586899999999996</v>
      </c>
      <c r="O169" s="522">
        <f t="shared" si="43"/>
        <v>0.56586899999999996</v>
      </c>
      <c r="P169" s="57">
        <f t="shared" si="44"/>
        <v>0.78655790999999986</v>
      </c>
      <c r="Q169" s="42">
        <f t="shared" si="35"/>
        <v>0.80838428571428567</v>
      </c>
      <c r="R169" s="27">
        <f t="shared" si="45"/>
        <v>56.5869</v>
      </c>
      <c r="S169" s="41">
        <f t="shared" si="37"/>
        <v>0.3</v>
      </c>
      <c r="T169" s="47"/>
      <c r="U169" s="28"/>
      <c r="V169" s="48"/>
      <c r="W169" s="71"/>
      <c r="X169" s="71"/>
      <c r="Y169" s="37"/>
      <c r="Z169" s="77"/>
      <c r="AA169" s="77"/>
      <c r="AB169" s="77"/>
      <c r="AC169" s="77"/>
      <c r="AD169" s="10"/>
      <c r="AE169" s="10"/>
      <c r="AF169" s="77" t="s">
        <v>1136</v>
      </c>
      <c r="AG169" s="77">
        <v>3.52</v>
      </c>
      <c r="AH169" s="145">
        <f>Q169</f>
        <v>0.80838428571428567</v>
      </c>
      <c r="AI169" s="77">
        <f>AH169-AG169</f>
        <v>-2.7116157142857142</v>
      </c>
      <c r="AJ169" s="34"/>
      <c r="AK169" s="33"/>
      <c r="AL169" s="77"/>
      <c r="AM169" s="77"/>
      <c r="AO169" s="10"/>
      <c r="AP169" s="10"/>
    </row>
    <row r="170" spans="1:42">
      <c r="A170" s="33" t="s">
        <v>926</v>
      </c>
      <c r="B170" s="33" t="s">
        <v>1970</v>
      </c>
      <c r="C170" s="86" t="s">
        <v>1398</v>
      </c>
      <c r="D170" s="175">
        <v>60</v>
      </c>
      <c r="E170" s="34" t="s">
        <v>2</v>
      </c>
      <c r="F170" s="509"/>
      <c r="G170" s="509"/>
      <c r="H170" s="509"/>
      <c r="I170" s="34">
        <v>36</v>
      </c>
      <c r="J170" s="34"/>
      <c r="K170" s="34">
        <f t="shared" si="31"/>
        <v>0</v>
      </c>
      <c r="L170" s="34">
        <f t="shared" si="42"/>
        <v>0</v>
      </c>
      <c r="M170" s="522"/>
      <c r="N170" s="522">
        <v>0</v>
      </c>
      <c r="O170" s="522">
        <f t="shared" si="43"/>
        <v>0</v>
      </c>
      <c r="P170" s="57">
        <f t="shared" si="44"/>
        <v>0</v>
      </c>
      <c r="Q170" s="42">
        <f t="shared" si="35"/>
        <v>0</v>
      </c>
      <c r="R170" s="27">
        <f t="shared" si="45"/>
        <v>0</v>
      </c>
      <c r="S170" s="41" t="e">
        <f t="shared" si="37"/>
        <v>#DIV/0!</v>
      </c>
      <c r="T170" s="47"/>
      <c r="U170" s="28"/>
      <c r="V170" s="48"/>
      <c r="W170" s="71"/>
      <c r="X170" s="71"/>
      <c r="Y170" s="37"/>
      <c r="Z170" s="77"/>
      <c r="AA170" s="77"/>
      <c r="AB170" s="77"/>
      <c r="AC170" s="77"/>
      <c r="AD170" s="10"/>
      <c r="AE170" s="10"/>
      <c r="AF170" s="77" t="s">
        <v>1113</v>
      </c>
      <c r="AG170" s="77">
        <v>4.59</v>
      </c>
      <c r="AH170" s="145">
        <f>Q170</f>
        <v>0</v>
      </c>
      <c r="AI170" s="77">
        <f>AH170-AG170</f>
        <v>-4.59</v>
      </c>
      <c r="AJ170" s="34"/>
      <c r="AK170" s="86" t="s">
        <v>299</v>
      </c>
      <c r="AL170" s="77" t="e">
        <f>VLOOKUP(AK170,B:O,6,FALSE)</f>
        <v>#N/A</v>
      </c>
      <c r="AM170" s="77" t="e">
        <f>AL170-O170</f>
        <v>#N/A</v>
      </c>
    </row>
    <row r="171" spans="1:42">
      <c r="A171" s="33" t="s">
        <v>926</v>
      </c>
      <c r="B171" s="33" t="s">
        <v>1971</v>
      </c>
      <c r="C171" s="86" t="s">
        <v>1608</v>
      </c>
      <c r="D171" s="175">
        <v>100</v>
      </c>
      <c r="E171" s="34" t="s">
        <v>2</v>
      </c>
      <c r="F171" s="509"/>
      <c r="G171" s="509"/>
      <c r="H171" s="509"/>
      <c r="I171" s="34"/>
      <c r="J171" s="34"/>
      <c r="K171" s="34">
        <f t="shared" si="31"/>
        <v>0</v>
      </c>
      <c r="L171" s="34">
        <f t="shared" si="42"/>
        <v>0</v>
      </c>
      <c r="M171" s="522"/>
      <c r="N171" s="522">
        <v>0</v>
      </c>
      <c r="O171" s="522">
        <f t="shared" si="43"/>
        <v>0</v>
      </c>
      <c r="P171" s="57">
        <f t="shared" si="44"/>
        <v>0</v>
      </c>
      <c r="Q171" s="42">
        <f t="shared" si="35"/>
        <v>0</v>
      </c>
      <c r="R171" s="27">
        <f t="shared" si="45"/>
        <v>0</v>
      </c>
      <c r="S171" s="41" t="e">
        <f t="shared" si="37"/>
        <v>#DIV/0!</v>
      </c>
      <c r="T171" s="47"/>
      <c r="U171" s="28"/>
      <c r="V171" s="48"/>
      <c r="W171" s="71"/>
      <c r="X171" s="71"/>
      <c r="Y171" s="37"/>
      <c r="Z171" s="77"/>
      <c r="AA171" s="77"/>
      <c r="AB171" s="77"/>
      <c r="AC171" s="77"/>
      <c r="AD171" s="10"/>
      <c r="AE171" s="10"/>
      <c r="AF171" s="77"/>
      <c r="AG171" s="77"/>
      <c r="AH171" s="145"/>
      <c r="AI171" s="77"/>
      <c r="AJ171" s="34"/>
      <c r="AK171" s="86"/>
      <c r="AL171" s="77"/>
      <c r="AM171" s="77"/>
    </row>
    <row r="172" spans="1:42">
      <c r="A172" s="33" t="s">
        <v>926</v>
      </c>
      <c r="B172" s="33" t="s">
        <v>1972</v>
      </c>
      <c r="C172" s="86" t="s">
        <v>1399</v>
      </c>
      <c r="D172" s="175">
        <v>50</v>
      </c>
      <c r="E172" s="34" t="s">
        <v>2</v>
      </c>
      <c r="F172" s="509"/>
      <c r="G172" s="509"/>
      <c r="H172" s="509"/>
      <c r="I172" s="34">
        <v>36</v>
      </c>
      <c r="J172" s="34"/>
      <c r="K172" s="34">
        <f t="shared" si="31"/>
        <v>0</v>
      </c>
      <c r="L172" s="34">
        <f t="shared" si="42"/>
        <v>0</v>
      </c>
      <c r="M172" s="522"/>
      <c r="N172" s="522">
        <v>0</v>
      </c>
      <c r="O172" s="522">
        <f t="shared" si="43"/>
        <v>0</v>
      </c>
      <c r="P172" s="57">
        <f t="shared" si="44"/>
        <v>0</v>
      </c>
      <c r="Q172" s="42">
        <f t="shared" si="35"/>
        <v>0</v>
      </c>
      <c r="R172" s="27">
        <f t="shared" si="45"/>
        <v>0</v>
      </c>
      <c r="S172" s="41" t="e">
        <f t="shared" si="37"/>
        <v>#DIV/0!</v>
      </c>
      <c r="T172" s="47"/>
      <c r="U172" s="28"/>
      <c r="V172" s="48"/>
      <c r="W172" s="71"/>
      <c r="X172" s="71"/>
      <c r="Y172" s="37"/>
      <c r="Z172" s="77"/>
      <c r="AA172" s="77"/>
      <c r="AB172" s="77"/>
      <c r="AC172" s="77"/>
      <c r="AD172" s="10"/>
      <c r="AE172" s="10"/>
      <c r="AF172" s="77" t="s">
        <v>1137</v>
      </c>
      <c r="AG172" s="77">
        <v>4</v>
      </c>
      <c r="AH172" s="145">
        <f>Q172</f>
        <v>0</v>
      </c>
      <c r="AI172" s="77">
        <f>AH172-AG172</f>
        <v>-4</v>
      </c>
      <c r="AJ172" s="34"/>
      <c r="AK172" s="33"/>
      <c r="AL172" s="77"/>
      <c r="AM172" s="77"/>
    </row>
    <row r="173" spans="1:42">
      <c r="A173" s="33" t="s">
        <v>926</v>
      </c>
      <c r="B173" s="33" t="s">
        <v>1973</v>
      </c>
      <c r="C173" s="86" t="s">
        <v>1061</v>
      </c>
      <c r="D173" s="175">
        <v>40</v>
      </c>
      <c r="E173" s="34" t="s">
        <v>2</v>
      </c>
      <c r="F173" s="509"/>
      <c r="G173" s="509"/>
      <c r="H173" s="509"/>
      <c r="I173" s="34">
        <v>36</v>
      </c>
      <c r="J173" s="34"/>
      <c r="K173" s="34">
        <f t="shared" si="31"/>
        <v>0</v>
      </c>
      <c r="L173" s="34">
        <f t="shared" si="42"/>
        <v>0</v>
      </c>
      <c r="M173" s="522"/>
      <c r="N173" s="522">
        <v>0</v>
      </c>
      <c r="O173" s="522">
        <f t="shared" si="43"/>
        <v>0</v>
      </c>
      <c r="P173" s="57">
        <f t="shared" si="44"/>
        <v>0</v>
      </c>
      <c r="Q173" s="42">
        <f>+O173/0.7</f>
        <v>0</v>
      </c>
      <c r="R173" s="27">
        <f>+Q173*D173</f>
        <v>0</v>
      </c>
      <c r="S173" s="41">
        <v>0.3</v>
      </c>
      <c r="T173" s="47"/>
      <c r="U173" s="28"/>
      <c r="V173" s="48"/>
      <c r="W173" s="71"/>
      <c r="X173" s="71"/>
      <c r="Y173" s="37"/>
      <c r="Z173" s="77"/>
      <c r="AA173" s="77"/>
      <c r="AB173" s="77"/>
      <c r="AC173" s="77"/>
      <c r="AD173" s="10"/>
      <c r="AE173" s="10"/>
      <c r="AF173" s="77"/>
      <c r="AG173" s="77"/>
      <c r="AH173" s="145"/>
      <c r="AI173" s="77"/>
      <c r="AJ173" s="34"/>
      <c r="AK173" s="33"/>
      <c r="AL173" s="77"/>
      <c r="AM173" s="77"/>
    </row>
    <row r="174" spans="1:42">
      <c r="A174" s="33" t="s">
        <v>926</v>
      </c>
      <c r="B174" s="33" t="s">
        <v>1974</v>
      </c>
      <c r="C174" s="86" t="s">
        <v>1088</v>
      </c>
      <c r="D174" s="175">
        <v>40</v>
      </c>
      <c r="E174" s="34" t="s">
        <v>2</v>
      </c>
      <c r="F174" s="509"/>
      <c r="G174" s="509"/>
      <c r="H174" s="509"/>
      <c r="I174" s="34">
        <v>36</v>
      </c>
      <c r="J174" s="34"/>
      <c r="K174" s="34">
        <f t="shared" si="31"/>
        <v>0</v>
      </c>
      <c r="L174" s="34">
        <f t="shared" si="42"/>
        <v>0</v>
      </c>
      <c r="M174" s="522"/>
      <c r="N174" s="522">
        <v>0</v>
      </c>
      <c r="O174" s="522">
        <f t="shared" si="43"/>
        <v>0</v>
      </c>
      <c r="P174" s="57">
        <f t="shared" si="44"/>
        <v>0</v>
      </c>
      <c r="Q174" s="42">
        <f>+O174/0.7</f>
        <v>0</v>
      </c>
      <c r="R174" s="27">
        <f>+Q174*D174</f>
        <v>0</v>
      </c>
      <c r="S174" s="41">
        <v>0.3</v>
      </c>
      <c r="T174" s="47"/>
      <c r="U174" s="28"/>
      <c r="V174" s="48"/>
      <c r="W174" s="71"/>
      <c r="X174" s="71"/>
      <c r="Y174" s="37"/>
      <c r="Z174" s="77"/>
      <c r="AA174" s="77"/>
      <c r="AB174" s="77"/>
      <c r="AC174" s="77"/>
      <c r="AD174" s="10"/>
      <c r="AE174" s="10"/>
      <c r="AF174" s="77"/>
      <c r="AG174" s="77"/>
      <c r="AH174" s="145"/>
      <c r="AI174" s="77"/>
      <c r="AJ174" s="34"/>
      <c r="AK174" s="33"/>
      <c r="AL174" s="77"/>
      <c r="AM174" s="77"/>
    </row>
    <row r="175" spans="1:42">
      <c r="A175" s="33" t="s">
        <v>926</v>
      </c>
      <c r="B175" s="33" t="s">
        <v>1975</v>
      </c>
      <c r="C175" s="86" t="s">
        <v>1605</v>
      </c>
      <c r="D175" s="175">
        <v>40</v>
      </c>
      <c r="E175" s="34" t="s">
        <v>2</v>
      </c>
      <c r="F175" s="509"/>
      <c r="G175" s="509"/>
      <c r="H175" s="509"/>
      <c r="I175" s="34">
        <v>36</v>
      </c>
      <c r="J175" s="34"/>
      <c r="K175" s="34">
        <f t="shared" si="31"/>
        <v>0</v>
      </c>
      <c r="L175" s="34">
        <f t="shared" si="42"/>
        <v>0</v>
      </c>
      <c r="M175" s="522"/>
      <c r="N175" s="522">
        <v>0</v>
      </c>
      <c r="O175" s="522">
        <f t="shared" si="43"/>
        <v>0</v>
      </c>
      <c r="P175" s="57">
        <f t="shared" si="44"/>
        <v>0</v>
      </c>
      <c r="Q175" s="42">
        <f>+O175/0.7</f>
        <v>0</v>
      </c>
      <c r="R175" s="331">
        <f>+Q175*D175</f>
        <v>0</v>
      </c>
      <c r="S175" s="332">
        <v>0.3</v>
      </c>
      <c r="T175" s="47"/>
      <c r="U175" s="28"/>
      <c r="V175" s="48"/>
      <c r="W175" s="71"/>
      <c r="X175" s="71"/>
      <c r="Y175" s="37"/>
      <c r="Z175" s="77"/>
      <c r="AA175" s="77"/>
      <c r="AB175" s="77"/>
      <c r="AC175" s="77"/>
      <c r="AD175" s="10"/>
      <c r="AE175" s="10"/>
      <c r="AF175" s="77"/>
      <c r="AG175" s="77"/>
      <c r="AH175" s="145"/>
      <c r="AI175" s="77"/>
      <c r="AJ175" s="34"/>
      <c r="AK175" s="33"/>
      <c r="AL175" s="77"/>
      <c r="AM175" s="77"/>
    </row>
    <row r="176" spans="1:42">
      <c r="A176" s="33" t="s">
        <v>926</v>
      </c>
      <c r="B176" s="33" t="s">
        <v>1976</v>
      </c>
      <c r="C176" s="86" t="s">
        <v>1606</v>
      </c>
      <c r="D176" s="175">
        <v>40</v>
      </c>
      <c r="E176" s="34" t="s">
        <v>2</v>
      </c>
      <c r="F176" s="509"/>
      <c r="G176" s="509"/>
      <c r="H176" s="509"/>
      <c r="I176" s="34">
        <v>36</v>
      </c>
      <c r="J176" s="34"/>
      <c r="K176" s="34">
        <f t="shared" si="31"/>
        <v>0</v>
      </c>
      <c r="L176" s="34">
        <f t="shared" si="42"/>
        <v>0</v>
      </c>
      <c r="M176" s="522"/>
      <c r="N176" s="522">
        <v>0</v>
      </c>
      <c r="O176" s="522">
        <f t="shared" si="43"/>
        <v>0</v>
      </c>
      <c r="P176" s="57">
        <f t="shared" si="44"/>
        <v>0</v>
      </c>
      <c r="Q176" s="42">
        <f>+O176/0.7</f>
        <v>0</v>
      </c>
      <c r="R176" s="331">
        <f>+Q176*D176</f>
        <v>0</v>
      </c>
      <c r="S176" s="332">
        <v>0.3</v>
      </c>
      <c r="T176" s="47"/>
      <c r="U176" s="28"/>
      <c r="V176" s="48"/>
      <c r="W176" s="71"/>
      <c r="X176" s="71"/>
      <c r="Y176" s="37"/>
      <c r="Z176" s="77"/>
      <c r="AA176" s="77"/>
      <c r="AB176" s="77"/>
      <c r="AC176" s="77"/>
      <c r="AD176" s="10"/>
      <c r="AE176" s="10"/>
      <c r="AF176" s="77"/>
      <c r="AG176" s="77"/>
      <c r="AH176" s="145"/>
      <c r="AI176" s="77"/>
      <c r="AJ176" s="34"/>
      <c r="AK176" s="33"/>
      <c r="AL176" s="77"/>
      <c r="AM176" s="77"/>
    </row>
    <row r="177" spans="1:42">
      <c r="A177" s="33" t="s">
        <v>926</v>
      </c>
      <c r="B177" s="33" t="s">
        <v>1977</v>
      </c>
      <c r="C177" s="86" t="s">
        <v>1400</v>
      </c>
      <c r="D177" s="175">
        <v>40</v>
      </c>
      <c r="E177" s="34" t="s">
        <v>2</v>
      </c>
      <c r="F177" s="509"/>
      <c r="G177" s="509"/>
      <c r="H177" s="509"/>
      <c r="I177" s="34">
        <v>36</v>
      </c>
      <c r="J177" s="34"/>
      <c r="K177" s="34">
        <f t="shared" si="31"/>
        <v>0</v>
      </c>
      <c r="L177" s="34">
        <f t="shared" si="42"/>
        <v>0</v>
      </c>
      <c r="M177" s="522"/>
      <c r="N177" s="522">
        <v>0</v>
      </c>
      <c r="O177" s="522">
        <f t="shared" si="43"/>
        <v>0</v>
      </c>
      <c r="P177" s="57">
        <f t="shared" si="44"/>
        <v>0</v>
      </c>
      <c r="Q177" s="42">
        <f t="shared" ref="Q177:Q188" si="46">O177/(1-0.3)</f>
        <v>0</v>
      </c>
      <c r="R177" s="27">
        <f t="shared" ref="R177:R224" si="47">D177*Q177</f>
        <v>0</v>
      </c>
      <c r="S177" s="41" t="e">
        <f t="shared" ref="S177:S224" si="48">(Q177-O177)/Q177</f>
        <v>#DIV/0!</v>
      </c>
      <c r="T177" s="47"/>
      <c r="U177" s="28"/>
      <c r="V177" s="48"/>
      <c r="W177" s="71"/>
      <c r="X177" s="71"/>
      <c r="Y177" s="37"/>
      <c r="Z177" s="77"/>
      <c r="AA177" s="77"/>
      <c r="AB177" s="77"/>
      <c r="AC177" s="77"/>
      <c r="AD177" s="10"/>
      <c r="AE177" s="10"/>
      <c r="AF177" s="77" t="s">
        <v>1185</v>
      </c>
      <c r="AG177" s="77"/>
      <c r="AH177" s="34"/>
      <c r="AI177" s="34"/>
      <c r="AJ177" s="34"/>
      <c r="AK177" s="86" t="s">
        <v>305</v>
      </c>
      <c r="AL177" s="77" t="e">
        <f>VLOOKUP(AK177,B:O,6,FALSE)</f>
        <v>#N/A</v>
      </c>
      <c r="AM177" s="77" t="e">
        <f>AL177-O177</f>
        <v>#N/A</v>
      </c>
    </row>
    <row r="178" spans="1:42">
      <c r="A178" s="33" t="s">
        <v>926</v>
      </c>
      <c r="B178" s="33" t="s">
        <v>1978</v>
      </c>
      <c r="C178" s="86" t="s">
        <v>1401</v>
      </c>
      <c r="D178" s="175">
        <v>30</v>
      </c>
      <c r="E178" s="34" t="s">
        <v>2</v>
      </c>
      <c r="F178" s="509"/>
      <c r="G178" s="509"/>
      <c r="H178" s="509"/>
      <c r="I178" s="34">
        <v>36</v>
      </c>
      <c r="J178" s="34"/>
      <c r="K178" s="34">
        <f t="shared" si="31"/>
        <v>0</v>
      </c>
      <c r="L178" s="34">
        <f t="shared" si="42"/>
        <v>0</v>
      </c>
      <c r="M178" s="522"/>
      <c r="N178" s="522">
        <v>0</v>
      </c>
      <c r="O178" s="522">
        <f t="shared" si="43"/>
        <v>0</v>
      </c>
      <c r="P178" s="57">
        <f t="shared" si="44"/>
        <v>0</v>
      </c>
      <c r="Q178" s="42">
        <f t="shared" si="46"/>
        <v>0</v>
      </c>
      <c r="R178" s="27">
        <f t="shared" si="47"/>
        <v>0</v>
      </c>
      <c r="S178" s="41" t="e">
        <f t="shared" si="48"/>
        <v>#DIV/0!</v>
      </c>
      <c r="T178" s="47"/>
      <c r="U178" s="28"/>
      <c r="V178" s="48"/>
      <c r="W178" s="71"/>
      <c r="X178" s="71"/>
      <c r="Y178" s="37"/>
      <c r="Z178" s="77"/>
      <c r="AA178" s="77"/>
      <c r="AB178" s="77"/>
      <c r="AC178" s="77"/>
      <c r="AD178" s="10"/>
      <c r="AE178" s="304"/>
      <c r="AF178" s="77" t="s">
        <v>1138</v>
      </c>
      <c r="AG178" s="77">
        <v>6.77</v>
      </c>
      <c r="AH178" s="145">
        <f>Q178</f>
        <v>0</v>
      </c>
      <c r="AI178" s="77">
        <f>AH178-AG178</f>
        <v>-6.77</v>
      </c>
      <c r="AJ178" s="34"/>
      <c r="AK178" s="86"/>
      <c r="AL178" s="77"/>
      <c r="AM178" s="77"/>
    </row>
    <row r="179" spans="1:42">
      <c r="A179" s="33" t="s">
        <v>926</v>
      </c>
      <c r="B179" s="33" t="s">
        <v>1979</v>
      </c>
      <c r="C179" s="86" t="s">
        <v>1402</v>
      </c>
      <c r="D179" s="175">
        <v>40</v>
      </c>
      <c r="E179" s="34" t="s">
        <v>2</v>
      </c>
      <c r="F179" s="509"/>
      <c r="G179" s="509"/>
      <c r="H179" s="509"/>
      <c r="I179" s="34"/>
      <c r="J179" s="34"/>
      <c r="K179" s="34">
        <f t="shared" si="31"/>
        <v>0</v>
      </c>
      <c r="L179" s="34">
        <f t="shared" si="42"/>
        <v>0</v>
      </c>
      <c r="M179" s="522"/>
      <c r="N179" s="522">
        <v>0</v>
      </c>
      <c r="O179" s="522">
        <f t="shared" si="43"/>
        <v>0</v>
      </c>
      <c r="P179" s="57">
        <f t="shared" si="44"/>
        <v>0</v>
      </c>
      <c r="Q179" s="42">
        <f t="shared" si="46"/>
        <v>0</v>
      </c>
      <c r="R179" s="27">
        <f t="shared" si="47"/>
        <v>0</v>
      </c>
      <c r="S179" s="41" t="e">
        <f t="shared" si="48"/>
        <v>#DIV/0!</v>
      </c>
      <c r="T179" s="47"/>
      <c r="U179" s="28"/>
      <c r="V179" s="48"/>
      <c r="W179" s="71"/>
      <c r="X179" s="71"/>
      <c r="Y179" s="37"/>
      <c r="Z179" s="77"/>
      <c r="AA179" s="77"/>
      <c r="AB179" s="77"/>
      <c r="AC179" s="77"/>
      <c r="AD179" s="10"/>
      <c r="AE179" s="304"/>
      <c r="AF179" s="77" t="s">
        <v>1186</v>
      </c>
      <c r="AG179" s="77"/>
      <c r="AH179" s="145"/>
      <c r="AI179" s="77"/>
      <c r="AJ179" s="34"/>
      <c r="AK179" s="86" t="s">
        <v>307</v>
      </c>
      <c r="AL179" s="77" t="e">
        <f>VLOOKUP(AK179,B:O,6,FALSE)</f>
        <v>#N/A</v>
      </c>
      <c r="AM179" s="77" t="e">
        <f>AL179-O179</f>
        <v>#N/A</v>
      </c>
    </row>
    <row r="180" spans="1:42">
      <c r="A180" s="33" t="s">
        <v>926</v>
      </c>
      <c r="B180" s="33" t="s">
        <v>1980</v>
      </c>
      <c r="C180" s="86" t="s">
        <v>1413</v>
      </c>
      <c r="D180" s="175">
        <v>100</v>
      </c>
      <c r="E180" s="34" t="s">
        <v>2</v>
      </c>
      <c r="F180" s="509"/>
      <c r="G180" s="509"/>
      <c r="H180" s="509"/>
      <c r="I180" s="34"/>
      <c r="J180" s="34"/>
      <c r="K180" s="34">
        <f t="shared" si="31"/>
        <v>0</v>
      </c>
      <c r="L180" s="34">
        <f t="shared" si="42"/>
        <v>0</v>
      </c>
      <c r="M180" s="522"/>
      <c r="N180" s="522">
        <v>0</v>
      </c>
      <c r="O180" s="522">
        <f t="shared" si="43"/>
        <v>0</v>
      </c>
      <c r="P180" s="57">
        <f t="shared" si="44"/>
        <v>0</v>
      </c>
      <c r="Q180" s="42">
        <f t="shared" si="46"/>
        <v>0</v>
      </c>
      <c r="R180" s="27">
        <f t="shared" si="47"/>
        <v>0</v>
      </c>
      <c r="S180" s="41" t="e">
        <f t="shared" si="48"/>
        <v>#DIV/0!</v>
      </c>
      <c r="T180" s="47"/>
      <c r="U180" s="28"/>
      <c r="V180" s="48"/>
      <c r="W180" s="71"/>
      <c r="X180" s="71"/>
      <c r="Y180" s="37"/>
      <c r="Z180" s="77"/>
      <c r="AA180" s="77"/>
      <c r="AB180" s="77"/>
      <c r="AC180" s="77"/>
      <c r="AD180" s="10"/>
      <c r="AE180" s="304"/>
      <c r="AF180" s="77" t="s">
        <v>1414</v>
      </c>
      <c r="AG180" s="77">
        <v>1.9</v>
      </c>
      <c r="AH180" s="145">
        <f>Q180</f>
        <v>0</v>
      </c>
      <c r="AI180" s="77">
        <f>AH180-AG180</f>
        <v>-1.9</v>
      </c>
      <c r="AJ180" s="34"/>
      <c r="AK180" s="86"/>
      <c r="AL180" s="77"/>
      <c r="AM180" s="77"/>
    </row>
    <row r="181" spans="1:42">
      <c r="A181" s="33" t="s">
        <v>926</v>
      </c>
      <c r="B181" s="33" t="s">
        <v>1981</v>
      </c>
      <c r="C181" s="86" t="s">
        <v>1403</v>
      </c>
      <c r="D181" s="175">
        <v>14</v>
      </c>
      <c r="E181" s="34" t="s">
        <v>2</v>
      </c>
      <c r="F181" s="509"/>
      <c r="G181" s="509"/>
      <c r="H181" s="509"/>
      <c r="I181" s="34">
        <v>24</v>
      </c>
      <c r="J181" s="34"/>
      <c r="K181" s="34">
        <f t="shared" si="31"/>
        <v>0</v>
      </c>
      <c r="L181" s="34">
        <f t="shared" si="42"/>
        <v>0</v>
      </c>
      <c r="M181" s="522"/>
      <c r="N181" s="522">
        <v>0</v>
      </c>
      <c r="O181" s="522">
        <f t="shared" si="43"/>
        <v>0</v>
      </c>
      <c r="P181" s="57">
        <f t="shared" si="44"/>
        <v>0</v>
      </c>
      <c r="Q181" s="42">
        <f t="shared" si="46"/>
        <v>0</v>
      </c>
      <c r="R181" s="27">
        <f t="shared" si="47"/>
        <v>0</v>
      </c>
      <c r="S181" s="41" t="e">
        <f t="shared" si="48"/>
        <v>#DIV/0!</v>
      </c>
      <c r="T181" s="47"/>
      <c r="U181" s="28"/>
      <c r="V181" s="48"/>
      <c r="W181" s="71"/>
      <c r="X181" s="71"/>
      <c r="Y181" s="37"/>
      <c r="Z181" s="77"/>
      <c r="AA181" s="77"/>
      <c r="AB181" s="77"/>
      <c r="AC181" s="77"/>
      <c r="AE181" s="304"/>
      <c r="AF181" s="77" t="s">
        <v>1130</v>
      </c>
      <c r="AG181" s="77">
        <v>22</v>
      </c>
      <c r="AH181" s="145">
        <f>Q181</f>
        <v>0</v>
      </c>
      <c r="AI181" s="77">
        <f>AH181-AG181</f>
        <v>-22</v>
      </c>
      <c r="AJ181" s="34"/>
      <c r="AK181" s="86" t="s">
        <v>315</v>
      </c>
      <c r="AL181" s="77" t="e">
        <f>VLOOKUP(AK181,B:O,6,FALSE)</f>
        <v>#N/A</v>
      </c>
      <c r="AM181" s="77" t="e">
        <f>AL181-O181</f>
        <v>#N/A</v>
      </c>
    </row>
    <row r="182" spans="1:42">
      <c r="A182" s="33" t="s">
        <v>926</v>
      </c>
      <c r="B182" s="33" t="s">
        <v>1982</v>
      </c>
      <c r="C182" s="86" t="s">
        <v>1404</v>
      </c>
      <c r="D182" s="34">
        <v>30</v>
      </c>
      <c r="E182" s="34" t="s">
        <v>2</v>
      </c>
      <c r="F182" s="509"/>
      <c r="G182" s="509"/>
      <c r="H182" s="509"/>
      <c r="I182" s="34"/>
      <c r="J182" s="34"/>
      <c r="K182" s="34">
        <f t="shared" si="31"/>
        <v>0</v>
      </c>
      <c r="L182" s="34">
        <f t="shared" si="42"/>
        <v>0</v>
      </c>
      <c r="M182" s="522"/>
      <c r="N182" s="522">
        <v>0</v>
      </c>
      <c r="O182" s="522">
        <f t="shared" si="43"/>
        <v>0</v>
      </c>
      <c r="P182" s="57">
        <f t="shared" si="44"/>
        <v>0</v>
      </c>
      <c r="Q182" s="42">
        <f t="shared" si="46"/>
        <v>0</v>
      </c>
      <c r="R182" s="27">
        <f t="shared" si="47"/>
        <v>0</v>
      </c>
      <c r="S182" s="41" t="e">
        <f t="shared" si="48"/>
        <v>#DIV/0!</v>
      </c>
      <c r="T182" s="47"/>
      <c r="U182" s="28"/>
      <c r="V182" s="48"/>
      <c r="W182" s="71"/>
      <c r="X182" s="71"/>
      <c r="Y182" s="37"/>
      <c r="Z182" s="77"/>
      <c r="AA182" s="77"/>
      <c r="AB182" s="77"/>
      <c r="AC182" s="77"/>
      <c r="AD182" s="10"/>
      <c r="AE182" s="304"/>
      <c r="AF182" s="77" t="s">
        <v>1180</v>
      </c>
      <c r="AG182" s="77"/>
      <c r="AH182" s="34"/>
      <c r="AI182" s="34"/>
      <c r="AJ182" s="34"/>
      <c r="AK182" s="33"/>
      <c r="AL182" s="77"/>
      <c r="AM182" s="77"/>
      <c r="AO182" s="187"/>
      <c r="AP182" s="187"/>
    </row>
    <row r="183" spans="1:42">
      <c r="A183" s="4" t="s">
        <v>926</v>
      </c>
      <c r="B183" s="4" t="s">
        <v>1983</v>
      </c>
      <c r="C183" s="196" t="s">
        <v>1409</v>
      </c>
      <c r="D183" s="12">
        <v>6</v>
      </c>
      <c r="E183" s="12" t="s">
        <v>2</v>
      </c>
      <c r="F183" s="509"/>
      <c r="G183" s="509"/>
      <c r="H183" s="509"/>
      <c r="I183" s="12"/>
      <c r="J183" s="376"/>
      <c r="K183" s="34">
        <f t="shared" si="31"/>
        <v>0</v>
      </c>
      <c r="L183" s="34"/>
      <c r="M183" s="522"/>
      <c r="N183" s="541">
        <v>0</v>
      </c>
      <c r="O183" s="522"/>
      <c r="P183" s="57">
        <f t="shared" ref="P183:P224" si="49">D183*O183</f>
        <v>0</v>
      </c>
      <c r="Q183" s="42">
        <f t="shared" si="46"/>
        <v>0</v>
      </c>
      <c r="R183" s="27">
        <f t="shared" si="47"/>
        <v>0</v>
      </c>
      <c r="S183" s="41" t="e">
        <f t="shared" si="48"/>
        <v>#DIV/0!</v>
      </c>
      <c r="T183" s="47"/>
      <c r="U183" s="28"/>
      <c r="V183" s="48"/>
      <c r="W183" s="71"/>
      <c r="X183" s="71"/>
      <c r="Y183" s="37"/>
      <c r="Z183" s="79"/>
      <c r="AA183" s="79"/>
      <c r="AB183" s="79"/>
      <c r="AC183" s="79"/>
      <c r="AD183" s="10"/>
      <c r="AE183" s="304"/>
      <c r="AF183" s="77" t="s">
        <v>1183</v>
      </c>
      <c r="AG183" s="77"/>
      <c r="AH183" s="34"/>
      <c r="AI183" s="34"/>
      <c r="AJ183" s="34"/>
      <c r="AK183" s="33"/>
      <c r="AL183" s="77"/>
      <c r="AM183" s="77"/>
      <c r="AO183" s="10"/>
      <c r="AP183" s="187"/>
    </row>
    <row r="184" spans="1:42">
      <c r="A184" s="33" t="s">
        <v>926</v>
      </c>
      <c r="B184" s="33" t="s">
        <v>1984</v>
      </c>
      <c r="C184" s="86" t="s">
        <v>1408</v>
      </c>
      <c r="D184" s="34">
        <v>10</v>
      </c>
      <c r="E184" s="34" t="s">
        <v>2</v>
      </c>
      <c r="F184" s="509"/>
      <c r="G184" s="509"/>
      <c r="H184" s="509"/>
      <c r="I184" s="34"/>
      <c r="J184" s="34"/>
      <c r="K184" s="34">
        <f t="shared" si="31"/>
        <v>0</v>
      </c>
      <c r="L184" s="34"/>
      <c r="M184" s="522"/>
      <c r="N184" s="541">
        <v>0</v>
      </c>
      <c r="O184" s="522"/>
      <c r="P184" s="57">
        <f t="shared" si="49"/>
        <v>0</v>
      </c>
      <c r="Q184" s="42">
        <f t="shared" si="46"/>
        <v>0</v>
      </c>
      <c r="R184" s="27">
        <f t="shared" si="47"/>
        <v>0</v>
      </c>
      <c r="S184" s="41" t="e">
        <f t="shared" si="48"/>
        <v>#DIV/0!</v>
      </c>
      <c r="T184" s="47"/>
      <c r="U184" s="28"/>
      <c r="V184" s="48"/>
      <c r="W184" s="71"/>
      <c r="X184" s="71"/>
      <c r="Y184" s="37"/>
      <c r="Z184" s="77"/>
      <c r="AA184" s="77"/>
      <c r="AB184" s="77"/>
      <c r="AC184" s="77"/>
      <c r="AD184" s="10"/>
      <c r="AE184" s="304"/>
      <c r="AF184" s="77" t="s">
        <v>1410</v>
      </c>
      <c r="AG184" s="77">
        <v>23.55</v>
      </c>
      <c r="AH184" s="145">
        <f>Q184</f>
        <v>0</v>
      </c>
      <c r="AI184" s="77">
        <f>AH184-AG184</f>
        <v>-23.55</v>
      </c>
      <c r="AJ184" s="34"/>
      <c r="AK184" s="33"/>
      <c r="AL184" s="77"/>
      <c r="AM184" s="77"/>
      <c r="AO184" s="10"/>
      <c r="AP184" s="187"/>
    </row>
    <row r="185" spans="1:42">
      <c r="A185" s="33" t="s">
        <v>926</v>
      </c>
      <c r="B185" s="33" t="s">
        <v>1985</v>
      </c>
      <c r="C185" s="86" t="s">
        <v>1405</v>
      </c>
      <c r="D185" s="34">
        <v>12</v>
      </c>
      <c r="E185" s="34" t="s">
        <v>2</v>
      </c>
      <c r="F185" s="509"/>
      <c r="G185" s="509"/>
      <c r="H185" s="509"/>
      <c r="I185" s="34"/>
      <c r="J185" s="34"/>
      <c r="K185" s="34">
        <f t="shared" si="31"/>
        <v>0</v>
      </c>
      <c r="L185" s="34"/>
      <c r="M185" s="522"/>
      <c r="N185" s="541">
        <v>0</v>
      </c>
      <c r="O185" s="522"/>
      <c r="P185" s="57">
        <f t="shared" si="49"/>
        <v>0</v>
      </c>
      <c r="Q185" s="42">
        <f t="shared" si="46"/>
        <v>0</v>
      </c>
      <c r="R185" s="27">
        <f t="shared" si="47"/>
        <v>0</v>
      </c>
      <c r="S185" s="41" t="e">
        <f t="shared" si="48"/>
        <v>#DIV/0!</v>
      </c>
      <c r="T185" s="47"/>
      <c r="U185" s="28"/>
      <c r="V185" s="48"/>
      <c r="W185" s="71"/>
      <c r="X185" s="71"/>
      <c r="Y185" s="37"/>
      <c r="Z185" s="77"/>
      <c r="AA185" s="77"/>
      <c r="AB185" s="77"/>
      <c r="AC185" s="77"/>
      <c r="AD185" s="10"/>
      <c r="AE185" s="304"/>
      <c r="AF185" s="77" t="s">
        <v>1181</v>
      </c>
      <c r="AG185" s="77"/>
      <c r="AH185" s="34"/>
      <c r="AI185" s="34"/>
      <c r="AJ185" s="34"/>
      <c r="AK185" s="86" t="s">
        <v>322</v>
      </c>
      <c r="AL185" s="77" t="e">
        <f>VLOOKUP(AK185,B:O,6,FALSE)</f>
        <v>#N/A</v>
      </c>
      <c r="AM185" s="77" t="e">
        <f>AL185-O185</f>
        <v>#N/A</v>
      </c>
      <c r="AO185" s="10"/>
      <c r="AP185" s="10"/>
    </row>
    <row r="186" spans="1:42">
      <c r="A186" s="33" t="s">
        <v>926</v>
      </c>
      <c r="B186" s="33" t="s">
        <v>1986</v>
      </c>
      <c r="C186" s="86" t="s">
        <v>1684</v>
      </c>
      <c r="D186" s="34">
        <v>50</v>
      </c>
      <c r="E186" s="34" t="s">
        <v>2</v>
      </c>
      <c r="F186" s="509"/>
      <c r="G186" s="509"/>
      <c r="H186" s="509"/>
      <c r="I186" s="34"/>
      <c r="J186" s="34"/>
      <c r="K186" s="34">
        <f t="shared" si="31"/>
        <v>0</v>
      </c>
      <c r="L186" s="34"/>
      <c r="M186" s="522"/>
      <c r="N186" s="541">
        <v>0</v>
      </c>
      <c r="O186" s="522"/>
      <c r="P186" s="57">
        <f t="shared" si="49"/>
        <v>0</v>
      </c>
      <c r="Q186" s="42">
        <f t="shared" si="46"/>
        <v>0</v>
      </c>
      <c r="R186" s="27">
        <f t="shared" si="47"/>
        <v>0</v>
      </c>
      <c r="S186" s="41" t="e">
        <f t="shared" si="48"/>
        <v>#DIV/0!</v>
      </c>
      <c r="T186" s="47"/>
      <c r="U186" s="28"/>
      <c r="V186" s="48"/>
      <c r="W186" s="71"/>
      <c r="X186" s="71"/>
      <c r="Y186" s="37"/>
      <c r="Z186" s="77"/>
      <c r="AA186" s="77"/>
      <c r="AB186" s="77"/>
      <c r="AC186" s="77"/>
      <c r="AD186" s="10"/>
      <c r="AE186" s="304"/>
      <c r="AF186" s="77"/>
      <c r="AG186" s="77"/>
      <c r="AH186" s="34"/>
      <c r="AI186" s="34"/>
      <c r="AJ186" s="34"/>
      <c r="AK186" s="86"/>
      <c r="AL186" s="77"/>
      <c r="AM186" s="77"/>
      <c r="AO186" s="10"/>
      <c r="AP186" s="10"/>
    </row>
    <row r="187" spans="1:42">
      <c r="A187" s="54" t="s">
        <v>926</v>
      </c>
      <c r="B187" s="54" t="s">
        <v>1987</v>
      </c>
      <c r="C187" s="54" t="s">
        <v>1080</v>
      </c>
      <c r="D187" s="189">
        <v>390</v>
      </c>
      <c r="E187" s="189" t="s">
        <v>2</v>
      </c>
      <c r="F187" s="509"/>
      <c r="G187" s="509"/>
      <c r="H187" s="509"/>
      <c r="I187" s="34"/>
      <c r="J187" s="34"/>
      <c r="K187" s="34">
        <f t="shared" si="31"/>
        <v>0</v>
      </c>
      <c r="L187" s="34"/>
      <c r="M187" s="522"/>
      <c r="N187" s="541">
        <v>0</v>
      </c>
      <c r="O187" s="522"/>
      <c r="P187" s="57">
        <f t="shared" si="49"/>
        <v>0</v>
      </c>
      <c r="Q187" s="42">
        <f t="shared" si="46"/>
        <v>0</v>
      </c>
      <c r="R187" s="27">
        <f t="shared" si="47"/>
        <v>0</v>
      </c>
      <c r="S187" s="41" t="e">
        <f t="shared" si="48"/>
        <v>#DIV/0!</v>
      </c>
      <c r="T187" s="47"/>
      <c r="U187" s="28"/>
      <c r="V187" s="48"/>
      <c r="W187" s="71"/>
      <c r="X187" s="71"/>
      <c r="Y187" s="37"/>
      <c r="Z187" s="77"/>
      <c r="AA187" s="77"/>
      <c r="AB187" s="77"/>
      <c r="AC187" s="77"/>
      <c r="AD187" s="10"/>
      <c r="AE187" s="304"/>
      <c r="AF187" s="77" t="s">
        <v>1184</v>
      </c>
      <c r="AG187" s="77"/>
      <c r="AH187" s="34"/>
      <c r="AI187" s="34"/>
      <c r="AJ187" s="34"/>
      <c r="AK187" s="33"/>
      <c r="AL187" s="77"/>
      <c r="AM187" s="77"/>
      <c r="AO187" s="10"/>
      <c r="AP187" s="10"/>
    </row>
    <row r="188" spans="1:42">
      <c r="A188" s="54" t="s">
        <v>926</v>
      </c>
      <c r="B188" s="54" t="s">
        <v>1988</v>
      </c>
      <c r="C188" s="54" t="s">
        <v>1081</v>
      </c>
      <c r="D188" s="189">
        <v>120</v>
      </c>
      <c r="E188" s="189" t="s">
        <v>2</v>
      </c>
      <c r="F188" s="509"/>
      <c r="G188" s="509"/>
      <c r="H188" s="509"/>
      <c r="I188" s="34"/>
      <c r="J188" s="34"/>
      <c r="K188" s="34">
        <f t="shared" si="31"/>
        <v>0</v>
      </c>
      <c r="L188" s="34"/>
      <c r="M188" s="522"/>
      <c r="N188" s="541">
        <v>0</v>
      </c>
      <c r="O188" s="522"/>
      <c r="P188" s="57">
        <f t="shared" si="49"/>
        <v>0</v>
      </c>
      <c r="Q188" s="42">
        <f t="shared" si="46"/>
        <v>0</v>
      </c>
      <c r="R188" s="27">
        <f t="shared" si="47"/>
        <v>0</v>
      </c>
      <c r="S188" s="41" t="e">
        <f t="shared" si="48"/>
        <v>#DIV/0!</v>
      </c>
      <c r="T188" s="47"/>
      <c r="U188" s="28"/>
      <c r="V188" s="48"/>
      <c r="W188" s="71"/>
      <c r="X188" s="71"/>
      <c r="Y188" s="37"/>
      <c r="Z188" s="77"/>
      <c r="AA188" s="77"/>
      <c r="AB188" s="77"/>
      <c r="AC188" s="77"/>
      <c r="AD188" s="10"/>
      <c r="AE188" s="304"/>
      <c r="AF188" s="77"/>
      <c r="AG188" s="77"/>
      <c r="AH188" s="34"/>
      <c r="AI188" s="34"/>
      <c r="AJ188" s="34"/>
      <c r="AK188" s="33"/>
      <c r="AL188" s="77"/>
      <c r="AM188" s="77"/>
      <c r="AO188" s="10"/>
      <c r="AP188" s="10"/>
    </row>
    <row r="189" spans="1:42">
      <c r="A189" s="33" t="s">
        <v>355</v>
      </c>
      <c r="B189" s="33" t="s">
        <v>2157</v>
      </c>
      <c r="C189" s="33" t="s">
        <v>1216</v>
      </c>
      <c r="D189" s="34">
        <v>80</v>
      </c>
      <c r="E189" s="34" t="s">
        <v>2</v>
      </c>
      <c r="F189" s="509"/>
      <c r="G189" s="509"/>
      <c r="H189" s="509"/>
      <c r="I189" s="34">
        <v>24</v>
      </c>
      <c r="J189" s="57">
        <v>0.49</v>
      </c>
      <c r="K189" s="34">
        <f t="shared" si="31"/>
        <v>0</v>
      </c>
      <c r="L189" s="57"/>
      <c r="M189" s="522"/>
      <c r="N189" s="541">
        <v>0</v>
      </c>
      <c r="O189" s="522"/>
      <c r="P189" s="57">
        <f t="shared" si="49"/>
        <v>0</v>
      </c>
      <c r="Q189" s="65">
        <f t="shared" ref="Q189:Q224" si="50">O189/(1-0.4)</f>
        <v>0</v>
      </c>
      <c r="R189" s="27">
        <f t="shared" si="47"/>
        <v>0</v>
      </c>
      <c r="S189" s="41" t="e">
        <f t="shared" si="48"/>
        <v>#DIV/0!</v>
      </c>
      <c r="T189" s="47">
        <f t="shared" ref="T189:T220" si="51">O189/(1-0.2)</f>
        <v>0</v>
      </c>
      <c r="U189" s="28">
        <f t="shared" ref="U189:U220" si="52">D189*T189</f>
        <v>0</v>
      </c>
      <c r="V189" s="48" t="e">
        <f t="shared" ref="V189:V220" si="53">(T189-O189)/T189</f>
        <v>#DIV/0!</v>
      </c>
      <c r="W189" s="71">
        <f>O189/(1-0.3)</f>
        <v>0</v>
      </c>
      <c r="X189" s="71">
        <f t="shared" ref="X189:X224" si="54">D189*W189</f>
        <v>0</v>
      </c>
      <c r="Y189" s="37" t="e">
        <f t="shared" ref="Y189:Y206" si="55">(W189-O189)/W189</f>
        <v>#DIV/0!</v>
      </c>
      <c r="Z189" s="77"/>
      <c r="AA189" s="77"/>
      <c r="AB189" s="77"/>
      <c r="AC189" s="77"/>
      <c r="AF189" s="163" t="s">
        <v>870</v>
      </c>
      <c r="AG189" s="77">
        <f>VLOOKUP(AF189,'CFN HPV'!A:L,12,FALSE)</f>
        <v>1.74</v>
      </c>
      <c r="AH189" s="145">
        <f>Q189</f>
        <v>0</v>
      </c>
      <c r="AI189" s="77">
        <f>AH189-AG189</f>
        <v>-1.74</v>
      </c>
      <c r="AJ189" s="77"/>
      <c r="AK189" s="33"/>
      <c r="AL189" s="33"/>
      <c r="AM189" s="33"/>
    </row>
    <row r="190" spans="1:42">
      <c r="A190" s="33" t="s">
        <v>352</v>
      </c>
      <c r="B190" s="33" t="s">
        <v>1719</v>
      </c>
      <c r="C190" s="33" t="s">
        <v>1200</v>
      </c>
      <c r="D190" s="34">
        <v>24</v>
      </c>
      <c r="E190" s="189" t="s">
        <v>2</v>
      </c>
      <c r="F190" s="509"/>
      <c r="G190" s="509"/>
      <c r="H190" s="509"/>
      <c r="I190" s="189">
        <v>32</v>
      </c>
      <c r="J190" s="189"/>
      <c r="K190" s="34">
        <f t="shared" si="31"/>
        <v>0</v>
      </c>
      <c r="L190" s="189"/>
      <c r="M190" s="522"/>
      <c r="N190" s="541">
        <v>0</v>
      </c>
      <c r="O190" s="522"/>
      <c r="P190" s="57">
        <f t="shared" si="49"/>
        <v>0</v>
      </c>
      <c r="Q190" s="42">
        <f t="shared" si="50"/>
        <v>0</v>
      </c>
      <c r="R190" s="27">
        <f t="shared" si="47"/>
        <v>0</v>
      </c>
      <c r="S190" s="41" t="e">
        <f t="shared" si="48"/>
        <v>#DIV/0!</v>
      </c>
      <c r="T190" s="47">
        <f t="shared" si="51"/>
        <v>0</v>
      </c>
      <c r="U190" s="28">
        <f t="shared" si="52"/>
        <v>0</v>
      </c>
      <c r="V190" s="48" t="e">
        <f t="shared" si="53"/>
        <v>#DIV/0!</v>
      </c>
      <c r="W190" s="71">
        <v>3.95</v>
      </c>
      <c r="X190" s="31">
        <f t="shared" si="54"/>
        <v>94.800000000000011</v>
      </c>
      <c r="Y190" s="37">
        <f t="shared" si="55"/>
        <v>1</v>
      </c>
      <c r="Z190" s="74">
        <v>3.95</v>
      </c>
      <c r="AA190" s="77"/>
      <c r="AB190" s="77"/>
      <c r="AC190" s="77">
        <v>3.95</v>
      </c>
      <c r="AF190" s="77" t="s">
        <v>383</v>
      </c>
      <c r="AG190" s="77">
        <f>VLOOKUP(AF190,'CFN HPV'!A:L,12,FALSE)</f>
        <v>4.5199999999999996</v>
      </c>
      <c r="AH190" s="145">
        <f>Q190</f>
        <v>0</v>
      </c>
      <c r="AI190" s="77">
        <f>AH190-AG190</f>
        <v>-4.5199999999999996</v>
      </c>
      <c r="AJ190" s="77"/>
      <c r="AK190" s="33"/>
      <c r="AL190" s="33"/>
      <c r="AM190" s="33"/>
    </row>
    <row r="191" spans="1:42">
      <c r="A191" s="33" t="s">
        <v>352</v>
      </c>
      <c r="B191" s="33" t="s">
        <v>1720</v>
      </c>
      <c r="C191" s="33" t="s">
        <v>1201</v>
      </c>
      <c r="D191" s="34">
        <v>24</v>
      </c>
      <c r="E191" s="189" t="s">
        <v>2</v>
      </c>
      <c r="F191" s="509"/>
      <c r="G191" s="509"/>
      <c r="H191" s="509"/>
      <c r="I191" s="189">
        <v>32</v>
      </c>
      <c r="J191" s="189"/>
      <c r="K191" s="34">
        <f t="shared" si="31"/>
        <v>0</v>
      </c>
      <c r="L191" s="189"/>
      <c r="M191" s="522"/>
      <c r="N191" s="541">
        <v>0</v>
      </c>
      <c r="O191" s="522"/>
      <c r="P191" s="57">
        <f t="shared" si="49"/>
        <v>0</v>
      </c>
      <c r="Q191" s="42">
        <f t="shared" si="50"/>
        <v>0</v>
      </c>
      <c r="R191" s="27">
        <f t="shared" si="47"/>
        <v>0</v>
      </c>
      <c r="S191" s="41" t="e">
        <f t="shared" si="48"/>
        <v>#DIV/0!</v>
      </c>
      <c r="T191" s="47">
        <f t="shared" si="51"/>
        <v>0</v>
      </c>
      <c r="U191" s="28">
        <f t="shared" si="52"/>
        <v>0</v>
      </c>
      <c r="V191" s="48" t="e">
        <f t="shared" si="53"/>
        <v>#DIV/0!</v>
      </c>
      <c r="W191" s="71">
        <v>3.95</v>
      </c>
      <c r="X191" s="31">
        <f t="shared" si="54"/>
        <v>94.800000000000011</v>
      </c>
      <c r="Y191" s="37">
        <f t="shared" si="55"/>
        <v>1</v>
      </c>
      <c r="Z191" s="74">
        <v>3.95</v>
      </c>
      <c r="AA191" s="77"/>
      <c r="AB191" s="77"/>
      <c r="AC191" s="77">
        <v>3.95</v>
      </c>
      <c r="AF191" s="77" t="s">
        <v>384</v>
      </c>
      <c r="AG191" s="77">
        <f>VLOOKUP(AF191,'CFN HPV'!A:L,12,FALSE)</f>
        <v>4.75</v>
      </c>
      <c r="AH191" s="145">
        <f>Q191</f>
        <v>0</v>
      </c>
      <c r="AI191" s="77">
        <f>AH191-AG191</f>
        <v>-4.75</v>
      </c>
      <c r="AJ191" s="77"/>
      <c r="AK191" s="33"/>
      <c r="AL191" s="33"/>
      <c r="AM191" s="33"/>
    </row>
    <row r="192" spans="1:42">
      <c r="A192" s="33" t="s">
        <v>352</v>
      </c>
      <c r="B192" s="33" t="s">
        <v>1721</v>
      </c>
      <c r="C192" s="33" t="s">
        <v>1202</v>
      </c>
      <c r="D192" s="34">
        <v>24</v>
      </c>
      <c r="E192" s="189" t="s">
        <v>2</v>
      </c>
      <c r="F192" s="509"/>
      <c r="G192" s="509"/>
      <c r="H192" s="509"/>
      <c r="I192" s="189">
        <v>32</v>
      </c>
      <c r="J192" s="189"/>
      <c r="K192" s="34">
        <f t="shared" si="31"/>
        <v>0</v>
      </c>
      <c r="L192" s="189"/>
      <c r="M192" s="522"/>
      <c r="N192" s="541">
        <v>0</v>
      </c>
      <c r="O192" s="522"/>
      <c r="P192" s="57">
        <f t="shared" si="49"/>
        <v>0</v>
      </c>
      <c r="Q192" s="42">
        <f t="shared" si="50"/>
        <v>0</v>
      </c>
      <c r="R192" s="27">
        <f t="shared" si="47"/>
        <v>0</v>
      </c>
      <c r="S192" s="41" t="e">
        <f t="shared" si="48"/>
        <v>#DIV/0!</v>
      </c>
      <c r="T192" s="47">
        <f t="shared" si="51"/>
        <v>0</v>
      </c>
      <c r="U192" s="28">
        <f t="shared" si="52"/>
        <v>0</v>
      </c>
      <c r="V192" s="48" t="e">
        <f t="shared" si="53"/>
        <v>#DIV/0!</v>
      </c>
      <c r="W192" s="71">
        <v>3.95</v>
      </c>
      <c r="X192" s="31">
        <f t="shared" si="54"/>
        <v>94.800000000000011</v>
      </c>
      <c r="Y192" s="37">
        <f t="shared" si="55"/>
        <v>1</v>
      </c>
      <c r="Z192" s="74">
        <v>3.95</v>
      </c>
      <c r="AA192" s="77"/>
      <c r="AB192" s="77"/>
      <c r="AC192" s="77">
        <v>3.95</v>
      </c>
      <c r="AF192" s="77" t="s">
        <v>385</v>
      </c>
      <c r="AG192" s="77">
        <f>VLOOKUP(AF192,'CFN HPV'!A:L,12,FALSE)</f>
        <v>5</v>
      </c>
      <c r="AH192" s="145">
        <f>Q192</f>
        <v>0</v>
      </c>
      <c r="AI192" s="77">
        <f>AH192-AG192</f>
        <v>-5</v>
      </c>
      <c r="AJ192" s="77"/>
      <c r="AK192" s="33"/>
      <c r="AL192" s="33"/>
      <c r="AM192" s="33"/>
    </row>
    <row r="193" spans="1:43">
      <c r="A193" s="202" t="s">
        <v>352</v>
      </c>
      <c r="B193" s="202" t="s">
        <v>1722</v>
      </c>
      <c r="C193" s="33" t="s">
        <v>1203</v>
      </c>
      <c r="D193" s="34">
        <v>24</v>
      </c>
      <c r="E193" s="189" t="s">
        <v>2</v>
      </c>
      <c r="F193" s="509"/>
      <c r="G193" s="509"/>
      <c r="H193" s="509"/>
      <c r="I193" s="189">
        <v>32</v>
      </c>
      <c r="J193" s="189"/>
      <c r="K193" s="34">
        <f t="shared" si="31"/>
        <v>0</v>
      </c>
      <c r="L193" s="189"/>
      <c r="M193" s="522"/>
      <c r="N193" s="541">
        <v>0</v>
      </c>
      <c r="O193" s="522"/>
      <c r="P193" s="57">
        <f t="shared" si="49"/>
        <v>0</v>
      </c>
      <c r="Q193" s="42">
        <f t="shared" si="50"/>
        <v>0</v>
      </c>
      <c r="R193" s="27">
        <f t="shared" si="47"/>
        <v>0</v>
      </c>
      <c r="S193" s="41" t="e">
        <f t="shared" si="48"/>
        <v>#DIV/0!</v>
      </c>
      <c r="T193" s="47">
        <f t="shared" si="51"/>
        <v>0</v>
      </c>
      <c r="U193" s="28">
        <f t="shared" si="52"/>
        <v>0</v>
      </c>
      <c r="V193" s="48" t="e">
        <f t="shared" si="53"/>
        <v>#DIV/0!</v>
      </c>
      <c r="W193" s="71">
        <v>3.95</v>
      </c>
      <c r="X193" s="31">
        <f t="shared" si="54"/>
        <v>94.800000000000011</v>
      </c>
      <c r="Y193" s="37">
        <f t="shared" si="55"/>
        <v>1</v>
      </c>
      <c r="Z193" s="74">
        <v>3.95</v>
      </c>
      <c r="AA193" s="77"/>
      <c r="AB193" s="77"/>
      <c r="AC193" s="77">
        <v>3.95</v>
      </c>
      <c r="AF193" s="77" t="s">
        <v>386</v>
      </c>
      <c r="AG193" s="77">
        <f>VLOOKUP(AF193,'CFN HPV'!A:L,12,FALSE)</f>
        <v>6.1</v>
      </c>
      <c r="AH193" s="145">
        <f>Q193</f>
        <v>0</v>
      </c>
      <c r="AI193" s="77">
        <f>AH193-AG193</f>
        <v>-6.1</v>
      </c>
      <c r="AJ193" s="77"/>
      <c r="AK193" s="33"/>
      <c r="AL193" s="33"/>
      <c r="AM193" s="33"/>
    </row>
    <row r="194" spans="1:43">
      <c r="A194" s="33" t="s">
        <v>352</v>
      </c>
      <c r="B194" s="33" t="s">
        <v>1723</v>
      </c>
      <c r="C194" s="54" t="s">
        <v>1204</v>
      </c>
      <c r="D194" s="189">
        <v>22</v>
      </c>
      <c r="E194" s="189" t="s">
        <v>2</v>
      </c>
      <c r="F194" s="509"/>
      <c r="G194" s="509"/>
      <c r="H194" s="509"/>
      <c r="I194" s="189">
        <v>32</v>
      </c>
      <c r="J194" s="189"/>
      <c r="K194" s="34">
        <f t="shared" si="31"/>
        <v>0</v>
      </c>
      <c r="L194" s="189"/>
      <c r="M194" s="522"/>
      <c r="N194" s="541">
        <v>0</v>
      </c>
      <c r="O194" s="522"/>
      <c r="P194" s="57">
        <f t="shared" si="49"/>
        <v>0</v>
      </c>
      <c r="Q194" s="42">
        <f t="shared" si="50"/>
        <v>0</v>
      </c>
      <c r="R194" s="27">
        <f t="shared" si="47"/>
        <v>0</v>
      </c>
      <c r="S194" s="41" t="e">
        <f t="shared" si="48"/>
        <v>#DIV/0!</v>
      </c>
      <c r="T194" s="47">
        <f t="shared" si="51"/>
        <v>0</v>
      </c>
      <c r="U194" s="28">
        <f t="shared" si="52"/>
        <v>0</v>
      </c>
      <c r="V194" s="48" t="e">
        <f t="shared" si="53"/>
        <v>#DIV/0!</v>
      </c>
      <c r="W194" s="71">
        <v>4.6500000000000004</v>
      </c>
      <c r="X194" s="31">
        <f t="shared" si="54"/>
        <v>102.30000000000001</v>
      </c>
      <c r="Y194" s="37">
        <f t="shared" si="55"/>
        <v>1</v>
      </c>
      <c r="Z194" s="74">
        <v>4.6500000000000004</v>
      </c>
      <c r="AA194" s="77"/>
      <c r="AB194" s="77"/>
      <c r="AC194" s="77"/>
      <c r="AF194" s="77"/>
      <c r="AG194" s="77"/>
      <c r="AH194" s="145"/>
      <c r="AI194" s="77"/>
      <c r="AJ194" s="77"/>
      <c r="AK194" s="33"/>
      <c r="AL194" s="33"/>
      <c r="AM194" s="33"/>
    </row>
    <row r="195" spans="1:43">
      <c r="A195" s="202" t="s">
        <v>352</v>
      </c>
      <c r="B195" s="202" t="s">
        <v>1724</v>
      </c>
      <c r="C195" s="54" t="s">
        <v>1205</v>
      </c>
      <c r="D195" s="189">
        <v>22</v>
      </c>
      <c r="E195" s="189" t="s">
        <v>2</v>
      </c>
      <c r="F195" s="509"/>
      <c r="G195" s="509"/>
      <c r="H195" s="509"/>
      <c r="I195" s="189">
        <v>32</v>
      </c>
      <c r="J195" s="189"/>
      <c r="K195" s="34">
        <f t="shared" ref="K195:K255" si="56" xml:space="preserve"> IFERROR(1200 * (F195*G195*H195)/26180000,"Not available")</f>
        <v>0</v>
      </c>
      <c r="L195" s="189"/>
      <c r="M195" s="522"/>
      <c r="N195" s="541">
        <v>0</v>
      </c>
      <c r="O195" s="522"/>
      <c r="P195" s="57">
        <f t="shared" si="49"/>
        <v>0</v>
      </c>
      <c r="Q195" s="42">
        <f t="shared" si="50"/>
        <v>0</v>
      </c>
      <c r="R195" s="27">
        <f t="shared" si="47"/>
        <v>0</v>
      </c>
      <c r="S195" s="41" t="e">
        <f t="shared" si="48"/>
        <v>#DIV/0!</v>
      </c>
      <c r="T195" s="47">
        <f t="shared" si="51"/>
        <v>0</v>
      </c>
      <c r="U195" s="28">
        <f t="shared" si="52"/>
        <v>0</v>
      </c>
      <c r="V195" s="48" t="e">
        <f t="shared" si="53"/>
        <v>#DIV/0!</v>
      </c>
      <c r="W195" s="71">
        <v>4.6500000000000004</v>
      </c>
      <c r="X195" s="31">
        <f t="shared" si="54"/>
        <v>102.30000000000001</v>
      </c>
      <c r="Y195" s="37">
        <f t="shared" si="55"/>
        <v>1</v>
      </c>
      <c r="Z195" s="74">
        <v>4.6500000000000004</v>
      </c>
      <c r="AA195" s="77"/>
      <c r="AB195" s="77"/>
      <c r="AC195" s="77"/>
      <c r="AF195" s="77" t="s">
        <v>387</v>
      </c>
      <c r="AG195" s="77">
        <f>VLOOKUP(AF195,'CFN HPV'!A:L,12,FALSE)</f>
        <v>6.5</v>
      </c>
      <c r="AH195" s="145">
        <f>Q195</f>
        <v>0</v>
      </c>
      <c r="AI195" s="77">
        <f>AH195-AG195</f>
        <v>-6.5</v>
      </c>
      <c r="AJ195" s="77"/>
      <c r="AK195" s="33"/>
      <c r="AL195" s="33"/>
      <c r="AM195" s="33"/>
    </row>
    <row r="196" spans="1:43">
      <c r="A196" s="33" t="s">
        <v>2129</v>
      </c>
      <c r="B196" s="33" t="s">
        <v>1725</v>
      </c>
      <c r="C196" s="54" t="s">
        <v>1206</v>
      </c>
      <c r="D196" s="189">
        <v>22</v>
      </c>
      <c r="E196" s="189" t="s">
        <v>2</v>
      </c>
      <c r="F196" s="509"/>
      <c r="G196" s="509"/>
      <c r="H196" s="509"/>
      <c r="I196" s="189">
        <v>32</v>
      </c>
      <c r="J196" s="189"/>
      <c r="K196" s="34">
        <f t="shared" si="56"/>
        <v>0</v>
      </c>
      <c r="L196" s="189"/>
      <c r="M196" s="522"/>
      <c r="N196" s="541">
        <v>0</v>
      </c>
      <c r="O196" s="522"/>
      <c r="P196" s="57">
        <f t="shared" si="49"/>
        <v>0</v>
      </c>
      <c r="Q196" s="42">
        <f t="shared" si="50"/>
        <v>0</v>
      </c>
      <c r="R196" s="27">
        <f t="shared" si="47"/>
        <v>0</v>
      </c>
      <c r="S196" s="41" t="e">
        <f t="shared" si="48"/>
        <v>#DIV/0!</v>
      </c>
      <c r="T196" s="47">
        <f t="shared" si="51"/>
        <v>0</v>
      </c>
      <c r="U196" s="28">
        <f t="shared" si="52"/>
        <v>0</v>
      </c>
      <c r="V196" s="48" t="e">
        <f t="shared" si="53"/>
        <v>#DIV/0!</v>
      </c>
      <c r="W196" s="71">
        <v>4.6500000000000004</v>
      </c>
      <c r="X196" s="31">
        <f t="shared" si="54"/>
        <v>102.30000000000001</v>
      </c>
      <c r="Y196" s="37">
        <f t="shared" si="55"/>
        <v>1</v>
      </c>
      <c r="Z196" s="74">
        <v>4.6500000000000004</v>
      </c>
      <c r="AA196" s="77"/>
      <c r="AB196" s="77"/>
      <c r="AC196" s="77"/>
      <c r="AF196" s="77" t="s">
        <v>388</v>
      </c>
      <c r="AG196" s="77">
        <f>VLOOKUP(AF196,'CFN HPV'!A:L,12,FALSE)</f>
        <v>6.8</v>
      </c>
      <c r="AH196" s="145">
        <f>Q196</f>
        <v>0</v>
      </c>
      <c r="AI196" s="77">
        <f>AH196-AG196</f>
        <v>-6.8</v>
      </c>
      <c r="AJ196" s="77"/>
      <c r="AK196" s="33"/>
      <c r="AL196" s="33"/>
      <c r="AM196" s="33"/>
    </row>
    <row r="197" spans="1:43">
      <c r="A197" s="202" t="s">
        <v>352</v>
      </c>
      <c r="B197" s="202" t="s">
        <v>1726</v>
      </c>
      <c r="C197" s="54" t="s">
        <v>1207</v>
      </c>
      <c r="D197" s="189">
        <v>22</v>
      </c>
      <c r="E197" s="189" t="s">
        <v>2</v>
      </c>
      <c r="F197" s="509"/>
      <c r="G197" s="509"/>
      <c r="H197" s="509"/>
      <c r="I197" s="189">
        <v>32</v>
      </c>
      <c r="J197" s="189"/>
      <c r="K197" s="34">
        <f t="shared" si="56"/>
        <v>0</v>
      </c>
      <c r="L197" s="189"/>
      <c r="M197" s="522"/>
      <c r="N197" s="541">
        <v>0</v>
      </c>
      <c r="O197" s="522"/>
      <c r="P197" s="57">
        <f t="shared" si="49"/>
        <v>0</v>
      </c>
      <c r="Q197" s="42">
        <f t="shared" si="50"/>
        <v>0</v>
      </c>
      <c r="R197" s="27">
        <f t="shared" si="47"/>
        <v>0</v>
      </c>
      <c r="S197" s="41" t="e">
        <f t="shared" si="48"/>
        <v>#DIV/0!</v>
      </c>
      <c r="T197" s="47">
        <f t="shared" si="51"/>
        <v>0</v>
      </c>
      <c r="U197" s="28">
        <f t="shared" si="52"/>
        <v>0</v>
      </c>
      <c r="V197" s="48" t="e">
        <f t="shared" si="53"/>
        <v>#DIV/0!</v>
      </c>
      <c r="W197" s="71">
        <v>4.6500000000000004</v>
      </c>
      <c r="X197" s="31">
        <f t="shared" si="54"/>
        <v>102.30000000000001</v>
      </c>
      <c r="Y197" s="37">
        <f t="shared" si="55"/>
        <v>1</v>
      </c>
      <c r="Z197" s="74">
        <v>4.6500000000000004</v>
      </c>
      <c r="AA197" s="77"/>
      <c r="AB197" s="77"/>
      <c r="AC197" s="77"/>
      <c r="AF197" s="77" t="s">
        <v>389</v>
      </c>
      <c r="AG197" s="77">
        <f>VLOOKUP(AF197,'CFN HPV'!A:L,12,FALSE)</f>
        <v>7.5</v>
      </c>
      <c r="AH197" s="145">
        <f>Q197</f>
        <v>0</v>
      </c>
      <c r="AI197" s="77">
        <f>AH197-AG197</f>
        <v>-7.5</v>
      </c>
      <c r="AJ197" s="77"/>
      <c r="AK197" s="33"/>
      <c r="AL197" s="33"/>
      <c r="AM197" s="33"/>
    </row>
    <row r="198" spans="1:43">
      <c r="A198" s="33" t="s">
        <v>352</v>
      </c>
      <c r="B198" s="33" t="s">
        <v>1458</v>
      </c>
      <c r="C198" s="33" t="s">
        <v>1190</v>
      </c>
      <c r="D198" s="34">
        <v>26</v>
      </c>
      <c r="E198" s="34" t="s">
        <v>2</v>
      </c>
      <c r="F198" s="509"/>
      <c r="G198" s="509"/>
      <c r="H198" s="509"/>
      <c r="I198" s="34">
        <v>32</v>
      </c>
      <c r="J198" s="34"/>
      <c r="K198" s="34">
        <f t="shared" si="56"/>
        <v>0</v>
      </c>
      <c r="L198" s="34"/>
      <c r="M198" s="522"/>
      <c r="N198" s="541">
        <v>0</v>
      </c>
      <c r="O198" s="522"/>
      <c r="P198" s="57">
        <f t="shared" si="49"/>
        <v>0</v>
      </c>
      <c r="Q198" s="42">
        <f t="shared" si="50"/>
        <v>0</v>
      </c>
      <c r="R198" s="27">
        <f t="shared" si="47"/>
        <v>0</v>
      </c>
      <c r="S198" s="41" t="e">
        <f t="shared" si="48"/>
        <v>#DIV/0!</v>
      </c>
      <c r="T198" s="47">
        <f t="shared" si="51"/>
        <v>0</v>
      </c>
      <c r="U198" s="28">
        <f t="shared" si="52"/>
        <v>0</v>
      </c>
      <c r="V198" s="48" t="e">
        <f t="shared" si="53"/>
        <v>#DIV/0!</v>
      </c>
      <c r="W198" s="71">
        <v>3.95</v>
      </c>
      <c r="X198" s="31">
        <f t="shared" si="54"/>
        <v>102.7</v>
      </c>
      <c r="Y198" s="37">
        <f t="shared" si="55"/>
        <v>1</v>
      </c>
      <c r="Z198" s="74">
        <v>3.95</v>
      </c>
      <c r="AA198" s="77"/>
      <c r="AB198" s="77"/>
      <c r="AC198" s="77">
        <v>3.75</v>
      </c>
      <c r="AF198" s="77"/>
      <c r="AG198" s="77"/>
      <c r="AH198" s="145"/>
      <c r="AI198" s="77"/>
      <c r="AJ198" s="77"/>
      <c r="AK198" s="33"/>
      <c r="AL198" s="33"/>
      <c r="AM198" s="33"/>
    </row>
    <row r="199" spans="1:43">
      <c r="A199" s="461" t="s">
        <v>352</v>
      </c>
      <c r="B199" s="461" t="s">
        <v>1732</v>
      </c>
      <c r="C199" s="464" t="s">
        <v>1597</v>
      </c>
      <c r="D199" s="465">
        <v>36</v>
      </c>
      <c r="E199" s="465" t="s">
        <v>2</v>
      </c>
      <c r="F199" s="509"/>
      <c r="G199" s="509"/>
      <c r="H199" s="509"/>
      <c r="I199" s="465">
        <v>32</v>
      </c>
      <c r="J199" s="465"/>
      <c r="K199" s="34">
        <f t="shared" si="56"/>
        <v>0</v>
      </c>
      <c r="L199" s="465"/>
      <c r="M199" s="522"/>
      <c r="N199" s="541">
        <v>0</v>
      </c>
      <c r="O199" s="522"/>
      <c r="P199" s="468">
        <f t="shared" si="49"/>
        <v>0</v>
      </c>
      <c r="Q199" s="469">
        <f t="shared" si="50"/>
        <v>0</v>
      </c>
      <c r="R199" s="472">
        <f t="shared" si="47"/>
        <v>0</v>
      </c>
      <c r="S199" s="475" t="e">
        <f t="shared" si="48"/>
        <v>#DIV/0!</v>
      </c>
      <c r="T199" s="47">
        <f t="shared" si="51"/>
        <v>0</v>
      </c>
      <c r="U199" s="28">
        <f t="shared" si="52"/>
        <v>0</v>
      </c>
      <c r="V199" s="48" t="e">
        <f t="shared" si="53"/>
        <v>#DIV/0!</v>
      </c>
      <c r="W199" s="476">
        <v>2.5</v>
      </c>
      <c r="X199" s="480">
        <f t="shared" si="54"/>
        <v>90</v>
      </c>
      <c r="Y199" s="481">
        <f t="shared" si="55"/>
        <v>1</v>
      </c>
      <c r="Z199" s="74"/>
      <c r="AA199" s="77"/>
      <c r="AB199" s="77"/>
      <c r="AC199" s="77"/>
      <c r="AD199" s="10"/>
      <c r="AE199" s="10"/>
      <c r="AF199" s="33"/>
      <c r="AG199" s="33"/>
      <c r="AH199" s="145"/>
      <c r="AI199" s="77"/>
      <c r="AJ199" s="77"/>
      <c r="AK199" s="33"/>
      <c r="AL199" s="33"/>
      <c r="AM199" s="33"/>
      <c r="AN199" s="10"/>
      <c r="AO199" s="10"/>
      <c r="AP199" s="10"/>
      <c r="AQ199" s="10"/>
    </row>
    <row r="200" spans="1:43">
      <c r="A200" s="199" t="s">
        <v>352</v>
      </c>
      <c r="B200" s="199" t="s">
        <v>1467</v>
      </c>
      <c r="C200" s="54" t="s">
        <v>1191</v>
      </c>
      <c r="D200" s="189">
        <v>26</v>
      </c>
      <c r="E200" s="189" t="s">
        <v>2</v>
      </c>
      <c r="F200" s="509"/>
      <c r="G200" s="509"/>
      <c r="H200" s="509"/>
      <c r="I200" s="189">
        <v>32</v>
      </c>
      <c r="J200" s="189"/>
      <c r="K200" s="34">
        <f t="shared" si="56"/>
        <v>0</v>
      </c>
      <c r="L200" s="189"/>
      <c r="M200" s="522"/>
      <c r="N200" s="541">
        <v>0</v>
      </c>
      <c r="O200" s="522"/>
      <c r="P200" s="57">
        <f t="shared" si="49"/>
        <v>0</v>
      </c>
      <c r="Q200" s="42">
        <f t="shared" si="50"/>
        <v>0</v>
      </c>
      <c r="R200" s="27">
        <f t="shared" si="47"/>
        <v>0</v>
      </c>
      <c r="S200" s="41" t="e">
        <f t="shared" si="48"/>
        <v>#DIV/0!</v>
      </c>
      <c r="T200" s="47">
        <f t="shared" si="51"/>
        <v>0</v>
      </c>
      <c r="U200" s="28">
        <f t="shared" si="52"/>
        <v>0</v>
      </c>
      <c r="V200" s="48" t="e">
        <f t="shared" si="53"/>
        <v>#DIV/0!</v>
      </c>
      <c r="W200" s="71">
        <v>3.95</v>
      </c>
      <c r="X200" s="31">
        <f t="shared" si="54"/>
        <v>102.7</v>
      </c>
      <c r="Y200" s="37">
        <f t="shared" si="55"/>
        <v>1</v>
      </c>
      <c r="Z200" s="74">
        <v>3.95</v>
      </c>
      <c r="AA200" s="77"/>
      <c r="AB200" s="77"/>
      <c r="AC200" s="77">
        <v>3.75</v>
      </c>
      <c r="AF200" s="77" t="s">
        <v>380</v>
      </c>
      <c r="AG200" s="77">
        <f>VLOOKUP(AF200,'CFN HPV'!A:L,12,FALSE)</f>
        <v>3.75</v>
      </c>
      <c r="AH200" s="145">
        <f>Q200</f>
        <v>0</v>
      </c>
      <c r="AI200" s="77">
        <f>AH200-AG200</f>
        <v>-3.75</v>
      </c>
      <c r="AJ200" s="77"/>
      <c r="AK200" s="33"/>
      <c r="AL200" s="33"/>
      <c r="AM200" s="33"/>
    </row>
    <row r="201" spans="1:43">
      <c r="A201" s="461" t="s">
        <v>352</v>
      </c>
      <c r="B201" s="461" t="s">
        <v>1733</v>
      </c>
      <c r="C201" s="464" t="s">
        <v>1598</v>
      </c>
      <c r="D201" s="465">
        <v>36</v>
      </c>
      <c r="E201" s="465" t="s">
        <v>2</v>
      </c>
      <c r="F201" s="509"/>
      <c r="G201" s="509"/>
      <c r="H201" s="509"/>
      <c r="I201" s="465">
        <v>32</v>
      </c>
      <c r="J201" s="465"/>
      <c r="K201" s="34">
        <f t="shared" si="56"/>
        <v>0</v>
      </c>
      <c r="L201" s="465"/>
      <c r="M201" s="522"/>
      <c r="N201" s="541">
        <v>0</v>
      </c>
      <c r="O201" s="522"/>
      <c r="P201" s="468">
        <f t="shared" si="49"/>
        <v>0</v>
      </c>
      <c r="Q201" s="469">
        <f t="shared" si="50"/>
        <v>0</v>
      </c>
      <c r="R201" s="472">
        <f t="shared" si="47"/>
        <v>0</v>
      </c>
      <c r="S201" s="475" t="e">
        <f t="shared" si="48"/>
        <v>#DIV/0!</v>
      </c>
      <c r="T201" s="47">
        <f t="shared" si="51"/>
        <v>0</v>
      </c>
      <c r="U201" s="28">
        <f t="shared" si="52"/>
        <v>0</v>
      </c>
      <c r="V201" s="48" t="e">
        <f t="shared" si="53"/>
        <v>#DIV/0!</v>
      </c>
      <c r="W201" s="476">
        <v>2.5</v>
      </c>
      <c r="X201" s="480">
        <f t="shared" si="54"/>
        <v>90</v>
      </c>
      <c r="Y201" s="481">
        <f t="shared" si="55"/>
        <v>1</v>
      </c>
      <c r="Z201" s="74"/>
      <c r="AA201" s="77"/>
      <c r="AB201" s="77"/>
      <c r="AC201" s="77"/>
      <c r="AD201" s="10"/>
      <c r="AE201" s="10"/>
      <c r="AF201" s="33"/>
      <c r="AG201" s="33"/>
      <c r="AH201" s="145"/>
      <c r="AI201" s="77"/>
      <c r="AJ201" s="77"/>
      <c r="AK201" s="33"/>
      <c r="AL201" s="33"/>
      <c r="AM201" s="33"/>
      <c r="AN201" s="10"/>
      <c r="AO201" s="10"/>
      <c r="AP201" s="10"/>
      <c r="AQ201" s="10"/>
    </row>
    <row r="202" spans="1:43">
      <c r="A202" s="7" t="s">
        <v>352</v>
      </c>
      <c r="B202" s="7" t="s">
        <v>1472</v>
      </c>
      <c r="C202" s="85" t="s">
        <v>1192</v>
      </c>
      <c r="D202" s="192">
        <v>26</v>
      </c>
      <c r="E202" s="192" t="s">
        <v>2</v>
      </c>
      <c r="F202" s="509"/>
      <c r="G202" s="509"/>
      <c r="H202" s="509"/>
      <c r="I202" s="192">
        <v>32</v>
      </c>
      <c r="J202" s="192"/>
      <c r="K202" s="34">
        <f t="shared" si="56"/>
        <v>0</v>
      </c>
      <c r="L202" s="189"/>
      <c r="M202" s="522"/>
      <c r="N202" s="541">
        <v>0</v>
      </c>
      <c r="O202" s="522"/>
      <c r="P202" s="58">
        <f t="shared" si="49"/>
        <v>0</v>
      </c>
      <c r="Q202" s="44">
        <f t="shared" si="50"/>
        <v>0</v>
      </c>
      <c r="R202" s="81">
        <f t="shared" si="47"/>
        <v>0</v>
      </c>
      <c r="S202" s="43" t="e">
        <f t="shared" si="48"/>
        <v>#DIV/0!</v>
      </c>
      <c r="T202" s="49">
        <f t="shared" si="51"/>
        <v>0</v>
      </c>
      <c r="U202" s="30">
        <f t="shared" si="52"/>
        <v>0</v>
      </c>
      <c r="V202" s="50" t="e">
        <f t="shared" si="53"/>
        <v>#DIV/0!</v>
      </c>
      <c r="W202" s="72">
        <v>3.95</v>
      </c>
      <c r="X202" s="32">
        <f t="shared" si="54"/>
        <v>102.7</v>
      </c>
      <c r="Y202" s="38">
        <f t="shared" si="55"/>
        <v>1</v>
      </c>
      <c r="Z202" s="75">
        <v>3.95</v>
      </c>
      <c r="AA202" s="78"/>
      <c r="AB202" s="78"/>
      <c r="AC202" s="78">
        <v>3.75</v>
      </c>
      <c r="AF202" s="78" t="s">
        <v>381</v>
      </c>
      <c r="AG202" s="78">
        <f>VLOOKUP(AF202,'CFN HPV'!A:L,12,FALSE)</f>
        <v>4</v>
      </c>
      <c r="AH202" s="145">
        <f>Q202</f>
        <v>0</v>
      </c>
      <c r="AI202" s="77">
        <f>AH202-AG202</f>
        <v>-4</v>
      </c>
      <c r="AJ202" s="77"/>
      <c r="AK202" s="7"/>
      <c r="AL202" s="7"/>
      <c r="AM202" s="7"/>
    </row>
    <row r="203" spans="1:43" s="10" customFormat="1">
      <c r="A203" s="463" t="s">
        <v>352</v>
      </c>
      <c r="B203" s="463" t="s">
        <v>1734</v>
      </c>
      <c r="C203" s="464" t="s">
        <v>1599</v>
      </c>
      <c r="D203" s="467">
        <v>36</v>
      </c>
      <c r="E203" s="465" t="s">
        <v>2</v>
      </c>
      <c r="F203" s="509"/>
      <c r="G203" s="509"/>
      <c r="H203" s="509"/>
      <c r="I203" s="467">
        <v>32</v>
      </c>
      <c r="J203" s="465"/>
      <c r="K203" s="34">
        <f t="shared" si="56"/>
        <v>0</v>
      </c>
      <c r="L203" s="465"/>
      <c r="M203" s="522"/>
      <c r="N203" s="541">
        <v>0</v>
      </c>
      <c r="O203" s="522"/>
      <c r="P203" s="468">
        <f t="shared" si="49"/>
        <v>0</v>
      </c>
      <c r="Q203" s="469">
        <f t="shared" si="50"/>
        <v>0</v>
      </c>
      <c r="R203" s="472">
        <f t="shared" si="47"/>
        <v>0</v>
      </c>
      <c r="S203" s="475" t="e">
        <f t="shared" si="48"/>
        <v>#DIV/0!</v>
      </c>
      <c r="T203" s="47">
        <f t="shared" si="51"/>
        <v>0</v>
      </c>
      <c r="U203" s="28">
        <f t="shared" si="52"/>
        <v>0</v>
      </c>
      <c r="V203" s="48" t="e">
        <f t="shared" si="53"/>
        <v>#DIV/0!</v>
      </c>
      <c r="W203" s="476">
        <v>2.5</v>
      </c>
      <c r="X203" s="480">
        <f t="shared" si="54"/>
        <v>90</v>
      </c>
      <c r="Y203" s="481">
        <f t="shared" si="55"/>
        <v>1</v>
      </c>
      <c r="Z203" s="203"/>
      <c r="AA203" s="79"/>
      <c r="AB203" s="79"/>
      <c r="AC203" s="79"/>
      <c r="AF203" s="4"/>
      <c r="AG203" s="4"/>
      <c r="AH203" s="144"/>
      <c r="AI203" s="79"/>
      <c r="AJ203" s="483"/>
      <c r="AK203" s="4"/>
      <c r="AL203" s="4"/>
      <c r="AM203" s="4"/>
    </row>
    <row r="204" spans="1:43">
      <c r="A204" s="202" t="s">
        <v>352</v>
      </c>
      <c r="B204" s="202" t="s">
        <v>1475</v>
      </c>
      <c r="C204" s="54" t="s">
        <v>1193</v>
      </c>
      <c r="D204" s="189">
        <v>26</v>
      </c>
      <c r="E204" s="189" t="s">
        <v>2</v>
      </c>
      <c r="F204" s="509"/>
      <c r="G204" s="509"/>
      <c r="H204" s="509"/>
      <c r="I204" s="189">
        <v>32</v>
      </c>
      <c r="J204" s="189"/>
      <c r="K204" s="34">
        <f t="shared" si="56"/>
        <v>0</v>
      </c>
      <c r="L204" s="189"/>
      <c r="M204" s="522"/>
      <c r="N204" s="541">
        <v>0</v>
      </c>
      <c r="O204" s="522"/>
      <c r="P204" s="57">
        <f t="shared" si="49"/>
        <v>0</v>
      </c>
      <c r="Q204" s="42">
        <f t="shared" si="50"/>
        <v>0</v>
      </c>
      <c r="R204" s="27">
        <f t="shared" si="47"/>
        <v>0</v>
      </c>
      <c r="S204" s="41" t="e">
        <f t="shared" si="48"/>
        <v>#DIV/0!</v>
      </c>
      <c r="T204" s="47">
        <f t="shared" si="51"/>
        <v>0</v>
      </c>
      <c r="U204" s="28">
        <f t="shared" si="52"/>
        <v>0</v>
      </c>
      <c r="V204" s="48" t="e">
        <f t="shared" si="53"/>
        <v>#DIV/0!</v>
      </c>
      <c r="W204" s="71">
        <v>3.95</v>
      </c>
      <c r="X204" s="31">
        <f t="shared" si="54"/>
        <v>102.7</v>
      </c>
      <c r="Y204" s="37">
        <f t="shared" si="55"/>
        <v>1</v>
      </c>
      <c r="Z204" s="203">
        <v>3.95</v>
      </c>
      <c r="AA204" s="79"/>
      <c r="AB204" s="79"/>
      <c r="AC204" s="183">
        <v>3.75</v>
      </c>
      <c r="AF204" s="77" t="s">
        <v>382</v>
      </c>
      <c r="AG204" s="77">
        <f>VLOOKUP(AF204,'CFN HPV'!A:L,12,FALSE)</f>
        <v>4.25</v>
      </c>
      <c r="AH204" s="145">
        <f>Q204</f>
        <v>0</v>
      </c>
      <c r="AI204" s="77">
        <f>AH204-AG204</f>
        <v>-4.25</v>
      </c>
      <c r="AJ204" s="183"/>
      <c r="AK204" s="33"/>
      <c r="AL204" s="33"/>
      <c r="AM204" s="33"/>
    </row>
    <row r="205" spans="1:43">
      <c r="A205" s="461" t="s">
        <v>352</v>
      </c>
      <c r="B205" s="461" t="s">
        <v>1735</v>
      </c>
      <c r="C205" s="464" t="s">
        <v>1600</v>
      </c>
      <c r="D205" s="465">
        <v>36</v>
      </c>
      <c r="E205" s="465" t="s">
        <v>2</v>
      </c>
      <c r="F205" s="509"/>
      <c r="G205" s="509"/>
      <c r="H205" s="509"/>
      <c r="I205" s="465">
        <v>32</v>
      </c>
      <c r="J205" s="465"/>
      <c r="K205" s="34">
        <f t="shared" si="56"/>
        <v>0</v>
      </c>
      <c r="L205" s="465"/>
      <c r="M205" s="522"/>
      <c r="N205" s="541">
        <v>0</v>
      </c>
      <c r="O205" s="522"/>
      <c r="P205" s="468">
        <f t="shared" si="49"/>
        <v>0</v>
      </c>
      <c r="Q205" s="469">
        <f t="shared" si="50"/>
        <v>0</v>
      </c>
      <c r="R205" s="472">
        <f t="shared" si="47"/>
        <v>0</v>
      </c>
      <c r="S205" s="475" t="e">
        <f t="shared" si="48"/>
        <v>#DIV/0!</v>
      </c>
      <c r="T205" s="47">
        <f t="shared" si="51"/>
        <v>0</v>
      </c>
      <c r="U205" s="28">
        <f t="shared" si="52"/>
        <v>0</v>
      </c>
      <c r="V205" s="48" t="e">
        <f t="shared" si="53"/>
        <v>#DIV/0!</v>
      </c>
      <c r="W205" s="476">
        <v>2.5</v>
      </c>
      <c r="X205" s="480">
        <f t="shared" si="54"/>
        <v>90</v>
      </c>
      <c r="Y205" s="481">
        <f t="shared" si="55"/>
        <v>1</v>
      </c>
      <c r="Z205" s="74"/>
      <c r="AA205" s="77"/>
      <c r="AB205" s="77"/>
      <c r="AC205" s="183"/>
      <c r="AD205" s="10"/>
      <c r="AE205" s="10"/>
      <c r="AF205" s="33"/>
      <c r="AG205" s="33"/>
      <c r="AH205" s="145"/>
      <c r="AI205" s="77"/>
      <c r="AJ205" s="183"/>
      <c r="AK205" s="33"/>
      <c r="AL205" s="33"/>
      <c r="AM205" s="33"/>
      <c r="AN205" s="10"/>
      <c r="AO205" s="10"/>
      <c r="AP205" s="10"/>
      <c r="AQ205" s="10"/>
    </row>
    <row r="206" spans="1:43">
      <c r="A206" s="199" t="s">
        <v>352</v>
      </c>
      <c r="B206" s="199" t="s">
        <v>1717</v>
      </c>
      <c r="C206" s="54" t="s">
        <v>1194</v>
      </c>
      <c r="D206" s="189">
        <v>10</v>
      </c>
      <c r="E206" s="189" t="s">
        <v>2</v>
      </c>
      <c r="F206" s="509"/>
      <c r="G206" s="509"/>
      <c r="H206" s="509"/>
      <c r="I206" s="189">
        <v>40</v>
      </c>
      <c r="J206" s="189"/>
      <c r="K206" s="34">
        <f t="shared" si="56"/>
        <v>0</v>
      </c>
      <c r="L206" s="189"/>
      <c r="M206" s="522"/>
      <c r="N206" s="541">
        <v>0</v>
      </c>
      <c r="O206" s="522"/>
      <c r="P206" s="57">
        <f t="shared" si="49"/>
        <v>0</v>
      </c>
      <c r="Q206" s="42">
        <f t="shared" si="50"/>
        <v>0</v>
      </c>
      <c r="R206" s="27">
        <f t="shared" si="47"/>
        <v>0</v>
      </c>
      <c r="S206" s="41" t="e">
        <f t="shared" si="48"/>
        <v>#DIV/0!</v>
      </c>
      <c r="T206" s="47">
        <f t="shared" si="51"/>
        <v>0</v>
      </c>
      <c r="U206" s="28">
        <f t="shared" si="52"/>
        <v>0</v>
      </c>
      <c r="V206" s="48" t="e">
        <f t="shared" si="53"/>
        <v>#DIV/0!</v>
      </c>
      <c r="W206" s="71">
        <v>7.9</v>
      </c>
      <c r="X206" s="31">
        <f t="shared" si="54"/>
        <v>79</v>
      </c>
      <c r="Y206" s="37">
        <f t="shared" si="55"/>
        <v>1</v>
      </c>
      <c r="Z206" s="74">
        <v>7.9</v>
      </c>
      <c r="AA206" s="77"/>
      <c r="AB206" s="77"/>
      <c r="AC206" s="183"/>
      <c r="AF206" s="77"/>
      <c r="AG206" s="77"/>
      <c r="AH206" s="145"/>
      <c r="AI206" s="77"/>
      <c r="AJ206" s="183"/>
      <c r="AK206" s="33"/>
      <c r="AL206" s="33"/>
      <c r="AM206" s="33"/>
    </row>
    <row r="207" spans="1:43">
      <c r="A207" s="461" t="s">
        <v>352</v>
      </c>
      <c r="B207" s="461" t="s">
        <v>1736</v>
      </c>
      <c r="C207" s="464" t="s">
        <v>1623</v>
      </c>
      <c r="D207" s="465">
        <v>18</v>
      </c>
      <c r="E207" s="465" t="s">
        <v>2</v>
      </c>
      <c r="F207" s="509"/>
      <c r="G207" s="509"/>
      <c r="H207" s="509"/>
      <c r="I207" s="465">
        <v>32</v>
      </c>
      <c r="J207" s="465"/>
      <c r="K207" s="34">
        <f t="shared" si="56"/>
        <v>0</v>
      </c>
      <c r="L207" s="465"/>
      <c r="M207" s="522"/>
      <c r="N207" s="541">
        <v>0</v>
      </c>
      <c r="O207" s="522"/>
      <c r="P207" s="468">
        <f t="shared" si="49"/>
        <v>0</v>
      </c>
      <c r="Q207" s="469">
        <f t="shared" si="50"/>
        <v>0</v>
      </c>
      <c r="R207" s="472">
        <f t="shared" si="47"/>
        <v>0</v>
      </c>
      <c r="S207" s="475" t="e">
        <f t="shared" si="48"/>
        <v>#DIV/0!</v>
      </c>
      <c r="T207" s="358">
        <f t="shared" si="51"/>
        <v>0</v>
      </c>
      <c r="U207" s="28">
        <f t="shared" si="52"/>
        <v>0</v>
      </c>
      <c r="V207" s="48" t="e">
        <f t="shared" si="53"/>
        <v>#DIV/0!</v>
      </c>
      <c r="W207" s="478">
        <v>4.7149999999999999</v>
      </c>
      <c r="X207" s="480">
        <f t="shared" si="54"/>
        <v>84.87</v>
      </c>
      <c r="Y207" s="481">
        <v>0.3</v>
      </c>
      <c r="Z207" s="74"/>
      <c r="AA207" s="77"/>
      <c r="AB207" s="77"/>
      <c r="AC207" s="77"/>
      <c r="AD207" s="10"/>
      <c r="AE207" s="10"/>
      <c r="AF207" s="33"/>
      <c r="AG207" s="33"/>
      <c r="AH207" s="145"/>
      <c r="AI207" s="77"/>
      <c r="AJ207" s="483"/>
      <c r="AK207" s="33"/>
      <c r="AL207" s="33"/>
      <c r="AM207" s="33"/>
      <c r="AN207" s="10"/>
      <c r="AO207" s="10"/>
      <c r="AP207" s="10"/>
      <c r="AQ207" s="10"/>
    </row>
    <row r="208" spans="1:43">
      <c r="A208" s="33" t="s">
        <v>352</v>
      </c>
      <c r="B208" s="33" t="s">
        <v>1478</v>
      </c>
      <c r="C208" s="54" t="s">
        <v>1195</v>
      </c>
      <c r="D208" s="189">
        <v>24</v>
      </c>
      <c r="E208" s="189" t="s">
        <v>2</v>
      </c>
      <c r="F208" s="509"/>
      <c r="G208" s="509"/>
      <c r="H208" s="509"/>
      <c r="I208" s="189">
        <v>32</v>
      </c>
      <c r="J208" s="189"/>
      <c r="K208" s="34">
        <f t="shared" si="56"/>
        <v>0</v>
      </c>
      <c r="L208" s="189"/>
      <c r="M208" s="522"/>
      <c r="N208" s="541">
        <v>0</v>
      </c>
      <c r="O208" s="522"/>
      <c r="P208" s="57">
        <f t="shared" si="49"/>
        <v>0</v>
      </c>
      <c r="Q208" s="42">
        <f t="shared" si="50"/>
        <v>0</v>
      </c>
      <c r="R208" s="27">
        <f t="shared" si="47"/>
        <v>0</v>
      </c>
      <c r="S208" s="41" t="e">
        <f t="shared" si="48"/>
        <v>#DIV/0!</v>
      </c>
      <c r="T208" s="47">
        <f t="shared" si="51"/>
        <v>0</v>
      </c>
      <c r="U208" s="28">
        <f t="shared" si="52"/>
        <v>0</v>
      </c>
      <c r="V208" s="48" t="e">
        <f t="shared" si="53"/>
        <v>#DIV/0!</v>
      </c>
      <c r="W208" s="71">
        <v>4.6500000000000004</v>
      </c>
      <c r="X208" s="31">
        <f t="shared" si="54"/>
        <v>111.60000000000001</v>
      </c>
      <c r="Y208" s="37">
        <f t="shared" ref="Y208:Y223" si="57">(W208-O208)/W208</f>
        <v>1</v>
      </c>
      <c r="Z208" s="74">
        <v>4.6500000000000004</v>
      </c>
      <c r="AA208" s="77"/>
      <c r="AB208" s="77"/>
      <c r="AC208" s="77"/>
      <c r="AF208" s="77"/>
      <c r="AG208" s="77"/>
      <c r="AH208" s="145"/>
      <c r="AI208" s="77"/>
      <c r="AJ208" s="183"/>
      <c r="AK208" s="33"/>
      <c r="AL208" s="33"/>
      <c r="AM208" s="33"/>
    </row>
    <row r="209" spans="1:43">
      <c r="A209" s="461" t="s">
        <v>352</v>
      </c>
      <c r="B209" s="461" t="s">
        <v>1737</v>
      </c>
      <c r="C209" s="464" t="s">
        <v>1601</v>
      </c>
      <c r="D209" s="465">
        <v>30</v>
      </c>
      <c r="E209" s="465" t="s">
        <v>2</v>
      </c>
      <c r="F209" s="509"/>
      <c r="G209" s="509"/>
      <c r="H209" s="509"/>
      <c r="I209" s="465">
        <v>32</v>
      </c>
      <c r="J209" s="465"/>
      <c r="K209" s="34">
        <f t="shared" si="56"/>
        <v>0</v>
      </c>
      <c r="L209" s="465"/>
      <c r="M209" s="522"/>
      <c r="N209" s="541">
        <v>0</v>
      </c>
      <c r="O209" s="522"/>
      <c r="P209" s="468">
        <f t="shared" si="49"/>
        <v>0</v>
      </c>
      <c r="Q209" s="469">
        <f t="shared" si="50"/>
        <v>0</v>
      </c>
      <c r="R209" s="472">
        <f t="shared" si="47"/>
        <v>0</v>
      </c>
      <c r="S209" s="475" t="e">
        <f t="shared" si="48"/>
        <v>#DIV/0!</v>
      </c>
      <c r="T209" s="47">
        <f t="shared" si="51"/>
        <v>0</v>
      </c>
      <c r="U209" s="28">
        <f t="shared" si="52"/>
        <v>0</v>
      </c>
      <c r="V209" s="48" t="e">
        <f t="shared" si="53"/>
        <v>#DIV/0!</v>
      </c>
      <c r="W209" s="476">
        <v>3.29</v>
      </c>
      <c r="X209" s="480">
        <f t="shared" si="54"/>
        <v>98.7</v>
      </c>
      <c r="Y209" s="481">
        <f t="shared" si="57"/>
        <v>1</v>
      </c>
      <c r="Z209" s="74"/>
      <c r="AA209" s="77"/>
      <c r="AB209" s="77"/>
      <c r="AC209" s="77"/>
      <c r="AD209" s="10"/>
      <c r="AE209" s="10"/>
      <c r="AF209" s="33"/>
      <c r="AG209" s="33"/>
      <c r="AH209" s="145"/>
      <c r="AI209" s="77"/>
      <c r="AJ209" s="183"/>
      <c r="AK209" s="33"/>
      <c r="AL209" s="33"/>
      <c r="AM209" s="33"/>
      <c r="AN209" s="10"/>
      <c r="AO209" s="10"/>
      <c r="AP209" s="10"/>
      <c r="AQ209" s="10"/>
    </row>
    <row r="210" spans="1:43">
      <c r="A210" s="33" t="s">
        <v>352</v>
      </c>
      <c r="B210" s="33" t="s">
        <v>1480</v>
      </c>
      <c r="C210" s="54" t="s">
        <v>1196</v>
      </c>
      <c r="D210" s="189">
        <v>24</v>
      </c>
      <c r="E210" s="189" t="s">
        <v>2</v>
      </c>
      <c r="F210" s="509"/>
      <c r="G210" s="509"/>
      <c r="H210" s="509"/>
      <c r="I210" s="189">
        <v>32</v>
      </c>
      <c r="J210" s="189"/>
      <c r="K210" s="34">
        <f t="shared" si="56"/>
        <v>0</v>
      </c>
      <c r="L210" s="189"/>
      <c r="M210" s="522"/>
      <c r="N210" s="541">
        <v>0</v>
      </c>
      <c r="O210" s="522"/>
      <c r="P210" s="57">
        <f t="shared" si="49"/>
        <v>0</v>
      </c>
      <c r="Q210" s="42">
        <f t="shared" si="50"/>
        <v>0</v>
      </c>
      <c r="R210" s="27">
        <f t="shared" si="47"/>
        <v>0</v>
      </c>
      <c r="S210" s="41" t="e">
        <f t="shared" si="48"/>
        <v>#DIV/0!</v>
      </c>
      <c r="T210" s="47">
        <f t="shared" si="51"/>
        <v>0</v>
      </c>
      <c r="U210" s="28">
        <f t="shared" si="52"/>
        <v>0</v>
      </c>
      <c r="V210" s="48" t="e">
        <f t="shared" si="53"/>
        <v>#DIV/0!</v>
      </c>
      <c r="W210" s="71">
        <v>4.6500000000000004</v>
      </c>
      <c r="X210" s="31">
        <f t="shared" si="54"/>
        <v>111.60000000000001</v>
      </c>
      <c r="Y210" s="37">
        <f t="shared" si="57"/>
        <v>1</v>
      </c>
      <c r="Z210" s="74">
        <v>4.6500000000000004</v>
      </c>
      <c r="AA210" s="77"/>
      <c r="AB210" s="77"/>
      <c r="AC210" s="77"/>
      <c r="AF210" s="77"/>
      <c r="AG210" s="77"/>
      <c r="AH210" s="145"/>
      <c r="AI210" s="77"/>
      <c r="AJ210" s="183"/>
      <c r="AK210" s="33"/>
      <c r="AL210" s="33"/>
      <c r="AM210" s="33"/>
    </row>
    <row r="211" spans="1:43">
      <c r="A211" s="461" t="s">
        <v>352</v>
      </c>
      <c r="B211" s="461" t="s">
        <v>1738</v>
      </c>
      <c r="C211" s="464" t="s">
        <v>1602</v>
      </c>
      <c r="D211" s="465">
        <v>30</v>
      </c>
      <c r="E211" s="465" t="s">
        <v>2</v>
      </c>
      <c r="F211" s="510">
        <v>50</v>
      </c>
      <c r="G211" s="510">
        <v>39</v>
      </c>
      <c r="H211" s="510">
        <v>38</v>
      </c>
      <c r="I211" s="465">
        <v>32</v>
      </c>
      <c r="J211" s="465"/>
      <c r="K211" s="34">
        <f t="shared" si="56"/>
        <v>3.3964858670741025</v>
      </c>
      <c r="L211" s="465"/>
      <c r="M211" s="522">
        <v>0.89260000000000006</v>
      </c>
      <c r="N211" s="541">
        <v>1.2407140000000001</v>
      </c>
      <c r="O211" s="522"/>
      <c r="P211" s="468">
        <f t="shared" si="49"/>
        <v>0</v>
      </c>
      <c r="Q211" s="469">
        <f t="shared" si="50"/>
        <v>0</v>
      </c>
      <c r="R211" s="472">
        <f t="shared" si="47"/>
        <v>0</v>
      </c>
      <c r="S211" s="475" t="e">
        <f t="shared" si="48"/>
        <v>#DIV/0!</v>
      </c>
      <c r="T211" s="47">
        <f t="shared" si="51"/>
        <v>0</v>
      </c>
      <c r="U211" s="28">
        <f t="shared" si="52"/>
        <v>0</v>
      </c>
      <c r="V211" s="48" t="e">
        <f t="shared" si="53"/>
        <v>#DIV/0!</v>
      </c>
      <c r="W211" s="476">
        <v>3.29</v>
      </c>
      <c r="X211" s="480">
        <f t="shared" si="54"/>
        <v>98.7</v>
      </c>
      <c r="Y211" s="481">
        <f t="shared" si="57"/>
        <v>1</v>
      </c>
      <c r="Z211" s="74"/>
      <c r="AA211" s="77"/>
      <c r="AB211" s="77"/>
      <c r="AC211" s="77"/>
      <c r="AD211" s="10"/>
      <c r="AE211" s="10"/>
      <c r="AF211" s="33"/>
      <c r="AG211" s="33"/>
      <c r="AH211" s="145"/>
      <c r="AI211" s="77"/>
      <c r="AJ211" s="183"/>
      <c r="AK211" s="33"/>
      <c r="AL211" s="33"/>
      <c r="AM211" s="33"/>
      <c r="AN211" s="10"/>
      <c r="AO211" s="10"/>
      <c r="AP211" s="10"/>
      <c r="AQ211" s="10"/>
    </row>
    <row r="212" spans="1:43">
      <c r="A212" s="33" t="s">
        <v>352</v>
      </c>
      <c r="B212" s="33" t="s">
        <v>1484</v>
      </c>
      <c r="C212" s="54" t="s">
        <v>1197</v>
      </c>
      <c r="D212" s="189">
        <v>24</v>
      </c>
      <c r="E212" s="189" t="s">
        <v>2</v>
      </c>
      <c r="F212" s="510">
        <v>50</v>
      </c>
      <c r="G212" s="510">
        <v>39</v>
      </c>
      <c r="H212" s="510">
        <v>38</v>
      </c>
      <c r="I212" s="189">
        <v>32</v>
      </c>
      <c r="J212" s="189"/>
      <c r="K212" s="34">
        <f t="shared" si="56"/>
        <v>3.3964858670741025</v>
      </c>
      <c r="L212" s="189"/>
      <c r="M212" s="522">
        <v>0.96153999999999984</v>
      </c>
      <c r="N212" s="541">
        <v>1.3365405999999997</v>
      </c>
      <c r="O212" s="522"/>
      <c r="P212" s="57">
        <f t="shared" si="49"/>
        <v>0</v>
      </c>
      <c r="Q212" s="42">
        <f t="shared" si="50"/>
        <v>0</v>
      </c>
      <c r="R212" s="27">
        <f t="shared" si="47"/>
        <v>0</v>
      </c>
      <c r="S212" s="41" t="e">
        <f t="shared" si="48"/>
        <v>#DIV/0!</v>
      </c>
      <c r="T212" s="47">
        <f t="shared" si="51"/>
        <v>0</v>
      </c>
      <c r="U212" s="28">
        <f t="shared" si="52"/>
        <v>0</v>
      </c>
      <c r="V212" s="48" t="e">
        <f t="shared" si="53"/>
        <v>#DIV/0!</v>
      </c>
      <c r="W212" s="71">
        <v>4.6500000000000004</v>
      </c>
      <c r="X212" s="31">
        <f t="shared" si="54"/>
        <v>111.60000000000001</v>
      </c>
      <c r="Y212" s="37">
        <f t="shared" si="57"/>
        <v>1</v>
      </c>
      <c r="Z212" s="74">
        <v>4.6500000000000004</v>
      </c>
      <c r="AA212" s="77"/>
      <c r="AB212" s="77"/>
      <c r="AC212" s="77"/>
      <c r="AF212" s="77"/>
      <c r="AG212" s="77"/>
      <c r="AH212" s="145"/>
      <c r="AI212" s="77"/>
      <c r="AJ212" s="183"/>
      <c r="AK212" s="33"/>
      <c r="AL212" s="33"/>
      <c r="AM212" s="33"/>
    </row>
    <row r="213" spans="1:43">
      <c r="A213" s="461" t="s">
        <v>352</v>
      </c>
      <c r="B213" s="461" t="s">
        <v>1739</v>
      </c>
      <c r="C213" s="464" t="s">
        <v>1603</v>
      </c>
      <c r="D213" s="465">
        <v>30</v>
      </c>
      <c r="E213" s="465" t="s">
        <v>2</v>
      </c>
      <c r="F213" s="510">
        <v>50</v>
      </c>
      <c r="G213" s="510">
        <v>39</v>
      </c>
      <c r="H213" s="510">
        <v>38</v>
      </c>
      <c r="I213" s="465">
        <v>32</v>
      </c>
      <c r="J213" s="465"/>
      <c r="K213" s="34">
        <f t="shared" si="56"/>
        <v>3.3964858670741025</v>
      </c>
      <c r="L213" s="465"/>
      <c r="M213" s="522">
        <v>1.00417</v>
      </c>
      <c r="N213" s="541">
        <v>1.3957963</v>
      </c>
      <c r="O213" s="522"/>
      <c r="P213" s="468">
        <f t="shared" si="49"/>
        <v>0</v>
      </c>
      <c r="Q213" s="469">
        <f t="shared" si="50"/>
        <v>0</v>
      </c>
      <c r="R213" s="472">
        <f t="shared" si="47"/>
        <v>0</v>
      </c>
      <c r="S213" s="475" t="e">
        <f t="shared" si="48"/>
        <v>#DIV/0!</v>
      </c>
      <c r="T213" s="47">
        <f t="shared" si="51"/>
        <v>0</v>
      </c>
      <c r="U213" s="28">
        <f t="shared" si="52"/>
        <v>0</v>
      </c>
      <c r="V213" s="48" t="e">
        <f t="shared" si="53"/>
        <v>#DIV/0!</v>
      </c>
      <c r="W213" s="476">
        <v>3.29</v>
      </c>
      <c r="X213" s="480">
        <f t="shared" si="54"/>
        <v>98.7</v>
      </c>
      <c r="Y213" s="481">
        <f t="shared" si="57"/>
        <v>1</v>
      </c>
      <c r="Z213" s="74"/>
      <c r="AA213" s="77"/>
      <c r="AB213" s="77"/>
      <c r="AC213" s="77"/>
      <c r="AD213" s="10"/>
      <c r="AE213" s="10"/>
      <c r="AF213" s="33"/>
      <c r="AG213" s="33"/>
      <c r="AH213" s="145"/>
      <c r="AI213" s="77"/>
      <c r="AJ213" s="183"/>
      <c r="AK213" s="33"/>
      <c r="AL213" s="33"/>
      <c r="AM213" s="33"/>
      <c r="AN213" s="10"/>
      <c r="AO213" s="10"/>
      <c r="AP213" s="10"/>
      <c r="AQ213" s="10"/>
    </row>
    <row r="214" spans="1:43">
      <c r="A214" s="33" t="s">
        <v>352</v>
      </c>
      <c r="B214" s="33" t="s">
        <v>1486</v>
      </c>
      <c r="C214" s="54" t="s">
        <v>1198</v>
      </c>
      <c r="D214" s="189">
        <v>24</v>
      </c>
      <c r="E214" s="189" t="s">
        <v>2</v>
      </c>
      <c r="F214" s="510">
        <v>50</v>
      </c>
      <c r="G214" s="510">
        <v>39</v>
      </c>
      <c r="H214" s="510">
        <v>38</v>
      </c>
      <c r="I214" s="189">
        <v>32</v>
      </c>
      <c r="J214" s="189"/>
      <c r="K214" s="34">
        <f t="shared" si="56"/>
        <v>3.3964858670741025</v>
      </c>
      <c r="L214" s="189"/>
      <c r="M214" s="522">
        <v>1.09934</v>
      </c>
      <c r="N214" s="541">
        <v>1.5280825999999998</v>
      </c>
      <c r="O214" s="522"/>
      <c r="P214" s="57">
        <f t="shared" si="49"/>
        <v>0</v>
      </c>
      <c r="Q214" s="42">
        <f t="shared" si="50"/>
        <v>0</v>
      </c>
      <c r="R214" s="27">
        <f t="shared" si="47"/>
        <v>0</v>
      </c>
      <c r="S214" s="41" t="e">
        <f t="shared" si="48"/>
        <v>#DIV/0!</v>
      </c>
      <c r="T214" s="47">
        <f t="shared" si="51"/>
        <v>0</v>
      </c>
      <c r="U214" s="28">
        <f t="shared" si="52"/>
        <v>0</v>
      </c>
      <c r="V214" s="48" t="e">
        <f t="shared" si="53"/>
        <v>#DIV/0!</v>
      </c>
      <c r="W214" s="71">
        <v>4.6500000000000004</v>
      </c>
      <c r="X214" s="31">
        <f t="shared" si="54"/>
        <v>111.60000000000001</v>
      </c>
      <c r="Y214" s="37">
        <f t="shared" si="57"/>
        <v>1</v>
      </c>
      <c r="Z214" s="74">
        <v>4.6500000000000004</v>
      </c>
      <c r="AA214" s="77"/>
      <c r="AB214" s="77"/>
      <c r="AC214" s="77"/>
      <c r="AF214" s="77"/>
      <c r="AG214" s="77"/>
      <c r="AH214" s="145"/>
      <c r="AI214" s="77"/>
      <c r="AJ214" s="183"/>
      <c r="AK214" s="33"/>
      <c r="AL214" s="33"/>
      <c r="AM214" s="33"/>
    </row>
    <row r="215" spans="1:43">
      <c r="A215" s="461" t="s">
        <v>352</v>
      </c>
      <c r="B215" s="461" t="s">
        <v>1740</v>
      </c>
      <c r="C215" s="464" t="s">
        <v>1604</v>
      </c>
      <c r="D215" s="465">
        <v>30</v>
      </c>
      <c r="E215" s="465" t="s">
        <v>2</v>
      </c>
      <c r="F215" s="509"/>
      <c r="G215" s="509"/>
      <c r="H215" s="509"/>
      <c r="I215" s="465">
        <v>32</v>
      </c>
      <c r="J215" s="465"/>
      <c r="K215" s="34">
        <f t="shared" si="56"/>
        <v>0</v>
      </c>
      <c r="L215" s="465"/>
      <c r="M215" s="522"/>
      <c r="N215" s="541">
        <v>0</v>
      </c>
      <c r="O215" s="522"/>
      <c r="P215" s="468">
        <f t="shared" si="49"/>
        <v>0</v>
      </c>
      <c r="Q215" s="469">
        <f t="shared" si="50"/>
        <v>0</v>
      </c>
      <c r="R215" s="472">
        <f t="shared" si="47"/>
        <v>0</v>
      </c>
      <c r="S215" s="475" t="e">
        <f t="shared" si="48"/>
        <v>#DIV/0!</v>
      </c>
      <c r="T215" s="47">
        <f t="shared" si="51"/>
        <v>0</v>
      </c>
      <c r="U215" s="28">
        <f t="shared" si="52"/>
        <v>0</v>
      </c>
      <c r="V215" s="48" t="e">
        <f t="shared" si="53"/>
        <v>#DIV/0!</v>
      </c>
      <c r="W215" s="476">
        <v>3.29</v>
      </c>
      <c r="X215" s="480">
        <f t="shared" si="54"/>
        <v>98.7</v>
      </c>
      <c r="Y215" s="481">
        <f t="shared" si="57"/>
        <v>1</v>
      </c>
      <c r="Z215" s="74"/>
      <c r="AA215" s="77"/>
      <c r="AB215" s="77"/>
      <c r="AC215" s="77"/>
      <c r="AD215" s="10"/>
      <c r="AE215" s="10"/>
      <c r="AF215" s="33"/>
      <c r="AG215" s="33"/>
      <c r="AH215" s="145"/>
      <c r="AI215" s="77"/>
      <c r="AJ215" s="183"/>
      <c r="AK215" s="33"/>
      <c r="AL215" s="33"/>
      <c r="AM215" s="33"/>
      <c r="AN215" s="10"/>
      <c r="AO215" s="10"/>
      <c r="AP215" s="10"/>
      <c r="AQ215" s="10"/>
    </row>
    <row r="216" spans="1:43">
      <c r="A216" s="199" t="s">
        <v>352</v>
      </c>
      <c r="B216" s="199" t="s">
        <v>1718</v>
      </c>
      <c r="C216" s="54" t="s">
        <v>1199</v>
      </c>
      <c r="D216" s="189">
        <v>10</v>
      </c>
      <c r="E216" s="189" t="s">
        <v>2</v>
      </c>
      <c r="F216" s="509"/>
      <c r="G216" s="509"/>
      <c r="H216" s="509"/>
      <c r="I216" s="189">
        <v>32</v>
      </c>
      <c r="J216" s="189"/>
      <c r="K216" s="34">
        <f t="shared" si="56"/>
        <v>0</v>
      </c>
      <c r="L216" s="189"/>
      <c r="M216" s="522"/>
      <c r="N216" s="541">
        <v>0</v>
      </c>
      <c r="O216" s="522"/>
      <c r="P216" s="57">
        <f t="shared" si="49"/>
        <v>0</v>
      </c>
      <c r="Q216" s="42">
        <f t="shared" si="50"/>
        <v>0</v>
      </c>
      <c r="R216" s="27">
        <f t="shared" si="47"/>
        <v>0</v>
      </c>
      <c r="S216" s="41" t="e">
        <f t="shared" si="48"/>
        <v>#DIV/0!</v>
      </c>
      <c r="T216" s="47">
        <f t="shared" si="51"/>
        <v>0</v>
      </c>
      <c r="U216" s="28">
        <f t="shared" si="52"/>
        <v>0</v>
      </c>
      <c r="V216" s="48" t="e">
        <f t="shared" si="53"/>
        <v>#DIV/0!</v>
      </c>
      <c r="W216" s="71">
        <v>9.3000000000000007</v>
      </c>
      <c r="X216" s="31">
        <f t="shared" si="54"/>
        <v>93</v>
      </c>
      <c r="Y216" s="37">
        <f t="shared" si="57"/>
        <v>1</v>
      </c>
      <c r="Z216" s="74">
        <v>9.3000000000000007</v>
      </c>
      <c r="AA216" s="77"/>
      <c r="AB216" s="77"/>
      <c r="AC216" s="77"/>
      <c r="AD216" s="10"/>
      <c r="AE216" s="10"/>
      <c r="AF216" s="77"/>
      <c r="AG216" s="77"/>
      <c r="AH216" s="145"/>
      <c r="AI216" s="77"/>
      <c r="AJ216" s="183"/>
      <c r="AK216" s="33"/>
      <c r="AL216" s="33"/>
      <c r="AM216" s="33"/>
      <c r="AN216" s="10"/>
      <c r="AO216" s="10"/>
      <c r="AP216" s="10"/>
      <c r="AQ216" s="10"/>
    </row>
    <row r="217" spans="1:43">
      <c r="A217" s="199" t="s">
        <v>352</v>
      </c>
      <c r="B217" s="199" t="s">
        <v>1731</v>
      </c>
      <c r="C217" s="54" t="s">
        <v>1212</v>
      </c>
      <c r="D217" s="189">
        <v>30</v>
      </c>
      <c r="E217" s="189" t="s">
        <v>2</v>
      </c>
      <c r="F217" s="509"/>
      <c r="G217" s="509"/>
      <c r="H217" s="509"/>
      <c r="I217" s="189">
        <v>32</v>
      </c>
      <c r="J217" s="189"/>
      <c r="K217" s="34">
        <f t="shared" si="56"/>
        <v>0</v>
      </c>
      <c r="L217" s="189"/>
      <c r="M217" s="522"/>
      <c r="N217" s="541">
        <v>0</v>
      </c>
      <c r="O217" s="522"/>
      <c r="P217" s="57">
        <f t="shared" si="49"/>
        <v>0</v>
      </c>
      <c r="Q217" s="42">
        <f t="shared" si="50"/>
        <v>0</v>
      </c>
      <c r="R217" s="27">
        <f t="shared" si="47"/>
        <v>0</v>
      </c>
      <c r="S217" s="41" t="e">
        <f t="shared" si="48"/>
        <v>#DIV/0!</v>
      </c>
      <c r="T217" s="47">
        <f t="shared" si="51"/>
        <v>0</v>
      </c>
      <c r="U217" s="28">
        <f t="shared" si="52"/>
        <v>0</v>
      </c>
      <c r="V217" s="48" t="e">
        <f t="shared" si="53"/>
        <v>#DIV/0!</v>
      </c>
      <c r="W217" s="71">
        <v>1.6</v>
      </c>
      <c r="X217" s="31">
        <f t="shared" si="54"/>
        <v>48</v>
      </c>
      <c r="Y217" s="37">
        <f t="shared" si="57"/>
        <v>1</v>
      </c>
      <c r="Z217" s="74">
        <v>1.6</v>
      </c>
      <c r="AA217" s="77"/>
      <c r="AB217" s="77"/>
      <c r="AC217" s="77"/>
      <c r="AD217" s="10"/>
      <c r="AE217" s="10"/>
      <c r="AF217" s="33"/>
      <c r="AG217" s="33"/>
      <c r="AH217" s="145"/>
      <c r="AI217" s="77"/>
      <c r="AJ217" s="183"/>
      <c r="AK217" s="33"/>
      <c r="AL217" s="33"/>
      <c r="AM217" s="33"/>
      <c r="AN217" s="10"/>
      <c r="AO217" s="10"/>
      <c r="AP217" s="10"/>
      <c r="AQ217" s="10"/>
    </row>
    <row r="218" spans="1:43">
      <c r="A218" s="33" t="s">
        <v>352</v>
      </c>
      <c r="B218" s="33" t="s">
        <v>1727</v>
      </c>
      <c r="C218" s="54" t="s">
        <v>1208</v>
      </c>
      <c r="D218" s="189">
        <v>24</v>
      </c>
      <c r="E218" s="189" t="s">
        <v>2</v>
      </c>
      <c r="F218" s="509"/>
      <c r="G218" s="509"/>
      <c r="H218" s="509"/>
      <c r="I218" s="189">
        <v>32</v>
      </c>
      <c r="J218" s="189"/>
      <c r="K218" s="34">
        <f t="shared" si="56"/>
        <v>0</v>
      </c>
      <c r="L218" s="189"/>
      <c r="M218" s="522"/>
      <c r="N218" s="541">
        <v>0</v>
      </c>
      <c r="O218" s="522"/>
      <c r="P218" s="57">
        <f t="shared" si="49"/>
        <v>0</v>
      </c>
      <c r="Q218" s="42">
        <f t="shared" si="50"/>
        <v>0</v>
      </c>
      <c r="R218" s="27">
        <f t="shared" si="47"/>
        <v>0</v>
      </c>
      <c r="S218" s="41" t="e">
        <f t="shared" si="48"/>
        <v>#DIV/0!</v>
      </c>
      <c r="T218" s="47">
        <f t="shared" si="51"/>
        <v>0</v>
      </c>
      <c r="U218" s="28">
        <f t="shared" si="52"/>
        <v>0</v>
      </c>
      <c r="V218" s="48" t="e">
        <f t="shared" si="53"/>
        <v>#DIV/0!</v>
      </c>
      <c r="W218" s="71">
        <v>6.75</v>
      </c>
      <c r="X218" s="31">
        <f t="shared" si="54"/>
        <v>162</v>
      </c>
      <c r="Y218" s="37">
        <f t="shared" si="57"/>
        <v>1</v>
      </c>
      <c r="Z218" s="74">
        <v>6.75</v>
      </c>
      <c r="AA218" s="77"/>
      <c r="AB218" s="77"/>
      <c r="AC218" s="77">
        <v>6.5</v>
      </c>
      <c r="AF218" s="77"/>
      <c r="AG218" s="77"/>
      <c r="AH218" s="145"/>
      <c r="AI218" s="77"/>
      <c r="AJ218" s="183"/>
      <c r="AK218" s="33"/>
      <c r="AL218" s="33"/>
      <c r="AM218" s="33"/>
    </row>
    <row r="219" spans="1:43">
      <c r="A219" s="202" t="s">
        <v>352</v>
      </c>
      <c r="B219" s="202" t="s">
        <v>1728</v>
      </c>
      <c r="C219" s="54" t="s">
        <v>1209</v>
      </c>
      <c r="D219" s="189">
        <v>24</v>
      </c>
      <c r="E219" s="189" t="s">
        <v>2</v>
      </c>
      <c r="F219" s="509"/>
      <c r="G219" s="509"/>
      <c r="H219" s="509"/>
      <c r="I219" s="189">
        <v>32</v>
      </c>
      <c r="J219" s="189"/>
      <c r="K219" s="34">
        <f t="shared" si="56"/>
        <v>0</v>
      </c>
      <c r="L219" s="189"/>
      <c r="M219" s="522"/>
      <c r="N219" s="541">
        <v>0</v>
      </c>
      <c r="O219" s="522"/>
      <c r="P219" s="57">
        <f t="shared" si="49"/>
        <v>0</v>
      </c>
      <c r="Q219" s="42">
        <f t="shared" si="50"/>
        <v>0</v>
      </c>
      <c r="R219" s="27">
        <f t="shared" si="47"/>
        <v>0</v>
      </c>
      <c r="S219" s="41" t="e">
        <f t="shared" si="48"/>
        <v>#DIV/0!</v>
      </c>
      <c r="T219" s="47">
        <f t="shared" si="51"/>
        <v>0</v>
      </c>
      <c r="U219" s="28">
        <f t="shared" si="52"/>
        <v>0</v>
      </c>
      <c r="V219" s="48" t="e">
        <f t="shared" si="53"/>
        <v>#DIV/0!</v>
      </c>
      <c r="W219" s="71">
        <v>6.75</v>
      </c>
      <c r="X219" s="31">
        <f t="shared" si="54"/>
        <v>162</v>
      </c>
      <c r="Y219" s="37">
        <f t="shared" si="57"/>
        <v>1</v>
      </c>
      <c r="Z219" s="74">
        <v>6.75</v>
      </c>
      <c r="AA219" s="77"/>
      <c r="AB219" s="77"/>
      <c r="AC219" s="77">
        <v>6.5</v>
      </c>
      <c r="AF219" s="77" t="s">
        <v>390</v>
      </c>
      <c r="AG219" s="77">
        <f>VLOOKUP(AF219,'CFN HPV'!A:L,12,FALSE)</f>
        <v>8</v>
      </c>
      <c r="AH219" s="145">
        <f>Q219</f>
        <v>0</v>
      </c>
      <c r="AI219" s="77">
        <f>AH219-AG219</f>
        <v>-8</v>
      </c>
      <c r="AJ219" s="183"/>
      <c r="AK219" s="33"/>
      <c r="AL219" s="33"/>
      <c r="AM219" s="33"/>
    </row>
    <row r="220" spans="1:43">
      <c r="A220" s="199" t="s">
        <v>352</v>
      </c>
      <c r="B220" s="199" t="s">
        <v>1729</v>
      </c>
      <c r="C220" s="54" t="s">
        <v>1210</v>
      </c>
      <c r="D220" s="189">
        <v>24</v>
      </c>
      <c r="E220" s="189" t="s">
        <v>2</v>
      </c>
      <c r="F220" s="509"/>
      <c r="G220" s="509"/>
      <c r="H220" s="509"/>
      <c r="I220" s="189">
        <v>32</v>
      </c>
      <c r="J220" s="189"/>
      <c r="K220" s="34">
        <f t="shared" si="56"/>
        <v>0</v>
      </c>
      <c r="L220" s="189"/>
      <c r="M220" s="522"/>
      <c r="N220" s="541">
        <v>0</v>
      </c>
      <c r="O220" s="522"/>
      <c r="P220" s="57">
        <f t="shared" si="49"/>
        <v>0</v>
      </c>
      <c r="Q220" s="42">
        <f t="shared" si="50"/>
        <v>0</v>
      </c>
      <c r="R220" s="27">
        <f t="shared" si="47"/>
        <v>0</v>
      </c>
      <c r="S220" s="41" t="e">
        <f t="shared" si="48"/>
        <v>#DIV/0!</v>
      </c>
      <c r="T220" s="47">
        <f t="shared" si="51"/>
        <v>0</v>
      </c>
      <c r="U220" s="28">
        <f t="shared" si="52"/>
        <v>0</v>
      </c>
      <c r="V220" s="48" t="e">
        <f t="shared" si="53"/>
        <v>#DIV/0!</v>
      </c>
      <c r="W220" s="71">
        <v>6.75</v>
      </c>
      <c r="X220" s="31">
        <f t="shared" si="54"/>
        <v>162</v>
      </c>
      <c r="Y220" s="37">
        <f t="shared" si="57"/>
        <v>1</v>
      </c>
      <c r="Z220" s="74">
        <v>6.75</v>
      </c>
      <c r="AA220" s="77"/>
      <c r="AB220" s="77"/>
      <c r="AC220" s="77">
        <v>6.5</v>
      </c>
      <c r="AF220" s="77" t="s">
        <v>391</v>
      </c>
      <c r="AG220" s="77">
        <f>VLOOKUP(AF220,'CFN HPV'!A:L,12,FALSE)</f>
        <v>8.75</v>
      </c>
      <c r="AH220" s="145">
        <f>Q220</f>
        <v>0</v>
      </c>
      <c r="AI220" s="77">
        <f>AH220-AG220</f>
        <v>-8.75</v>
      </c>
      <c r="AJ220" s="183"/>
      <c r="AK220" s="33"/>
      <c r="AL220" s="33"/>
      <c r="AM220" s="33"/>
    </row>
    <row r="221" spans="1:43">
      <c r="A221" s="33" t="s">
        <v>352</v>
      </c>
      <c r="B221" s="33" t="s">
        <v>1730</v>
      </c>
      <c r="C221" s="54" t="s">
        <v>1211</v>
      </c>
      <c r="D221" s="189">
        <v>24</v>
      </c>
      <c r="E221" s="189" t="s">
        <v>2</v>
      </c>
      <c r="F221" s="509"/>
      <c r="G221" s="509"/>
      <c r="H221" s="509"/>
      <c r="I221" s="189">
        <v>32</v>
      </c>
      <c r="J221" s="189"/>
      <c r="K221" s="34">
        <f t="shared" si="56"/>
        <v>0</v>
      </c>
      <c r="L221" s="189"/>
      <c r="M221" s="522"/>
      <c r="N221" s="541">
        <v>0</v>
      </c>
      <c r="O221" s="522"/>
      <c r="P221" s="57">
        <f t="shared" si="49"/>
        <v>0</v>
      </c>
      <c r="Q221" s="42">
        <f t="shared" si="50"/>
        <v>0</v>
      </c>
      <c r="R221" s="27">
        <f t="shared" si="47"/>
        <v>0</v>
      </c>
      <c r="S221" s="41" t="e">
        <f t="shared" si="48"/>
        <v>#DIV/0!</v>
      </c>
      <c r="T221" s="47">
        <f t="shared" ref="T221:T237" si="58">O221/(1-0.2)</f>
        <v>0</v>
      </c>
      <c r="U221" s="28">
        <f t="shared" ref="U221:U237" si="59">D221*T221</f>
        <v>0</v>
      </c>
      <c r="V221" s="48" t="e">
        <f t="shared" ref="V221:V237" si="60">(T221-O221)/T221</f>
        <v>#DIV/0!</v>
      </c>
      <c r="W221" s="71">
        <v>6.75</v>
      </c>
      <c r="X221" s="31">
        <f t="shared" si="54"/>
        <v>162</v>
      </c>
      <c r="Y221" s="37">
        <f t="shared" si="57"/>
        <v>1</v>
      </c>
      <c r="Z221" s="74">
        <v>6.75</v>
      </c>
      <c r="AA221" s="77"/>
      <c r="AB221" s="77"/>
      <c r="AC221" s="77">
        <v>6.5</v>
      </c>
      <c r="AF221" s="77" t="s">
        <v>393</v>
      </c>
      <c r="AG221" s="77">
        <f>VLOOKUP(AF221,'CFN HPV'!A:L,12,FALSE)</f>
        <v>10.25</v>
      </c>
      <c r="AH221" s="145">
        <f>Q221</f>
        <v>0</v>
      </c>
      <c r="AI221" s="77">
        <f>AH221-AG221</f>
        <v>-10.25</v>
      </c>
      <c r="AJ221" s="183"/>
      <c r="AK221" s="33"/>
      <c r="AL221" s="33"/>
      <c r="AM221" s="33"/>
    </row>
    <row r="222" spans="1:43">
      <c r="A222" s="86" t="s">
        <v>353</v>
      </c>
      <c r="B222" s="86" t="s">
        <v>1744</v>
      </c>
      <c r="C222" s="86" t="s">
        <v>1217</v>
      </c>
      <c r="D222" s="87">
        <v>100</v>
      </c>
      <c r="E222" s="87" t="s">
        <v>2</v>
      </c>
      <c r="F222" s="509"/>
      <c r="G222" s="509"/>
      <c r="H222" s="509"/>
      <c r="I222" s="34" t="e">
        <f>VLOOKUP(B222,Pallets!B:F,5,FALSE)</f>
        <v>#N/A</v>
      </c>
      <c r="J222" s="57">
        <v>0.28999999999999998</v>
      </c>
      <c r="K222" s="34">
        <f t="shared" si="56"/>
        <v>0</v>
      </c>
      <c r="L222" s="57"/>
      <c r="M222" s="522"/>
      <c r="N222" s="541">
        <v>0</v>
      </c>
      <c r="O222" s="522"/>
      <c r="P222" s="57">
        <f t="shared" si="49"/>
        <v>0</v>
      </c>
      <c r="Q222" s="42">
        <f t="shared" si="50"/>
        <v>0</v>
      </c>
      <c r="R222" s="27">
        <f t="shared" si="47"/>
        <v>0</v>
      </c>
      <c r="S222" s="41" t="e">
        <f t="shared" si="48"/>
        <v>#DIV/0!</v>
      </c>
      <c r="T222" s="47">
        <f t="shared" si="58"/>
        <v>0</v>
      </c>
      <c r="U222" s="28">
        <f t="shared" si="59"/>
        <v>0</v>
      </c>
      <c r="V222" s="48" t="e">
        <f t="shared" si="60"/>
        <v>#DIV/0!</v>
      </c>
      <c r="W222" s="71">
        <f>O222/(1-0.3)</f>
        <v>0</v>
      </c>
      <c r="X222" s="71">
        <f t="shared" si="54"/>
        <v>0</v>
      </c>
      <c r="Y222" s="37" t="e">
        <f t="shared" si="57"/>
        <v>#DIV/0!</v>
      </c>
      <c r="Z222" s="77"/>
      <c r="AA222" s="77"/>
      <c r="AB222" s="77"/>
      <c r="AC222" s="77"/>
      <c r="AF222" s="77"/>
      <c r="AG222" s="77"/>
      <c r="AH222" s="145"/>
      <c r="AI222" s="77"/>
      <c r="AJ222" s="183"/>
      <c r="AK222" s="33"/>
      <c r="AL222" s="33"/>
      <c r="AM222" s="33"/>
    </row>
    <row r="223" spans="1:43">
      <c r="A223" s="86" t="s">
        <v>353</v>
      </c>
      <c r="B223" s="86" t="s">
        <v>1745</v>
      </c>
      <c r="C223" s="86" t="s">
        <v>1218</v>
      </c>
      <c r="D223" s="87">
        <v>100</v>
      </c>
      <c r="E223" s="87" t="s">
        <v>2</v>
      </c>
      <c r="F223" s="509"/>
      <c r="G223" s="509"/>
      <c r="H223" s="509"/>
      <c r="I223" s="34" t="e">
        <f>VLOOKUP(B223,Pallets!B:F,5,FALSE)</f>
        <v>#N/A</v>
      </c>
      <c r="J223" s="57">
        <v>0.32</v>
      </c>
      <c r="K223" s="34">
        <f t="shared" si="56"/>
        <v>0</v>
      </c>
      <c r="L223" s="57"/>
      <c r="M223" s="522"/>
      <c r="N223" s="541">
        <v>0</v>
      </c>
      <c r="O223" s="522"/>
      <c r="P223" s="57">
        <f t="shared" si="49"/>
        <v>0</v>
      </c>
      <c r="Q223" s="42">
        <f t="shared" si="50"/>
        <v>0</v>
      </c>
      <c r="R223" s="27">
        <f t="shared" si="47"/>
        <v>0</v>
      </c>
      <c r="S223" s="41" t="e">
        <f t="shared" si="48"/>
        <v>#DIV/0!</v>
      </c>
      <c r="T223" s="47">
        <f t="shared" si="58"/>
        <v>0</v>
      </c>
      <c r="U223" s="28">
        <f t="shared" si="59"/>
        <v>0</v>
      </c>
      <c r="V223" s="48" t="e">
        <f t="shared" si="60"/>
        <v>#DIV/0!</v>
      </c>
      <c r="W223" s="71">
        <f>O223/(1-0.3)</f>
        <v>0</v>
      </c>
      <c r="X223" s="71">
        <f t="shared" si="54"/>
        <v>0</v>
      </c>
      <c r="Y223" s="37" t="e">
        <f t="shared" si="57"/>
        <v>#DIV/0!</v>
      </c>
      <c r="Z223" s="77"/>
      <c r="AA223" s="77"/>
      <c r="AB223" s="77"/>
      <c r="AC223" s="77"/>
      <c r="AF223" s="77"/>
      <c r="AG223" s="77"/>
      <c r="AH223" s="145"/>
      <c r="AI223" s="77"/>
      <c r="AJ223" s="183"/>
      <c r="AK223" s="33"/>
      <c r="AL223" s="33"/>
      <c r="AM223" s="33"/>
    </row>
    <row r="224" spans="1:43">
      <c r="A224" s="86" t="s">
        <v>353</v>
      </c>
      <c r="B224" s="86" t="s">
        <v>1746</v>
      </c>
      <c r="C224" s="86" t="s">
        <v>1219</v>
      </c>
      <c r="D224" s="87">
        <v>100</v>
      </c>
      <c r="E224" s="87" t="s">
        <v>2</v>
      </c>
      <c r="F224" s="509"/>
      <c r="G224" s="509"/>
      <c r="H224" s="509"/>
      <c r="I224" s="34" t="e">
        <f>VLOOKUP(B224,Pallets!B:F,5,FALSE)</f>
        <v>#N/A</v>
      </c>
      <c r="J224" s="57">
        <v>0.5</v>
      </c>
      <c r="K224" s="34">
        <f t="shared" si="56"/>
        <v>0</v>
      </c>
      <c r="L224" s="57"/>
      <c r="M224" s="522"/>
      <c r="N224" s="541">
        <v>0</v>
      </c>
      <c r="O224" s="522"/>
      <c r="P224" s="57">
        <f t="shared" si="49"/>
        <v>0</v>
      </c>
      <c r="Q224" s="42">
        <f t="shared" si="50"/>
        <v>0</v>
      </c>
      <c r="R224" s="27">
        <f t="shared" si="47"/>
        <v>0</v>
      </c>
      <c r="S224" s="41" t="e">
        <f t="shared" si="48"/>
        <v>#DIV/0!</v>
      </c>
      <c r="T224" s="47">
        <f t="shared" si="58"/>
        <v>0</v>
      </c>
      <c r="U224" s="28">
        <f t="shared" si="59"/>
        <v>0</v>
      </c>
      <c r="V224" s="48" t="e">
        <f t="shared" si="60"/>
        <v>#DIV/0!</v>
      </c>
      <c r="W224" s="71">
        <f>O224/(1-Y224)</f>
        <v>0</v>
      </c>
      <c r="X224" s="71">
        <f t="shared" si="54"/>
        <v>0</v>
      </c>
      <c r="Y224" s="37">
        <v>0.3</v>
      </c>
      <c r="Z224" s="77"/>
      <c r="AA224" s="77"/>
      <c r="AB224" s="77"/>
      <c r="AC224" s="77"/>
      <c r="AF224" s="77"/>
      <c r="AG224" s="77"/>
      <c r="AH224" s="145"/>
      <c r="AI224" s="77"/>
      <c r="AJ224" s="183"/>
      <c r="AK224" s="33"/>
      <c r="AL224" s="33"/>
      <c r="AM224" s="33"/>
    </row>
    <row r="225" spans="1:39">
      <c r="A225" s="86" t="s">
        <v>353</v>
      </c>
      <c r="B225" s="86" t="s">
        <v>1747</v>
      </c>
      <c r="C225" s="86" t="s">
        <v>1220</v>
      </c>
      <c r="D225" s="87">
        <v>50</v>
      </c>
      <c r="E225" s="87" t="s">
        <v>2</v>
      </c>
      <c r="F225" s="509"/>
      <c r="G225" s="509"/>
      <c r="H225" s="509"/>
      <c r="I225" s="34" t="e">
        <f>VLOOKUP(B225,Pallets!B:F,5,FALSE)</f>
        <v>#N/A</v>
      </c>
      <c r="J225" s="34"/>
      <c r="K225" s="34">
        <f t="shared" si="56"/>
        <v>0</v>
      </c>
      <c r="L225" s="34"/>
      <c r="M225" s="522"/>
      <c r="N225" s="541">
        <v>0</v>
      </c>
      <c r="O225" s="522"/>
      <c r="P225" s="57">
        <v>0</v>
      </c>
      <c r="Q225" s="42"/>
      <c r="R225" s="27"/>
      <c r="S225" s="41"/>
      <c r="T225" s="47">
        <f t="shared" si="58"/>
        <v>0</v>
      </c>
      <c r="U225" s="28">
        <f t="shared" si="59"/>
        <v>0</v>
      </c>
      <c r="V225" s="48" t="e">
        <f t="shared" si="60"/>
        <v>#DIV/0!</v>
      </c>
      <c r="W225" s="71"/>
      <c r="X225" s="71"/>
      <c r="Y225" s="37"/>
      <c r="Z225" s="77"/>
      <c r="AA225" s="77"/>
      <c r="AB225" s="77"/>
      <c r="AC225" s="77"/>
      <c r="AF225" s="77"/>
      <c r="AG225" s="77"/>
      <c r="AH225" s="145"/>
      <c r="AI225" s="77"/>
      <c r="AJ225" s="183"/>
      <c r="AK225" s="33"/>
      <c r="AL225" s="33"/>
      <c r="AM225" s="33"/>
    </row>
    <row r="226" spans="1:39">
      <c r="A226" s="86" t="s">
        <v>353</v>
      </c>
      <c r="B226" s="86" t="s">
        <v>1748</v>
      </c>
      <c r="C226" s="86" t="s">
        <v>1221</v>
      </c>
      <c r="D226" s="87">
        <v>45</v>
      </c>
      <c r="E226" s="87" t="s">
        <v>2</v>
      </c>
      <c r="F226" s="509"/>
      <c r="G226" s="509"/>
      <c r="H226" s="509"/>
      <c r="I226" s="34" t="e">
        <f>VLOOKUP(B226,Pallets!B:F,5,FALSE)</f>
        <v>#N/A</v>
      </c>
      <c r="J226" s="57">
        <v>1.07</v>
      </c>
      <c r="K226" s="34">
        <f t="shared" si="56"/>
        <v>0</v>
      </c>
      <c r="L226" s="57"/>
      <c r="M226" s="522"/>
      <c r="N226" s="541">
        <v>0</v>
      </c>
      <c r="O226" s="522"/>
      <c r="P226" s="57">
        <f t="shared" ref="P226:P237" si="61">D226*O226</f>
        <v>0</v>
      </c>
      <c r="Q226" s="42">
        <f t="shared" ref="Q226:Q237" si="62">O226/(1-0.4)</f>
        <v>0</v>
      </c>
      <c r="R226" s="27">
        <f t="shared" ref="R226:R237" si="63">D226*Q226</f>
        <v>0</v>
      </c>
      <c r="S226" s="41" t="e">
        <f t="shared" ref="S226:S237" si="64">(Q226-O226)/Q226</f>
        <v>#DIV/0!</v>
      </c>
      <c r="T226" s="47">
        <f t="shared" si="58"/>
        <v>0</v>
      </c>
      <c r="U226" s="28">
        <f t="shared" si="59"/>
        <v>0</v>
      </c>
      <c r="V226" s="48" t="e">
        <f t="shared" si="60"/>
        <v>#DIV/0!</v>
      </c>
      <c r="W226" s="71">
        <f t="shared" ref="W226:W237" si="65">O226/(1-0.3)</f>
        <v>0</v>
      </c>
      <c r="X226" s="71">
        <f t="shared" ref="X226:X237" si="66">D226*W226</f>
        <v>0</v>
      </c>
      <c r="Y226" s="37" t="e">
        <f t="shared" ref="Y226:Y237" si="67">(W226-O226)/W226</f>
        <v>#DIV/0!</v>
      </c>
      <c r="Z226" s="77"/>
      <c r="AA226" s="77"/>
      <c r="AB226" s="77"/>
      <c r="AC226" s="77"/>
      <c r="AF226" s="77"/>
      <c r="AG226" s="77"/>
      <c r="AH226" s="145"/>
      <c r="AI226" s="77"/>
      <c r="AJ226" s="183"/>
      <c r="AK226" s="33"/>
      <c r="AL226" s="33"/>
      <c r="AM226" s="33"/>
    </row>
    <row r="227" spans="1:39">
      <c r="A227" s="86" t="s">
        <v>353</v>
      </c>
      <c r="B227" s="86" t="s">
        <v>1749</v>
      </c>
      <c r="C227" s="86" t="s">
        <v>1222</v>
      </c>
      <c r="D227" s="87">
        <v>25</v>
      </c>
      <c r="E227" s="87" t="s">
        <v>2</v>
      </c>
      <c r="F227" s="509"/>
      <c r="G227" s="509"/>
      <c r="H227" s="509"/>
      <c r="I227" s="34" t="e">
        <f>VLOOKUP(B227,Pallets!B:F,5,FALSE)</f>
        <v>#N/A</v>
      </c>
      <c r="J227" s="57">
        <v>1.6</v>
      </c>
      <c r="K227" s="34">
        <f t="shared" si="56"/>
        <v>0</v>
      </c>
      <c r="L227" s="57"/>
      <c r="M227" s="522"/>
      <c r="N227" s="541">
        <v>0</v>
      </c>
      <c r="O227" s="522"/>
      <c r="P227" s="57">
        <f t="shared" si="61"/>
        <v>0</v>
      </c>
      <c r="Q227" s="42">
        <f t="shared" si="62"/>
        <v>0</v>
      </c>
      <c r="R227" s="27">
        <f t="shared" si="63"/>
        <v>0</v>
      </c>
      <c r="S227" s="41" t="e">
        <f t="shared" si="64"/>
        <v>#DIV/0!</v>
      </c>
      <c r="T227" s="47">
        <f t="shared" si="58"/>
        <v>0</v>
      </c>
      <c r="U227" s="28">
        <f t="shared" si="59"/>
        <v>0</v>
      </c>
      <c r="V227" s="48" t="e">
        <f t="shared" si="60"/>
        <v>#DIV/0!</v>
      </c>
      <c r="W227" s="71">
        <f t="shared" si="65"/>
        <v>0</v>
      </c>
      <c r="X227" s="71">
        <f t="shared" si="66"/>
        <v>0</v>
      </c>
      <c r="Y227" s="37" t="e">
        <f t="shared" si="67"/>
        <v>#DIV/0!</v>
      </c>
      <c r="Z227" s="77"/>
      <c r="AA227" s="77"/>
      <c r="AB227" s="77"/>
      <c r="AC227" s="77"/>
      <c r="AF227" s="77" t="s">
        <v>402</v>
      </c>
      <c r="AG227" s="77">
        <f>VLOOKUP(AF227,'CFN HPV'!A:L,12,FALSE)</f>
        <v>3.02</v>
      </c>
      <c r="AH227" s="145">
        <f t="shared" ref="AH227:AH234" si="68">Q227</f>
        <v>0</v>
      </c>
      <c r="AI227" s="77">
        <f t="shared" ref="AI227:AI233" si="69">AH227-AG227</f>
        <v>-3.02</v>
      </c>
      <c r="AJ227" s="183"/>
      <c r="AK227" s="33"/>
      <c r="AL227" s="33"/>
      <c r="AM227" s="33"/>
    </row>
    <row r="228" spans="1:39">
      <c r="A228" s="86" t="s">
        <v>353</v>
      </c>
      <c r="B228" s="86" t="s">
        <v>1750</v>
      </c>
      <c r="C228" s="86" t="s">
        <v>1223</v>
      </c>
      <c r="D228" s="87">
        <v>20</v>
      </c>
      <c r="E228" s="87" t="s">
        <v>2</v>
      </c>
      <c r="F228" s="509"/>
      <c r="G228" s="509"/>
      <c r="H228" s="509"/>
      <c r="I228" s="34">
        <v>42</v>
      </c>
      <c r="J228" s="57">
        <v>1.88</v>
      </c>
      <c r="K228" s="34">
        <f t="shared" si="56"/>
        <v>0</v>
      </c>
      <c r="L228" s="57"/>
      <c r="M228" s="522"/>
      <c r="N228" s="541">
        <v>0</v>
      </c>
      <c r="O228" s="522"/>
      <c r="P228" s="57">
        <f t="shared" si="61"/>
        <v>0</v>
      </c>
      <c r="Q228" s="42">
        <f t="shared" si="62"/>
        <v>0</v>
      </c>
      <c r="R228" s="27">
        <f t="shared" si="63"/>
        <v>0</v>
      </c>
      <c r="S228" s="41" t="e">
        <f t="shared" si="64"/>
        <v>#DIV/0!</v>
      </c>
      <c r="T228" s="47">
        <f t="shared" si="58"/>
        <v>0</v>
      </c>
      <c r="U228" s="28">
        <f t="shared" si="59"/>
        <v>0</v>
      </c>
      <c r="V228" s="48" t="e">
        <f t="shared" si="60"/>
        <v>#DIV/0!</v>
      </c>
      <c r="W228" s="71">
        <f t="shared" si="65"/>
        <v>0</v>
      </c>
      <c r="X228" s="71">
        <f t="shared" si="66"/>
        <v>0</v>
      </c>
      <c r="Y228" s="37" t="e">
        <f t="shared" si="67"/>
        <v>#DIV/0!</v>
      </c>
      <c r="Z228" s="77"/>
      <c r="AA228" s="77"/>
      <c r="AB228" s="77"/>
      <c r="AC228" s="77"/>
      <c r="AF228" s="77" t="s">
        <v>403</v>
      </c>
      <c r="AG228" s="77">
        <f>VLOOKUP(AF228,'CFN HPV'!A:L,12,FALSE)</f>
        <v>3.35</v>
      </c>
      <c r="AH228" s="145">
        <f t="shared" si="68"/>
        <v>0</v>
      </c>
      <c r="AI228" s="77">
        <f t="shared" si="69"/>
        <v>-3.35</v>
      </c>
      <c r="AJ228" s="183"/>
      <c r="AK228" s="33"/>
      <c r="AL228" s="33"/>
      <c r="AM228" s="33"/>
    </row>
    <row r="229" spans="1:39">
      <c r="A229" s="86" t="s">
        <v>353</v>
      </c>
      <c r="B229" s="86" t="s">
        <v>1751</v>
      </c>
      <c r="C229" s="86" t="s">
        <v>1224</v>
      </c>
      <c r="D229" s="87">
        <v>15</v>
      </c>
      <c r="E229" s="87" t="s">
        <v>2</v>
      </c>
      <c r="F229" s="509"/>
      <c r="G229" s="509"/>
      <c r="H229" s="509"/>
      <c r="I229" s="34" t="e">
        <f>VLOOKUP(B229,Pallets!B:F,5,FALSE)</f>
        <v>#N/A</v>
      </c>
      <c r="J229" s="57">
        <v>2.72</v>
      </c>
      <c r="K229" s="34">
        <f t="shared" si="56"/>
        <v>0</v>
      </c>
      <c r="L229" s="57"/>
      <c r="M229" s="522"/>
      <c r="N229" s="541">
        <v>0</v>
      </c>
      <c r="O229" s="522"/>
      <c r="P229" s="57">
        <f t="shared" si="61"/>
        <v>0</v>
      </c>
      <c r="Q229" s="42">
        <f t="shared" si="62"/>
        <v>0</v>
      </c>
      <c r="R229" s="27">
        <f t="shared" si="63"/>
        <v>0</v>
      </c>
      <c r="S229" s="41" t="e">
        <f t="shared" si="64"/>
        <v>#DIV/0!</v>
      </c>
      <c r="T229" s="47">
        <f t="shared" si="58"/>
        <v>0</v>
      </c>
      <c r="U229" s="28">
        <f t="shared" si="59"/>
        <v>0</v>
      </c>
      <c r="V229" s="48" t="e">
        <f t="shared" si="60"/>
        <v>#DIV/0!</v>
      </c>
      <c r="W229" s="71">
        <f t="shared" si="65"/>
        <v>0</v>
      </c>
      <c r="X229" s="71">
        <f t="shared" si="66"/>
        <v>0</v>
      </c>
      <c r="Y229" s="37" t="e">
        <f t="shared" si="67"/>
        <v>#DIV/0!</v>
      </c>
      <c r="Z229" s="77"/>
      <c r="AA229" s="77"/>
      <c r="AB229" s="77"/>
      <c r="AC229" s="77"/>
      <c r="AF229" s="77" t="s">
        <v>544</v>
      </c>
      <c r="AG229" s="77">
        <f>VLOOKUP(AF229,'CFN HPV'!A:L,12,FALSE)</f>
        <v>4.09</v>
      </c>
      <c r="AH229" s="145">
        <f t="shared" si="68"/>
        <v>0</v>
      </c>
      <c r="AI229" s="77">
        <f t="shared" si="69"/>
        <v>-4.09</v>
      </c>
      <c r="AJ229" s="183"/>
      <c r="AK229" s="33"/>
      <c r="AL229" s="33"/>
      <c r="AM229" s="33"/>
    </row>
    <row r="230" spans="1:39">
      <c r="A230" s="86" t="s">
        <v>353</v>
      </c>
      <c r="B230" s="86" t="s">
        <v>1752</v>
      </c>
      <c r="C230" s="86" t="s">
        <v>1225</v>
      </c>
      <c r="D230" s="87">
        <v>15</v>
      </c>
      <c r="E230" s="87" t="s">
        <v>2</v>
      </c>
      <c r="F230" s="509"/>
      <c r="G230" s="509"/>
      <c r="H230" s="509"/>
      <c r="I230" s="34" t="e">
        <f>VLOOKUP(B230,Pallets!B:F,5,FALSE)</f>
        <v>#N/A</v>
      </c>
      <c r="J230" s="57">
        <v>3.39</v>
      </c>
      <c r="K230" s="34">
        <f t="shared" si="56"/>
        <v>0</v>
      </c>
      <c r="L230" s="57"/>
      <c r="M230" s="522"/>
      <c r="N230" s="541">
        <v>0</v>
      </c>
      <c r="O230" s="522"/>
      <c r="P230" s="57">
        <f t="shared" si="61"/>
        <v>0</v>
      </c>
      <c r="Q230" s="42">
        <f t="shared" si="62"/>
        <v>0</v>
      </c>
      <c r="R230" s="27">
        <f t="shared" si="63"/>
        <v>0</v>
      </c>
      <c r="S230" s="41" t="e">
        <f t="shared" si="64"/>
        <v>#DIV/0!</v>
      </c>
      <c r="T230" s="47">
        <f t="shared" si="58"/>
        <v>0</v>
      </c>
      <c r="U230" s="28">
        <f t="shared" si="59"/>
        <v>0</v>
      </c>
      <c r="V230" s="48" t="e">
        <f t="shared" si="60"/>
        <v>#DIV/0!</v>
      </c>
      <c r="W230" s="71">
        <f t="shared" si="65"/>
        <v>0</v>
      </c>
      <c r="X230" s="71">
        <f t="shared" si="66"/>
        <v>0</v>
      </c>
      <c r="Y230" s="37" t="e">
        <f t="shared" si="67"/>
        <v>#DIV/0!</v>
      </c>
      <c r="Z230" s="77"/>
      <c r="AA230" s="77"/>
      <c r="AB230" s="77"/>
      <c r="AC230" s="77"/>
      <c r="AF230" s="77" t="s">
        <v>404</v>
      </c>
      <c r="AG230" s="77">
        <f>VLOOKUP(AF230,'CFN HPV'!A:L,12,FALSE)</f>
        <v>6.58</v>
      </c>
      <c r="AH230" s="145">
        <f t="shared" si="68"/>
        <v>0</v>
      </c>
      <c r="AI230" s="77">
        <f t="shared" si="69"/>
        <v>-6.58</v>
      </c>
      <c r="AJ230" s="183"/>
      <c r="AK230" s="33"/>
      <c r="AL230" s="33"/>
      <c r="AM230" s="33"/>
    </row>
    <row r="231" spans="1:39">
      <c r="A231" s="86" t="s">
        <v>353</v>
      </c>
      <c r="B231" s="86" t="s">
        <v>1753</v>
      </c>
      <c r="C231" s="86" t="s">
        <v>1226</v>
      </c>
      <c r="D231" s="87">
        <v>12</v>
      </c>
      <c r="E231" s="87" t="s">
        <v>2</v>
      </c>
      <c r="F231" s="509"/>
      <c r="G231" s="509"/>
      <c r="H231" s="509"/>
      <c r="I231" s="34" t="e">
        <f>VLOOKUP(B231,Pallets!B:F,5,FALSE)</f>
        <v>#N/A</v>
      </c>
      <c r="J231" s="57">
        <v>5.0199999999999996</v>
      </c>
      <c r="K231" s="34">
        <f t="shared" si="56"/>
        <v>0</v>
      </c>
      <c r="L231" s="57"/>
      <c r="M231" s="522"/>
      <c r="N231" s="541">
        <v>0</v>
      </c>
      <c r="O231" s="522"/>
      <c r="P231" s="57">
        <f t="shared" si="61"/>
        <v>0</v>
      </c>
      <c r="Q231" s="42">
        <f t="shared" si="62"/>
        <v>0</v>
      </c>
      <c r="R231" s="27">
        <f t="shared" si="63"/>
        <v>0</v>
      </c>
      <c r="S231" s="41" t="e">
        <f t="shared" si="64"/>
        <v>#DIV/0!</v>
      </c>
      <c r="T231" s="47">
        <f t="shared" si="58"/>
        <v>0</v>
      </c>
      <c r="U231" s="28">
        <f t="shared" si="59"/>
        <v>0</v>
      </c>
      <c r="V231" s="48" t="e">
        <f t="shared" si="60"/>
        <v>#DIV/0!</v>
      </c>
      <c r="W231" s="71">
        <f t="shared" si="65"/>
        <v>0</v>
      </c>
      <c r="X231" s="71">
        <f t="shared" si="66"/>
        <v>0</v>
      </c>
      <c r="Y231" s="37" t="e">
        <f t="shared" si="67"/>
        <v>#DIV/0!</v>
      </c>
      <c r="Z231" s="77"/>
      <c r="AA231" s="77"/>
      <c r="AB231" s="77"/>
      <c r="AC231" s="77"/>
      <c r="AF231" s="77" t="s">
        <v>405</v>
      </c>
      <c r="AG231" s="77">
        <f>VLOOKUP(AF231,'CFN HPV'!A:L,12,FALSE)</f>
        <v>7.52</v>
      </c>
      <c r="AH231" s="145">
        <f t="shared" si="68"/>
        <v>0</v>
      </c>
      <c r="AI231" s="77">
        <f t="shared" si="69"/>
        <v>-7.52</v>
      </c>
      <c r="AJ231" s="183"/>
      <c r="AK231" s="33"/>
      <c r="AL231" s="33"/>
      <c r="AM231" s="33"/>
    </row>
    <row r="232" spans="1:39">
      <c r="A232" s="86" t="s">
        <v>353</v>
      </c>
      <c r="B232" s="86" t="s">
        <v>1754</v>
      </c>
      <c r="C232" s="86" t="s">
        <v>1227</v>
      </c>
      <c r="D232" s="87">
        <v>50</v>
      </c>
      <c r="E232" s="87" t="s">
        <v>2</v>
      </c>
      <c r="F232" s="509"/>
      <c r="G232" s="509"/>
      <c r="H232" s="509"/>
      <c r="I232" s="34" t="e">
        <f>VLOOKUP(B232,Pallets!B:F,5,FALSE)</f>
        <v>#N/A</v>
      </c>
      <c r="J232" s="57">
        <v>1.2</v>
      </c>
      <c r="K232" s="34">
        <f t="shared" si="56"/>
        <v>0</v>
      </c>
      <c r="L232" s="57"/>
      <c r="M232" s="522"/>
      <c r="N232" s="541">
        <v>0</v>
      </c>
      <c r="O232" s="522"/>
      <c r="P232" s="57">
        <f t="shared" si="61"/>
        <v>0</v>
      </c>
      <c r="Q232" s="42">
        <f t="shared" si="62"/>
        <v>0</v>
      </c>
      <c r="R232" s="27">
        <f t="shared" si="63"/>
        <v>0</v>
      </c>
      <c r="S232" s="41" t="e">
        <f t="shared" si="64"/>
        <v>#DIV/0!</v>
      </c>
      <c r="T232" s="47">
        <f t="shared" si="58"/>
        <v>0</v>
      </c>
      <c r="U232" s="28">
        <f t="shared" si="59"/>
        <v>0</v>
      </c>
      <c r="V232" s="48" t="e">
        <f t="shared" si="60"/>
        <v>#DIV/0!</v>
      </c>
      <c r="W232" s="71">
        <f t="shared" si="65"/>
        <v>0</v>
      </c>
      <c r="X232" s="71">
        <f t="shared" si="66"/>
        <v>0</v>
      </c>
      <c r="Y232" s="37" t="e">
        <f t="shared" si="67"/>
        <v>#DIV/0!</v>
      </c>
      <c r="Z232" s="77"/>
      <c r="AA232" s="77"/>
      <c r="AB232" s="77">
        <v>1.68</v>
      </c>
      <c r="AC232" s="77"/>
      <c r="AF232" s="77" t="s">
        <v>406</v>
      </c>
      <c r="AG232" s="77">
        <f>VLOOKUP(AF232,'CFN HPV'!A:L,12,FALSE)</f>
        <v>2.37</v>
      </c>
      <c r="AH232" s="145">
        <f t="shared" si="68"/>
        <v>0</v>
      </c>
      <c r="AI232" s="77">
        <f t="shared" si="69"/>
        <v>-2.37</v>
      </c>
      <c r="AJ232" s="183"/>
      <c r="AK232" s="33"/>
      <c r="AL232" s="33"/>
      <c r="AM232" s="33"/>
    </row>
    <row r="233" spans="1:39">
      <c r="A233" s="86" t="s">
        <v>353</v>
      </c>
      <c r="B233" s="86" t="s">
        <v>1755</v>
      </c>
      <c r="C233" s="86" t="s">
        <v>1228</v>
      </c>
      <c r="D233" s="87">
        <v>120</v>
      </c>
      <c r="E233" s="87" t="s">
        <v>2</v>
      </c>
      <c r="F233" s="509"/>
      <c r="G233" s="509"/>
      <c r="H233" s="509"/>
      <c r="I233" s="34" t="e">
        <f>VLOOKUP(B233,Pallets!B:F,5,FALSE)</f>
        <v>#N/A</v>
      </c>
      <c r="J233" s="57">
        <v>0.32</v>
      </c>
      <c r="K233" s="34">
        <f t="shared" si="56"/>
        <v>0</v>
      </c>
      <c r="L233" s="57"/>
      <c r="M233" s="522"/>
      <c r="N233" s="541">
        <v>0</v>
      </c>
      <c r="O233" s="522"/>
      <c r="P233" s="57">
        <f t="shared" si="61"/>
        <v>0</v>
      </c>
      <c r="Q233" s="42">
        <f t="shared" si="62"/>
        <v>0</v>
      </c>
      <c r="R233" s="27">
        <f t="shared" si="63"/>
        <v>0</v>
      </c>
      <c r="S233" s="41" t="e">
        <f t="shared" si="64"/>
        <v>#DIV/0!</v>
      </c>
      <c r="T233" s="47">
        <f t="shared" si="58"/>
        <v>0</v>
      </c>
      <c r="U233" s="28">
        <f t="shared" si="59"/>
        <v>0</v>
      </c>
      <c r="V233" s="48" t="e">
        <f t="shared" si="60"/>
        <v>#DIV/0!</v>
      </c>
      <c r="W233" s="71">
        <f t="shared" si="65"/>
        <v>0</v>
      </c>
      <c r="X233" s="71">
        <f t="shared" si="66"/>
        <v>0</v>
      </c>
      <c r="Y233" s="37" t="e">
        <f t="shared" si="67"/>
        <v>#DIV/0!</v>
      </c>
      <c r="Z233" s="77"/>
      <c r="AA233" s="77"/>
      <c r="AB233" s="77"/>
      <c r="AC233" s="77"/>
      <c r="AF233" s="77" t="s">
        <v>439</v>
      </c>
      <c r="AG233" s="77">
        <f>VLOOKUP(AF233,'CFN HPV'!A:L,12,FALSE)</f>
        <v>2.58</v>
      </c>
      <c r="AH233" s="145">
        <f t="shared" si="68"/>
        <v>0</v>
      </c>
      <c r="AI233" s="77">
        <f t="shared" si="69"/>
        <v>-2.58</v>
      </c>
      <c r="AJ233" s="183"/>
      <c r="AK233" s="33"/>
      <c r="AL233" s="33"/>
      <c r="AM233" s="33"/>
    </row>
    <row r="234" spans="1:39">
      <c r="A234" s="86" t="s">
        <v>353</v>
      </c>
      <c r="B234" s="86" t="s">
        <v>1756</v>
      </c>
      <c r="C234" s="86" t="s">
        <v>1229</v>
      </c>
      <c r="D234" s="87">
        <v>120</v>
      </c>
      <c r="E234" s="87" t="s">
        <v>2</v>
      </c>
      <c r="F234" s="509"/>
      <c r="G234" s="509"/>
      <c r="H234" s="509"/>
      <c r="I234" s="34" t="e">
        <f>VLOOKUP(B234,Pallets!B:F,5,FALSE)</f>
        <v>#N/A</v>
      </c>
      <c r="J234" s="57">
        <v>0.35</v>
      </c>
      <c r="K234" s="34">
        <f t="shared" si="56"/>
        <v>0</v>
      </c>
      <c r="L234" s="57"/>
      <c r="M234" s="522"/>
      <c r="N234" s="541">
        <v>0</v>
      </c>
      <c r="O234" s="522"/>
      <c r="P234" s="57">
        <f t="shared" si="61"/>
        <v>0</v>
      </c>
      <c r="Q234" s="42">
        <f t="shared" si="62"/>
        <v>0</v>
      </c>
      <c r="R234" s="65">
        <f t="shared" si="63"/>
        <v>0</v>
      </c>
      <c r="S234" s="41" t="e">
        <f t="shared" si="64"/>
        <v>#DIV/0!</v>
      </c>
      <c r="T234" s="47">
        <f t="shared" si="58"/>
        <v>0</v>
      </c>
      <c r="U234" s="28">
        <f t="shared" si="59"/>
        <v>0</v>
      </c>
      <c r="V234" s="48" t="e">
        <f t="shared" si="60"/>
        <v>#DIV/0!</v>
      </c>
      <c r="W234" s="71">
        <f t="shared" si="65"/>
        <v>0</v>
      </c>
      <c r="X234" s="71">
        <f t="shared" si="66"/>
        <v>0</v>
      </c>
      <c r="Y234" s="36" t="e">
        <f t="shared" si="67"/>
        <v>#DIV/0!</v>
      </c>
      <c r="Z234" s="77"/>
      <c r="AA234" s="77"/>
      <c r="AB234" s="77"/>
      <c r="AC234" s="77"/>
      <c r="AF234" s="77"/>
      <c r="AG234" s="77"/>
      <c r="AH234" s="145">
        <f t="shared" si="68"/>
        <v>0</v>
      </c>
      <c r="AI234" s="77"/>
      <c r="AJ234" s="183"/>
      <c r="AK234" s="33"/>
      <c r="AL234" s="33"/>
      <c r="AM234" s="33"/>
    </row>
    <row r="235" spans="1:39">
      <c r="A235" s="86" t="s">
        <v>353</v>
      </c>
      <c r="B235" s="86" t="s">
        <v>1757</v>
      </c>
      <c r="C235" s="86" t="s">
        <v>1230</v>
      </c>
      <c r="D235" s="87">
        <v>100</v>
      </c>
      <c r="E235" s="87" t="s">
        <v>2</v>
      </c>
      <c r="F235" s="509"/>
      <c r="G235" s="509"/>
      <c r="H235" s="509"/>
      <c r="I235" s="34" t="e">
        <f>VLOOKUP(B235,Pallets!B:F,5,FALSE)</f>
        <v>#N/A</v>
      </c>
      <c r="J235" s="57">
        <v>0.4</v>
      </c>
      <c r="K235" s="34">
        <f t="shared" si="56"/>
        <v>0</v>
      </c>
      <c r="L235" s="57"/>
      <c r="M235" s="522"/>
      <c r="N235" s="541">
        <v>0</v>
      </c>
      <c r="O235" s="522"/>
      <c r="P235" s="57">
        <f t="shared" si="61"/>
        <v>0</v>
      </c>
      <c r="Q235" s="42">
        <f t="shared" si="62"/>
        <v>0</v>
      </c>
      <c r="R235" s="65">
        <f t="shared" si="63"/>
        <v>0</v>
      </c>
      <c r="S235" s="41" t="e">
        <f t="shared" si="64"/>
        <v>#DIV/0!</v>
      </c>
      <c r="T235" s="47">
        <f t="shared" si="58"/>
        <v>0</v>
      </c>
      <c r="U235" s="28">
        <f t="shared" si="59"/>
        <v>0</v>
      </c>
      <c r="V235" s="48" t="e">
        <f t="shared" si="60"/>
        <v>#DIV/0!</v>
      </c>
      <c r="W235" s="71">
        <f t="shared" si="65"/>
        <v>0</v>
      </c>
      <c r="X235" s="71">
        <f t="shared" si="66"/>
        <v>0</v>
      </c>
      <c r="Y235" s="37" t="e">
        <f t="shared" si="67"/>
        <v>#DIV/0!</v>
      </c>
      <c r="Z235" s="77"/>
      <c r="AA235" s="77"/>
      <c r="AB235" s="77"/>
      <c r="AC235" s="77"/>
      <c r="AF235" s="77"/>
      <c r="AG235" s="77"/>
      <c r="AH235" s="145"/>
      <c r="AI235" s="77"/>
      <c r="AJ235" s="183"/>
      <c r="AK235" s="33"/>
      <c r="AL235" s="33"/>
      <c r="AM235" s="33"/>
    </row>
    <row r="236" spans="1:39">
      <c r="A236" s="86" t="s">
        <v>353</v>
      </c>
      <c r="B236" s="86" t="s">
        <v>1758</v>
      </c>
      <c r="C236" s="86" t="s">
        <v>1231</v>
      </c>
      <c r="D236" s="87">
        <v>100</v>
      </c>
      <c r="E236" s="87" t="s">
        <v>2</v>
      </c>
      <c r="F236" s="509"/>
      <c r="G236" s="509"/>
      <c r="H236" s="509"/>
      <c r="I236" s="34">
        <v>36</v>
      </c>
      <c r="J236" s="57">
        <v>0.87</v>
      </c>
      <c r="K236" s="34">
        <f t="shared" si="56"/>
        <v>0</v>
      </c>
      <c r="L236" s="57"/>
      <c r="M236" s="522"/>
      <c r="N236" s="541">
        <v>0</v>
      </c>
      <c r="O236" s="522"/>
      <c r="P236" s="57">
        <f t="shared" si="61"/>
        <v>0</v>
      </c>
      <c r="Q236" s="42">
        <f t="shared" si="62"/>
        <v>0</v>
      </c>
      <c r="R236" s="65">
        <f t="shared" si="63"/>
        <v>0</v>
      </c>
      <c r="S236" s="41" t="e">
        <f t="shared" si="64"/>
        <v>#DIV/0!</v>
      </c>
      <c r="T236" s="47">
        <f t="shared" si="58"/>
        <v>0</v>
      </c>
      <c r="U236" s="28">
        <f t="shared" si="59"/>
        <v>0</v>
      </c>
      <c r="V236" s="48" t="e">
        <f t="shared" si="60"/>
        <v>#DIV/0!</v>
      </c>
      <c r="W236" s="71">
        <f t="shared" si="65"/>
        <v>0</v>
      </c>
      <c r="X236" s="71">
        <f t="shared" si="66"/>
        <v>0</v>
      </c>
      <c r="Y236" s="37" t="e">
        <f t="shared" si="67"/>
        <v>#DIV/0!</v>
      </c>
      <c r="Z236" s="77"/>
      <c r="AA236" s="77"/>
      <c r="AB236" s="77"/>
      <c r="AC236" s="77"/>
      <c r="AF236" s="77"/>
      <c r="AG236" s="77"/>
      <c r="AH236" s="145"/>
      <c r="AI236" s="77"/>
      <c r="AJ236" s="183"/>
      <c r="AK236" s="33"/>
      <c r="AL236" s="33"/>
      <c r="AM236" s="33"/>
    </row>
    <row r="237" spans="1:39">
      <c r="A237" s="86" t="s">
        <v>353</v>
      </c>
      <c r="B237" s="86" t="s">
        <v>1759</v>
      </c>
      <c r="C237" s="86" t="s">
        <v>1232</v>
      </c>
      <c r="D237" s="87">
        <v>20</v>
      </c>
      <c r="E237" s="87" t="s">
        <v>2</v>
      </c>
      <c r="F237" s="509"/>
      <c r="G237" s="509"/>
      <c r="H237" s="509"/>
      <c r="I237" s="34" t="e">
        <f>VLOOKUP(B237,Pallets!B:F,5,FALSE)</f>
        <v>#N/A</v>
      </c>
      <c r="J237" s="57">
        <v>1.98</v>
      </c>
      <c r="K237" s="34">
        <f t="shared" si="56"/>
        <v>0</v>
      </c>
      <c r="L237" s="57"/>
      <c r="M237" s="522"/>
      <c r="N237" s="541">
        <v>0</v>
      </c>
      <c r="O237" s="522"/>
      <c r="P237" s="57">
        <f t="shared" si="61"/>
        <v>0</v>
      </c>
      <c r="Q237" s="42">
        <f t="shared" si="62"/>
        <v>0</v>
      </c>
      <c r="R237" s="27">
        <f t="shared" si="63"/>
        <v>0</v>
      </c>
      <c r="S237" s="41" t="e">
        <f t="shared" si="64"/>
        <v>#DIV/0!</v>
      </c>
      <c r="T237" s="47">
        <f t="shared" si="58"/>
        <v>0</v>
      </c>
      <c r="U237" s="28">
        <f t="shared" si="59"/>
        <v>0</v>
      </c>
      <c r="V237" s="48" t="e">
        <f t="shared" si="60"/>
        <v>#DIV/0!</v>
      </c>
      <c r="W237" s="71">
        <f t="shared" si="65"/>
        <v>0</v>
      </c>
      <c r="X237" s="71">
        <f t="shared" si="66"/>
        <v>0</v>
      </c>
      <c r="Y237" s="37" t="e">
        <f t="shared" si="67"/>
        <v>#DIV/0!</v>
      </c>
      <c r="Z237" s="77"/>
      <c r="AA237" s="77"/>
      <c r="AB237" s="77"/>
      <c r="AC237" s="77"/>
      <c r="AF237" s="77" t="s">
        <v>407</v>
      </c>
      <c r="AG237" s="77">
        <f>VLOOKUP(AF237,'CFN HPV'!A:L,12,FALSE)</f>
        <v>5.67</v>
      </c>
      <c r="AH237" s="145">
        <f>Q237</f>
        <v>0</v>
      </c>
      <c r="AI237" s="77">
        <f>AH237-AG237</f>
        <v>-5.67</v>
      </c>
      <c r="AJ237" s="183"/>
      <c r="AK237" s="33"/>
      <c r="AL237" s="33"/>
      <c r="AM237" s="33"/>
    </row>
    <row r="238" spans="1:39">
      <c r="A238" s="86"/>
      <c r="B238" s="86" t="s">
        <v>2138</v>
      </c>
      <c r="C238" s="86" t="s">
        <v>2139</v>
      </c>
      <c r="D238" s="87">
        <v>30</v>
      </c>
      <c r="E238" s="87" t="s">
        <v>2</v>
      </c>
      <c r="F238" s="509"/>
      <c r="G238" s="509"/>
      <c r="H238" s="509"/>
      <c r="I238" s="34"/>
      <c r="J238" s="57">
        <v>1.75</v>
      </c>
      <c r="K238" s="34">
        <f t="shared" si="56"/>
        <v>0</v>
      </c>
      <c r="L238" s="57"/>
      <c r="M238" s="522"/>
      <c r="N238" s="541">
        <v>0</v>
      </c>
      <c r="O238" s="522"/>
      <c r="P238" s="57"/>
      <c r="Q238" s="42"/>
      <c r="R238" s="27"/>
      <c r="S238" s="41"/>
      <c r="T238" s="47"/>
      <c r="U238" s="28"/>
      <c r="V238" s="48"/>
      <c r="W238" s="71"/>
      <c r="X238" s="71"/>
      <c r="Y238" s="37"/>
      <c r="Z238" s="77"/>
      <c r="AA238" s="77"/>
      <c r="AB238" s="77"/>
      <c r="AC238" s="77"/>
      <c r="AF238" s="77"/>
      <c r="AG238" s="77"/>
      <c r="AH238" s="145"/>
      <c r="AI238" s="77"/>
      <c r="AJ238" s="183"/>
      <c r="AK238" s="33"/>
      <c r="AL238" s="33"/>
      <c r="AM238" s="33"/>
    </row>
    <row r="239" spans="1:39">
      <c r="A239" s="86" t="s">
        <v>353</v>
      </c>
      <c r="B239" s="86" t="s">
        <v>2126</v>
      </c>
      <c r="C239" s="86" t="s">
        <v>2127</v>
      </c>
      <c r="D239" s="87">
        <v>50</v>
      </c>
      <c r="E239" s="87" t="s">
        <v>2128</v>
      </c>
      <c r="F239" s="509"/>
      <c r="G239" s="509"/>
      <c r="H239" s="509"/>
      <c r="I239" s="34"/>
      <c r="J239" s="57">
        <v>0.98</v>
      </c>
      <c r="K239" s="34">
        <f t="shared" si="56"/>
        <v>0</v>
      </c>
      <c r="L239" s="57"/>
      <c r="M239" s="522"/>
      <c r="N239" s="541">
        <v>0</v>
      </c>
      <c r="O239" s="522"/>
      <c r="P239" s="57">
        <f t="shared" ref="P239:P270" si="70">D239*O239</f>
        <v>0</v>
      </c>
      <c r="Q239" s="42">
        <f>O239/(1-0.4)</f>
        <v>0</v>
      </c>
      <c r="R239" s="27">
        <f>D239*Q239</f>
        <v>0</v>
      </c>
      <c r="S239" s="41" t="e">
        <f>(Q239-O239)/Q239</f>
        <v>#DIV/0!</v>
      </c>
      <c r="T239" s="47">
        <f t="shared" ref="T239:T270" si="71">O239/(1-0.2)</f>
        <v>0</v>
      </c>
      <c r="U239" s="28">
        <f t="shared" ref="U239:U270" si="72">D239*T239</f>
        <v>0</v>
      </c>
      <c r="V239" s="48" t="e">
        <f t="shared" ref="V239:V270" si="73">(T239-O239)/T239</f>
        <v>#DIV/0!</v>
      </c>
      <c r="W239" s="71">
        <f>O239/(1-0.3)</f>
        <v>0</v>
      </c>
      <c r="X239" s="71">
        <f>D239*W239</f>
        <v>0</v>
      </c>
      <c r="Y239" s="37" t="e">
        <f>(W239-O239)/W239</f>
        <v>#DIV/0!</v>
      </c>
      <c r="Z239" s="77"/>
      <c r="AA239" s="77"/>
      <c r="AB239" s="77"/>
      <c r="AC239" s="77"/>
      <c r="AF239" s="77"/>
      <c r="AG239" s="77"/>
      <c r="AH239" s="145"/>
      <c r="AI239" s="77"/>
      <c r="AJ239" s="183"/>
      <c r="AK239" s="33"/>
      <c r="AL239" s="33"/>
      <c r="AM239" s="33"/>
    </row>
    <row r="240" spans="1:39">
      <c r="A240" s="86" t="s">
        <v>353</v>
      </c>
      <c r="B240" s="86" t="s">
        <v>1760</v>
      </c>
      <c r="C240" s="86" t="s">
        <v>1446</v>
      </c>
      <c r="D240" s="87">
        <v>50</v>
      </c>
      <c r="E240" s="87" t="s">
        <v>2</v>
      </c>
      <c r="F240" s="509"/>
      <c r="G240" s="509"/>
      <c r="H240" s="509"/>
      <c r="I240" s="34">
        <v>36</v>
      </c>
      <c r="J240" s="34"/>
      <c r="K240" s="34">
        <f t="shared" si="56"/>
        <v>0</v>
      </c>
      <c r="L240" s="34"/>
      <c r="M240" s="522"/>
      <c r="N240" s="541">
        <v>0</v>
      </c>
      <c r="O240" s="522"/>
      <c r="P240" s="57">
        <f t="shared" si="70"/>
        <v>0</v>
      </c>
      <c r="Q240" s="42">
        <f>O240/(1-0.4)</f>
        <v>0</v>
      </c>
      <c r="R240" s="27">
        <f>D240*Q240</f>
        <v>0</v>
      </c>
      <c r="S240" s="41" t="e">
        <f>(Q240-O240)/Q240</f>
        <v>#DIV/0!</v>
      </c>
      <c r="T240" s="47">
        <f t="shared" si="71"/>
        <v>0</v>
      </c>
      <c r="U240" s="28">
        <f t="shared" si="72"/>
        <v>0</v>
      </c>
      <c r="V240" s="48" t="e">
        <f t="shared" si="73"/>
        <v>#DIV/0!</v>
      </c>
      <c r="W240" s="71">
        <f>O240/(1-0.3)</f>
        <v>0</v>
      </c>
      <c r="X240" s="71">
        <f>D240*W240</f>
        <v>0</v>
      </c>
      <c r="Y240" s="37" t="e">
        <f>(W240-O240)/W240</f>
        <v>#DIV/0!</v>
      </c>
      <c r="Z240" s="77"/>
      <c r="AA240" s="77"/>
      <c r="AB240" s="77"/>
      <c r="AC240" s="77"/>
      <c r="AF240" s="77"/>
      <c r="AG240" s="77"/>
      <c r="AH240" s="145"/>
      <c r="AI240" s="77"/>
      <c r="AJ240" s="183"/>
      <c r="AK240" s="33"/>
      <c r="AL240" s="33"/>
      <c r="AM240" s="33"/>
    </row>
    <row r="241" spans="1:39">
      <c r="A241" s="86" t="s">
        <v>353</v>
      </c>
      <c r="B241" s="86" t="s">
        <v>1761</v>
      </c>
      <c r="C241" s="86" t="s">
        <v>1233</v>
      </c>
      <c r="D241" s="87">
        <v>20</v>
      </c>
      <c r="E241" s="87" t="s">
        <v>2</v>
      </c>
      <c r="F241" s="509"/>
      <c r="G241" s="509"/>
      <c r="H241" s="509"/>
      <c r="I241" s="34" t="e">
        <f>VLOOKUP(B241,Pallets!B:F,5,FALSE)</f>
        <v>#N/A</v>
      </c>
      <c r="J241" s="34"/>
      <c r="K241" s="34">
        <f t="shared" si="56"/>
        <v>0</v>
      </c>
      <c r="L241" s="34"/>
      <c r="M241" s="522"/>
      <c r="N241" s="541">
        <v>0</v>
      </c>
      <c r="O241" s="522"/>
      <c r="P241" s="57">
        <f t="shared" si="70"/>
        <v>0</v>
      </c>
      <c r="Q241" s="42"/>
      <c r="R241" s="65"/>
      <c r="S241" s="41"/>
      <c r="T241" s="47">
        <f t="shared" si="71"/>
        <v>0</v>
      </c>
      <c r="U241" s="28">
        <f t="shared" si="72"/>
        <v>0</v>
      </c>
      <c r="V241" s="48" t="e">
        <f t="shared" si="73"/>
        <v>#DIV/0!</v>
      </c>
      <c r="W241" s="71"/>
      <c r="X241" s="71"/>
      <c r="Y241" s="36"/>
      <c r="Z241" s="77"/>
      <c r="AA241" s="77"/>
      <c r="AB241" s="77"/>
      <c r="AC241" s="77"/>
      <c r="AF241" s="77" t="s">
        <v>437</v>
      </c>
      <c r="AG241" s="77">
        <f>VLOOKUP(AF241,'CFN HPV'!A:L,12,FALSE)</f>
        <v>4.32</v>
      </c>
      <c r="AH241" s="145">
        <f>Q241</f>
        <v>0</v>
      </c>
      <c r="AI241" s="77">
        <f>AH241-AG241</f>
        <v>-4.32</v>
      </c>
      <c r="AJ241" s="183"/>
      <c r="AK241" s="33"/>
      <c r="AL241" s="33"/>
      <c r="AM241" s="33"/>
    </row>
    <row r="242" spans="1:39">
      <c r="A242" s="86" t="s">
        <v>353</v>
      </c>
      <c r="B242" s="86" t="s">
        <v>1762</v>
      </c>
      <c r="C242" s="86" t="s">
        <v>1234</v>
      </c>
      <c r="D242" s="87">
        <v>20</v>
      </c>
      <c r="E242" s="87" t="s">
        <v>2</v>
      </c>
      <c r="F242" s="509"/>
      <c r="G242" s="509"/>
      <c r="H242" s="509"/>
      <c r="I242" s="34" t="e">
        <f>VLOOKUP(B242,Pallets!B:F,5,FALSE)</f>
        <v>#N/A</v>
      </c>
      <c r="J242" s="34"/>
      <c r="K242" s="34">
        <f t="shared" si="56"/>
        <v>0</v>
      </c>
      <c r="L242" s="34"/>
      <c r="M242" s="522"/>
      <c r="N242" s="541">
        <v>0</v>
      </c>
      <c r="O242" s="522"/>
      <c r="P242" s="57">
        <f t="shared" si="70"/>
        <v>0</v>
      </c>
      <c r="Q242" s="42">
        <f t="shared" ref="Q242:Q266" si="74">O242/(1-0.4)</f>
        <v>0</v>
      </c>
      <c r="R242" s="27">
        <f t="shared" ref="R242:R266" si="75">D242*Q242</f>
        <v>0</v>
      </c>
      <c r="S242" s="41" t="e">
        <f t="shared" ref="S242:S266" si="76">(Q242-O242)/Q242</f>
        <v>#DIV/0!</v>
      </c>
      <c r="T242" s="47">
        <f t="shared" si="71"/>
        <v>0</v>
      </c>
      <c r="U242" s="28">
        <f t="shared" si="72"/>
        <v>0</v>
      </c>
      <c r="V242" s="48" t="e">
        <f t="shared" si="73"/>
        <v>#DIV/0!</v>
      </c>
      <c r="W242" s="71">
        <f t="shared" ref="W242:W266" si="77">O242/(1-0.3)</f>
        <v>0</v>
      </c>
      <c r="X242" s="71">
        <f t="shared" ref="X242:X266" si="78">D242*W242</f>
        <v>0</v>
      </c>
      <c r="Y242" s="37" t="e">
        <f t="shared" ref="Y242:Y266" si="79">(W242-O242)/W242</f>
        <v>#DIV/0!</v>
      </c>
      <c r="Z242" s="77"/>
      <c r="AA242" s="77"/>
      <c r="AB242" s="77"/>
      <c r="AC242" s="77"/>
      <c r="AF242" s="77" t="s">
        <v>438</v>
      </c>
      <c r="AG242" s="77">
        <f>VLOOKUP(AF242,'CFN HPV'!A:L,12,FALSE)</f>
        <v>8.94</v>
      </c>
      <c r="AH242" s="145">
        <f>Q242</f>
        <v>0</v>
      </c>
      <c r="AI242" s="77">
        <f>AH242-AG242</f>
        <v>-8.94</v>
      </c>
      <c r="AJ242" s="183"/>
      <c r="AK242" s="33"/>
      <c r="AL242" s="33"/>
      <c r="AM242" s="33"/>
    </row>
    <row r="243" spans="1:39">
      <c r="A243" s="86" t="s">
        <v>353</v>
      </c>
      <c r="B243" s="86" t="s">
        <v>1763</v>
      </c>
      <c r="C243" s="86" t="s">
        <v>1235</v>
      </c>
      <c r="D243" s="87">
        <v>100</v>
      </c>
      <c r="E243" s="87" t="s">
        <v>2</v>
      </c>
      <c r="F243" s="509"/>
      <c r="G243" s="509"/>
      <c r="H243" s="509"/>
      <c r="I243" s="34" t="e">
        <f>VLOOKUP(B243,Pallets!B:F,5,FALSE)</f>
        <v>#N/A</v>
      </c>
      <c r="J243" s="57">
        <v>0.96</v>
      </c>
      <c r="K243" s="34">
        <f t="shared" si="56"/>
        <v>0</v>
      </c>
      <c r="L243" s="57"/>
      <c r="M243" s="522"/>
      <c r="N243" s="541">
        <v>0</v>
      </c>
      <c r="O243" s="522"/>
      <c r="P243" s="57">
        <f t="shared" si="70"/>
        <v>0</v>
      </c>
      <c r="Q243" s="42">
        <f t="shared" si="74"/>
        <v>0</v>
      </c>
      <c r="R243" s="27">
        <f t="shared" si="75"/>
        <v>0</v>
      </c>
      <c r="S243" s="41" t="e">
        <f t="shared" si="76"/>
        <v>#DIV/0!</v>
      </c>
      <c r="T243" s="47">
        <f t="shared" si="71"/>
        <v>0</v>
      </c>
      <c r="U243" s="28">
        <f t="shared" si="72"/>
        <v>0</v>
      </c>
      <c r="V243" s="48" t="e">
        <f t="shared" si="73"/>
        <v>#DIV/0!</v>
      </c>
      <c r="W243" s="71">
        <f t="shared" si="77"/>
        <v>0</v>
      </c>
      <c r="X243" s="71">
        <f t="shared" si="78"/>
        <v>0</v>
      </c>
      <c r="Y243" s="37" t="e">
        <f t="shared" si="79"/>
        <v>#DIV/0!</v>
      </c>
      <c r="Z243" s="77"/>
      <c r="AA243" s="77"/>
      <c r="AB243" s="77"/>
      <c r="AC243" s="77"/>
      <c r="AF243" s="77"/>
      <c r="AG243" s="77"/>
      <c r="AH243" s="145"/>
      <c r="AI243" s="77"/>
      <c r="AJ243" s="183"/>
      <c r="AK243" s="33"/>
      <c r="AL243" s="33"/>
      <c r="AM243" s="33"/>
    </row>
    <row r="244" spans="1:39">
      <c r="A244" s="86" t="s">
        <v>353</v>
      </c>
      <c r="B244" s="86" t="s">
        <v>1764</v>
      </c>
      <c r="C244" s="86" t="s">
        <v>1236</v>
      </c>
      <c r="D244" s="87">
        <v>100</v>
      </c>
      <c r="E244" s="87" t="s">
        <v>2</v>
      </c>
      <c r="F244" s="509"/>
      <c r="G244" s="509"/>
      <c r="H244" s="509"/>
      <c r="I244" s="34" t="e">
        <f>VLOOKUP(B244,Pallets!B:F,5,FALSE)</f>
        <v>#N/A</v>
      </c>
      <c r="J244" s="57">
        <v>1.1499999999999999</v>
      </c>
      <c r="K244" s="34">
        <f t="shared" si="56"/>
        <v>0</v>
      </c>
      <c r="L244" s="57"/>
      <c r="M244" s="522"/>
      <c r="N244" s="541">
        <v>0</v>
      </c>
      <c r="O244" s="522"/>
      <c r="P244" s="57">
        <f t="shared" si="70"/>
        <v>0</v>
      </c>
      <c r="Q244" s="42">
        <f t="shared" si="74"/>
        <v>0</v>
      </c>
      <c r="R244" s="27">
        <f t="shared" si="75"/>
        <v>0</v>
      </c>
      <c r="S244" s="41" t="e">
        <f t="shared" si="76"/>
        <v>#DIV/0!</v>
      </c>
      <c r="T244" s="47">
        <f t="shared" si="71"/>
        <v>0</v>
      </c>
      <c r="U244" s="28">
        <f t="shared" si="72"/>
        <v>0</v>
      </c>
      <c r="V244" s="48" t="e">
        <f t="shared" si="73"/>
        <v>#DIV/0!</v>
      </c>
      <c r="W244" s="71">
        <f t="shared" si="77"/>
        <v>0</v>
      </c>
      <c r="X244" s="71">
        <f t="shared" si="78"/>
        <v>0</v>
      </c>
      <c r="Y244" s="37" t="e">
        <f t="shared" si="79"/>
        <v>#DIV/0!</v>
      </c>
      <c r="Z244" s="77"/>
      <c r="AA244" s="77"/>
      <c r="AB244" s="77"/>
      <c r="AC244" s="77"/>
      <c r="AF244" s="77"/>
      <c r="AG244" s="77"/>
      <c r="AH244" s="145"/>
      <c r="AI244" s="77"/>
      <c r="AJ244" s="183"/>
      <c r="AK244" s="33"/>
      <c r="AL244" s="33"/>
      <c r="AM244" s="33"/>
    </row>
    <row r="245" spans="1:39">
      <c r="A245" s="86" t="s">
        <v>353</v>
      </c>
      <c r="B245" s="86" t="s">
        <v>1765</v>
      </c>
      <c r="C245" s="86" t="s">
        <v>1237</v>
      </c>
      <c r="D245" s="87">
        <v>100</v>
      </c>
      <c r="E245" s="87" t="s">
        <v>2</v>
      </c>
      <c r="F245" s="509"/>
      <c r="G245" s="509"/>
      <c r="H245" s="509"/>
      <c r="I245" s="34" t="e">
        <f>VLOOKUP(B245,Pallets!B:F,5,FALSE)</f>
        <v>#N/A</v>
      </c>
      <c r="J245" s="57">
        <v>1.24</v>
      </c>
      <c r="K245" s="34">
        <f t="shared" si="56"/>
        <v>0</v>
      </c>
      <c r="L245" s="57"/>
      <c r="M245" s="522"/>
      <c r="N245" s="541">
        <v>0</v>
      </c>
      <c r="O245" s="522"/>
      <c r="P245" s="57">
        <f t="shared" si="70"/>
        <v>0</v>
      </c>
      <c r="Q245" s="42">
        <f t="shared" si="74"/>
        <v>0</v>
      </c>
      <c r="R245" s="27">
        <f t="shared" si="75"/>
        <v>0</v>
      </c>
      <c r="S245" s="41" t="e">
        <f t="shared" si="76"/>
        <v>#DIV/0!</v>
      </c>
      <c r="T245" s="47">
        <f t="shared" si="71"/>
        <v>0</v>
      </c>
      <c r="U245" s="28">
        <f t="shared" si="72"/>
        <v>0</v>
      </c>
      <c r="V245" s="48" t="e">
        <f t="shared" si="73"/>
        <v>#DIV/0!</v>
      </c>
      <c r="W245" s="71">
        <f t="shared" si="77"/>
        <v>0</v>
      </c>
      <c r="X245" s="71">
        <f t="shared" si="78"/>
        <v>0</v>
      </c>
      <c r="Y245" s="37" t="e">
        <f t="shared" si="79"/>
        <v>#DIV/0!</v>
      </c>
      <c r="Z245" s="77"/>
      <c r="AA245" s="77"/>
      <c r="AB245" s="77"/>
      <c r="AC245" s="77"/>
      <c r="AF245" s="77" t="s">
        <v>408</v>
      </c>
      <c r="AG245" s="77">
        <f>VLOOKUP(AF245,'CFN HPV'!A:L,12,FALSE)</f>
        <v>4.0999999999999996</v>
      </c>
      <c r="AH245" s="145">
        <f>Q245</f>
        <v>0</v>
      </c>
      <c r="AI245" s="77">
        <f>AH245-AG245</f>
        <v>-4.0999999999999996</v>
      </c>
      <c r="AJ245" s="183"/>
      <c r="AK245" s="33"/>
      <c r="AL245" s="33"/>
      <c r="AM245" s="33"/>
    </row>
    <row r="246" spans="1:39">
      <c r="A246" s="86" t="s">
        <v>353</v>
      </c>
      <c r="B246" s="86" t="s">
        <v>1766</v>
      </c>
      <c r="C246" s="86" t="s">
        <v>1238</v>
      </c>
      <c r="D246" s="87">
        <v>40</v>
      </c>
      <c r="E246" s="87" t="s">
        <v>2</v>
      </c>
      <c r="F246" s="509"/>
      <c r="G246" s="509"/>
      <c r="H246" s="509"/>
      <c r="I246" s="34" t="e">
        <f>VLOOKUP(B246,Pallets!B:F,5,FALSE)</f>
        <v>#N/A</v>
      </c>
      <c r="J246" s="57"/>
      <c r="K246" s="34">
        <f t="shared" si="56"/>
        <v>0</v>
      </c>
      <c r="L246" s="57"/>
      <c r="M246" s="522"/>
      <c r="N246" s="541">
        <v>0</v>
      </c>
      <c r="O246" s="522"/>
      <c r="P246" s="57">
        <f t="shared" si="70"/>
        <v>0</v>
      </c>
      <c r="Q246" s="42">
        <f t="shared" si="74"/>
        <v>0</v>
      </c>
      <c r="R246" s="27">
        <f t="shared" si="75"/>
        <v>0</v>
      </c>
      <c r="S246" s="41" t="e">
        <f t="shared" si="76"/>
        <v>#DIV/0!</v>
      </c>
      <c r="T246" s="47">
        <f t="shared" si="71"/>
        <v>0</v>
      </c>
      <c r="U246" s="28">
        <f t="shared" si="72"/>
        <v>0</v>
      </c>
      <c r="V246" s="48" t="e">
        <f t="shared" si="73"/>
        <v>#DIV/0!</v>
      </c>
      <c r="W246" s="71">
        <f t="shared" si="77"/>
        <v>0</v>
      </c>
      <c r="X246" s="71">
        <f t="shared" si="78"/>
        <v>0</v>
      </c>
      <c r="Y246" s="37" t="e">
        <f t="shared" si="79"/>
        <v>#DIV/0!</v>
      </c>
      <c r="Z246" s="77"/>
      <c r="AA246" s="77"/>
      <c r="AB246" s="77"/>
      <c r="AC246" s="77"/>
      <c r="AF246" s="74"/>
      <c r="AG246" s="77"/>
      <c r="AH246" s="145"/>
      <c r="AI246" s="77"/>
      <c r="AJ246" s="183"/>
      <c r="AK246" s="33"/>
      <c r="AL246" s="33"/>
      <c r="AM246" s="33"/>
    </row>
    <row r="247" spans="1:39">
      <c r="A247" s="86" t="s">
        <v>353</v>
      </c>
      <c r="B247" s="86" t="s">
        <v>1767</v>
      </c>
      <c r="C247" s="86" t="s">
        <v>1239</v>
      </c>
      <c r="D247" s="87">
        <v>40</v>
      </c>
      <c r="E247" s="87" t="s">
        <v>2</v>
      </c>
      <c r="F247" s="509"/>
      <c r="G247" s="509"/>
      <c r="H247" s="509"/>
      <c r="I247" s="34" t="e">
        <f>VLOOKUP(B247,Pallets!B:F,5,FALSE)</f>
        <v>#N/A</v>
      </c>
      <c r="J247" s="57">
        <v>4.75</v>
      </c>
      <c r="K247" s="34">
        <f t="shared" si="56"/>
        <v>0</v>
      </c>
      <c r="L247" s="57"/>
      <c r="M247" s="522"/>
      <c r="N247" s="541">
        <v>0</v>
      </c>
      <c r="O247" s="522"/>
      <c r="P247" s="57">
        <f t="shared" si="70"/>
        <v>0</v>
      </c>
      <c r="Q247" s="42">
        <f t="shared" si="74"/>
        <v>0</v>
      </c>
      <c r="R247" s="65">
        <f t="shared" si="75"/>
        <v>0</v>
      </c>
      <c r="S247" s="41" t="e">
        <f t="shared" si="76"/>
        <v>#DIV/0!</v>
      </c>
      <c r="T247" s="47">
        <f t="shared" si="71"/>
        <v>0</v>
      </c>
      <c r="U247" s="28">
        <f t="shared" si="72"/>
        <v>0</v>
      </c>
      <c r="V247" s="48" t="e">
        <f t="shared" si="73"/>
        <v>#DIV/0!</v>
      </c>
      <c r="W247" s="71">
        <f t="shared" si="77"/>
        <v>0</v>
      </c>
      <c r="X247" s="71">
        <f t="shared" si="78"/>
        <v>0</v>
      </c>
      <c r="Y247" s="36" t="e">
        <f t="shared" si="79"/>
        <v>#DIV/0!</v>
      </c>
      <c r="Z247" s="77"/>
      <c r="AA247" s="77"/>
      <c r="AB247" s="77"/>
      <c r="AC247" s="77"/>
      <c r="AF247" s="74" t="s">
        <v>409</v>
      </c>
      <c r="AG247" s="77">
        <f>VLOOKUP(AF247,'CFN HPV'!A:L,12,FALSE)</f>
        <v>5.12</v>
      </c>
      <c r="AH247" s="145">
        <f>Q247</f>
        <v>0</v>
      </c>
      <c r="AI247" s="77">
        <f>AH247-AG247</f>
        <v>-5.12</v>
      </c>
      <c r="AJ247" s="183"/>
      <c r="AK247" s="33"/>
      <c r="AL247" s="33"/>
      <c r="AM247" s="33"/>
    </row>
    <row r="248" spans="1:39">
      <c r="A248" s="86" t="s">
        <v>353</v>
      </c>
      <c r="B248" s="86" t="s">
        <v>1768</v>
      </c>
      <c r="C248" s="86" t="s">
        <v>1240</v>
      </c>
      <c r="D248" s="87">
        <v>20</v>
      </c>
      <c r="E248" s="87" t="s">
        <v>2</v>
      </c>
      <c r="F248" s="509"/>
      <c r="G248" s="509"/>
      <c r="H248" s="509"/>
      <c r="I248" s="34" t="e">
        <f>VLOOKUP(B248,Pallets!B:F,5,FALSE)</f>
        <v>#N/A</v>
      </c>
      <c r="J248" s="57">
        <v>6.95</v>
      </c>
      <c r="K248" s="34">
        <f t="shared" si="56"/>
        <v>0</v>
      </c>
      <c r="L248" s="57"/>
      <c r="M248" s="522"/>
      <c r="N248" s="541">
        <v>0</v>
      </c>
      <c r="O248" s="522"/>
      <c r="P248" s="57">
        <f t="shared" si="70"/>
        <v>0</v>
      </c>
      <c r="Q248" s="42">
        <f t="shared" si="74"/>
        <v>0</v>
      </c>
      <c r="R248" s="65">
        <f t="shared" si="75"/>
        <v>0</v>
      </c>
      <c r="S248" s="41" t="e">
        <f t="shared" si="76"/>
        <v>#DIV/0!</v>
      </c>
      <c r="T248" s="47">
        <f t="shared" si="71"/>
        <v>0</v>
      </c>
      <c r="U248" s="28">
        <f t="shared" si="72"/>
        <v>0</v>
      </c>
      <c r="V248" s="48" t="e">
        <f t="shared" si="73"/>
        <v>#DIV/0!</v>
      </c>
      <c r="W248" s="71">
        <f t="shared" si="77"/>
        <v>0</v>
      </c>
      <c r="X248" s="71">
        <f t="shared" si="78"/>
        <v>0</v>
      </c>
      <c r="Y248" s="36" t="e">
        <f t="shared" si="79"/>
        <v>#DIV/0!</v>
      </c>
      <c r="Z248" s="77"/>
      <c r="AA248" s="77"/>
      <c r="AB248" s="77"/>
      <c r="AC248" s="77"/>
      <c r="AF248" s="74"/>
      <c r="AG248" s="77"/>
      <c r="AH248" s="145"/>
      <c r="AI248" s="77"/>
      <c r="AJ248" s="183"/>
      <c r="AK248" s="33"/>
      <c r="AL248" s="33"/>
      <c r="AM248" s="33"/>
    </row>
    <row r="249" spans="1:39">
      <c r="A249" s="86" t="s">
        <v>353</v>
      </c>
      <c r="B249" s="86" t="s">
        <v>1769</v>
      </c>
      <c r="C249" s="86" t="s">
        <v>1241</v>
      </c>
      <c r="D249" s="87">
        <v>10</v>
      </c>
      <c r="E249" s="87" t="s">
        <v>2</v>
      </c>
      <c r="F249" s="509"/>
      <c r="G249" s="509"/>
      <c r="H249" s="509"/>
      <c r="I249" s="34" t="e">
        <f>VLOOKUP(B249,Pallets!B:F,5,FALSE)</f>
        <v>#N/A</v>
      </c>
      <c r="J249" s="57">
        <v>11.2</v>
      </c>
      <c r="K249" s="34">
        <f t="shared" si="56"/>
        <v>0</v>
      </c>
      <c r="L249" s="57"/>
      <c r="M249" s="522"/>
      <c r="N249" s="541">
        <v>0</v>
      </c>
      <c r="O249" s="522"/>
      <c r="P249" s="57">
        <f t="shared" si="70"/>
        <v>0</v>
      </c>
      <c r="Q249" s="42">
        <f t="shared" si="74"/>
        <v>0</v>
      </c>
      <c r="R249" s="65">
        <f t="shared" si="75"/>
        <v>0</v>
      </c>
      <c r="S249" s="41" t="e">
        <f t="shared" si="76"/>
        <v>#DIV/0!</v>
      </c>
      <c r="T249" s="47">
        <f t="shared" si="71"/>
        <v>0</v>
      </c>
      <c r="U249" s="28">
        <f t="shared" si="72"/>
        <v>0</v>
      </c>
      <c r="V249" s="48" t="e">
        <f t="shared" si="73"/>
        <v>#DIV/0!</v>
      </c>
      <c r="W249" s="71">
        <f t="shared" si="77"/>
        <v>0</v>
      </c>
      <c r="X249" s="71">
        <f t="shared" si="78"/>
        <v>0</v>
      </c>
      <c r="Y249" s="37" t="e">
        <f t="shared" si="79"/>
        <v>#DIV/0!</v>
      </c>
      <c r="Z249" s="77"/>
      <c r="AA249" s="77"/>
      <c r="AB249" s="77"/>
      <c r="AC249" s="77"/>
      <c r="AF249" s="74" t="s">
        <v>412</v>
      </c>
      <c r="AG249" s="77">
        <f>VLOOKUP(AF249,'CFN HPV'!A:L,12,FALSE)</f>
        <v>13.38</v>
      </c>
      <c r="AH249" s="145">
        <f t="shared" ref="AH249:AH257" si="80">Q249</f>
        <v>0</v>
      </c>
      <c r="AI249" s="77">
        <f t="shared" ref="AI249:AI257" si="81">AH249-AG249</f>
        <v>-13.38</v>
      </c>
      <c r="AJ249" s="183"/>
      <c r="AK249" s="33"/>
      <c r="AL249" s="33"/>
      <c r="AM249" s="33"/>
    </row>
    <row r="250" spans="1:39">
      <c r="A250" s="86" t="s">
        <v>353</v>
      </c>
      <c r="B250" s="86" t="s">
        <v>1770</v>
      </c>
      <c r="C250" s="86" t="s">
        <v>1242</v>
      </c>
      <c r="D250" s="87">
        <v>10</v>
      </c>
      <c r="E250" s="87" t="s">
        <v>2</v>
      </c>
      <c r="F250" s="509"/>
      <c r="G250" s="509"/>
      <c r="H250" s="509"/>
      <c r="I250" s="34">
        <v>24</v>
      </c>
      <c r="J250" s="57">
        <v>5.5</v>
      </c>
      <c r="K250" s="34">
        <f t="shared" si="56"/>
        <v>0</v>
      </c>
      <c r="L250" s="57"/>
      <c r="M250" s="522"/>
      <c r="N250" s="541">
        <v>0</v>
      </c>
      <c r="O250" s="522"/>
      <c r="P250" s="57">
        <f t="shared" si="70"/>
        <v>0</v>
      </c>
      <c r="Q250" s="42">
        <f t="shared" si="74"/>
        <v>0</v>
      </c>
      <c r="R250" s="27">
        <f t="shared" si="75"/>
        <v>0</v>
      </c>
      <c r="S250" s="41" t="e">
        <f t="shared" si="76"/>
        <v>#DIV/0!</v>
      </c>
      <c r="T250" s="47">
        <f t="shared" si="71"/>
        <v>0</v>
      </c>
      <c r="U250" s="28">
        <f t="shared" si="72"/>
        <v>0</v>
      </c>
      <c r="V250" s="48" t="e">
        <f t="shared" si="73"/>
        <v>#DIV/0!</v>
      </c>
      <c r="W250" s="71">
        <f t="shared" si="77"/>
        <v>0</v>
      </c>
      <c r="X250" s="71">
        <f t="shared" si="78"/>
        <v>0</v>
      </c>
      <c r="Y250" s="37" t="e">
        <f t="shared" si="79"/>
        <v>#DIV/0!</v>
      </c>
      <c r="Z250" s="77"/>
      <c r="AA250" s="77"/>
      <c r="AB250" s="77"/>
      <c r="AC250" s="77"/>
      <c r="AF250" s="74" t="s">
        <v>644</v>
      </c>
      <c r="AG250" s="77">
        <f>VLOOKUP(AF250,'CFN HPV'!A:L,12,FALSE)</f>
        <v>10.63</v>
      </c>
      <c r="AH250" s="145">
        <f t="shared" si="80"/>
        <v>0</v>
      </c>
      <c r="AI250" s="77">
        <f t="shared" si="81"/>
        <v>-10.63</v>
      </c>
      <c r="AJ250" s="183"/>
      <c r="AK250" s="33"/>
      <c r="AL250" s="33"/>
      <c r="AM250" s="33"/>
    </row>
    <row r="251" spans="1:39">
      <c r="A251" s="86" t="s">
        <v>353</v>
      </c>
      <c r="B251" s="86" t="s">
        <v>1771</v>
      </c>
      <c r="C251" s="86" t="s">
        <v>1243</v>
      </c>
      <c r="D251" s="87">
        <v>30</v>
      </c>
      <c r="E251" s="87" t="s">
        <v>2</v>
      </c>
      <c r="F251" s="509"/>
      <c r="G251" s="509"/>
      <c r="H251" s="509"/>
      <c r="I251" s="34" t="e">
        <f>VLOOKUP(B251,Pallets!B:F,5,FALSE)</f>
        <v>#N/A</v>
      </c>
      <c r="J251" s="57">
        <v>2.08</v>
      </c>
      <c r="K251" s="34">
        <f t="shared" si="56"/>
        <v>0</v>
      </c>
      <c r="L251" s="57"/>
      <c r="M251" s="522"/>
      <c r="N251" s="541">
        <v>0</v>
      </c>
      <c r="O251" s="522"/>
      <c r="P251" s="57">
        <f t="shared" si="70"/>
        <v>0</v>
      </c>
      <c r="Q251" s="42">
        <f t="shared" si="74"/>
        <v>0</v>
      </c>
      <c r="R251" s="27">
        <f t="shared" si="75"/>
        <v>0</v>
      </c>
      <c r="S251" s="41" t="e">
        <f t="shared" si="76"/>
        <v>#DIV/0!</v>
      </c>
      <c r="T251" s="47">
        <f t="shared" si="71"/>
        <v>0</v>
      </c>
      <c r="U251" s="28">
        <f t="shared" si="72"/>
        <v>0</v>
      </c>
      <c r="V251" s="48" t="e">
        <f t="shared" si="73"/>
        <v>#DIV/0!</v>
      </c>
      <c r="W251" s="71">
        <f t="shared" si="77"/>
        <v>0</v>
      </c>
      <c r="X251" s="71">
        <f t="shared" si="78"/>
        <v>0</v>
      </c>
      <c r="Y251" s="37" t="e">
        <f t="shared" si="79"/>
        <v>#DIV/0!</v>
      </c>
      <c r="Z251" s="77"/>
      <c r="AA251" s="77"/>
      <c r="AB251" s="77"/>
      <c r="AC251" s="77"/>
      <c r="AF251" s="77" t="s">
        <v>432</v>
      </c>
      <c r="AG251" s="77">
        <f>VLOOKUP(AF251,'CFN HPV'!A:L,12,FALSE)</f>
        <v>3.94</v>
      </c>
      <c r="AH251" s="145">
        <f t="shared" si="80"/>
        <v>0</v>
      </c>
      <c r="AI251" s="77">
        <f t="shared" si="81"/>
        <v>-3.94</v>
      </c>
      <c r="AJ251" s="183"/>
      <c r="AK251" s="33"/>
      <c r="AL251" s="33"/>
      <c r="AM251" s="33"/>
    </row>
    <row r="252" spans="1:39">
      <c r="A252" s="86" t="s">
        <v>353</v>
      </c>
      <c r="B252" s="86" t="s">
        <v>1772</v>
      </c>
      <c r="C252" s="86" t="s">
        <v>1244</v>
      </c>
      <c r="D252" s="87">
        <v>30</v>
      </c>
      <c r="E252" s="87" t="s">
        <v>2</v>
      </c>
      <c r="F252" s="509"/>
      <c r="G252" s="509"/>
      <c r="H252" s="509"/>
      <c r="I252" s="34" t="e">
        <f>VLOOKUP(B252,Pallets!B:F,5,FALSE)</f>
        <v>#N/A</v>
      </c>
      <c r="J252" s="57">
        <v>2.3199999999999998</v>
      </c>
      <c r="K252" s="34">
        <f t="shared" si="56"/>
        <v>0</v>
      </c>
      <c r="L252" s="57"/>
      <c r="M252" s="522"/>
      <c r="N252" s="541">
        <v>0</v>
      </c>
      <c r="O252" s="522"/>
      <c r="P252" s="57">
        <f t="shared" si="70"/>
        <v>0</v>
      </c>
      <c r="Q252" s="42">
        <f t="shared" si="74"/>
        <v>0</v>
      </c>
      <c r="R252" s="27">
        <f t="shared" si="75"/>
        <v>0</v>
      </c>
      <c r="S252" s="41" t="e">
        <f t="shared" si="76"/>
        <v>#DIV/0!</v>
      </c>
      <c r="T252" s="47">
        <f t="shared" si="71"/>
        <v>0</v>
      </c>
      <c r="U252" s="28">
        <f t="shared" si="72"/>
        <v>0</v>
      </c>
      <c r="V252" s="48" t="e">
        <f t="shared" si="73"/>
        <v>#DIV/0!</v>
      </c>
      <c r="W252" s="71">
        <f t="shared" si="77"/>
        <v>0</v>
      </c>
      <c r="X252" s="71">
        <f t="shared" si="78"/>
        <v>0</v>
      </c>
      <c r="Y252" s="37" t="e">
        <f t="shared" si="79"/>
        <v>#DIV/0!</v>
      </c>
      <c r="Z252" s="77"/>
      <c r="AA252" s="77"/>
      <c r="AB252" s="77"/>
      <c r="AC252" s="77"/>
      <c r="AF252" s="77" t="s">
        <v>433</v>
      </c>
      <c r="AG252" s="77">
        <f>VLOOKUP(AF252,'CFN HPV'!A:L,12,FALSE)</f>
        <v>3.69</v>
      </c>
      <c r="AH252" s="145">
        <f t="shared" si="80"/>
        <v>0</v>
      </c>
      <c r="AI252" s="77">
        <f t="shared" si="81"/>
        <v>-3.69</v>
      </c>
      <c r="AJ252" s="183"/>
      <c r="AK252" s="33"/>
      <c r="AL252" s="33"/>
      <c r="AM252" s="33"/>
    </row>
    <row r="253" spans="1:39">
      <c r="A253" s="86" t="s">
        <v>353</v>
      </c>
      <c r="B253" s="86" t="s">
        <v>1773</v>
      </c>
      <c r="C253" s="86" t="s">
        <v>1245</v>
      </c>
      <c r="D253" s="87">
        <v>10</v>
      </c>
      <c r="E253" s="87" t="s">
        <v>2</v>
      </c>
      <c r="F253" s="509"/>
      <c r="G253" s="509"/>
      <c r="H253" s="509"/>
      <c r="I253" s="34" t="e">
        <f>VLOOKUP(B253,Pallets!B:F,5,FALSE)</f>
        <v>#N/A</v>
      </c>
      <c r="J253" s="57">
        <v>4.72</v>
      </c>
      <c r="K253" s="34">
        <f t="shared" si="56"/>
        <v>0</v>
      </c>
      <c r="L253" s="57"/>
      <c r="M253" s="522"/>
      <c r="N253" s="541">
        <v>0</v>
      </c>
      <c r="O253" s="522"/>
      <c r="P253" s="57">
        <f t="shared" si="70"/>
        <v>0</v>
      </c>
      <c r="Q253" s="42">
        <f t="shared" si="74"/>
        <v>0</v>
      </c>
      <c r="R253" s="65">
        <f t="shared" si="75"/>
        <v>0</v>
      </c>
      <c r="S253" s="41" t="e">
        <f t="shared" si="76"/>
        <v>#DIV/0!</v>
      </c>
      <c r="T253" s="47">
        <f t="shared" si="71"/>
        <v>0</v>
      </c>
      <c r="U253" s="28">
        <f t="shared" si="72"/>
        <v>0</v>
      </c>
      <c r="V253" s="48" t="e">
        <f t="shared" si="73"/>
        <v>#DIV/0!</v>
      </c>
      <c r="W253" s="71">
        <f t="shared" si="77"/>
        <v>0</v>
      </c>
      <c r="X253" s="71">
        <f t="shared" si="78"/>
        <v>0</v>
      </c>
      <c r="Y253" s="37" t="e">
        <f t="shared" si="79"/>
        <v>#DIV/0!</v>
      </c>
      <c r="Z253" s="77"/>
      <c r="AA253" s="77"/>
      <c r="AB253" s="77"/>
      <c r="AC253" s="77"/>
      <c r="AF253" s="74" t="s">
        <v>410</v>
      </c>
      <c r="AG253" s="77">
        <f>VLOOKUP(AF253,'CFN HPV'!A:L,12,FALSE)</f>
        <v>9.14</v>
      </c>
      <c r="AH253" s="145">
        <f t="shared" si="80"/>
        <v>0</v>
      </c>
      <c r="AI253" s="77">
        <f t="shared" si="81"/>
        <v>-9.14</v>
      </c>
      <c r="AJ253" s="183"/>
      <c r="AK253" s="33"/>
      <c r="AL253" s="33"/>
      <c r="AM253" s="33"/>
    </row>
    <row r="254" spans="1:39">
      <c r="A254" s="86" t="s">
        <v>353</v>
      </c>
      <c r="B254" s="86" t="s">
        <v>1774</v>
      </c>
      <c r="C254" s="86" t="s">
        <v>1246</v>
      </c>
      <c r="D254" s="87">
        <v>30</v>
      </c>
      <c r="E254" s="87" t="s">
        <v>2</v>
      </c>
      <c r="F254" s="509"/>
      <c r="G254" s="509"/>
      <c r="H254" s="509"/>
      <c r="I254" s="34">
        <v>58</v>
      </c>
      <c r="J254" s="57">
        <v>2.9</v>
      </c>
      <c r="K254" s="34">
        <f t="shared" si="56"/>
        <v>0</v>
      </c>
      <c r="L254" s="57"/>
      <c r="M254" s="522"/>
      <c r="N254" s="541">
        <v>0</v>
      </c>
      <c r="O254" s="522"/>
      <c r="P254" s="57">
        <f t="shared" si="70"/>
        <v>0</v>
      </c>
      <c r="Q254" s="42">
        <f t="shared" si="74"/>
        <v>0</v>
      </c>
      <c r="R254" s="27">
        <f t="shared" si="75"/>
        <v>0</v>
      </c>
      <c r="S254" s="41" t="e">
        <f t="shared" si="76"/>
        <v>#DIV/0!</v>
      </c>
      <c r="T254" s="47">
        <f t="shared" si="71"/>
        <v>0</v>
      </c>
      <c r="U254" s="28">
        <f t="shared" si="72"/>
        <v>0</v>
      </c>
      <c r="V254" s="48" t="e">
        <f t="shared" si="73"/>
        <v>#DIV/0!</v>
      </c>
      <c r="W254" s="71">
        <f t="shared" si="77"/>
        <v>0</v>
      </c>
      <c r="X254" s="71">
        <f t="shared" si="78"/>
        <v>0</v>
      </c>
      <c r="Y254" s="37" t="e">
        <f t="shared" si="79"/>
        <v>#DIV/0!</v>
      </c>
      <c r="Z254" s="77"/>
      <c r="AA254" s="77">
        <v>4.1500000000000004</v>
      </c>
      <c r="AB254" s="77"/>
      <c r="AC254" s="77"/>
      <c r="AF254" s="77" t="s">
        <v>434</v>
      </c>
      <c r="AG254" s="77">
        <f>VLOOKUP(AF254,'CFN HPV'!A:L,12,FALSE)</f>
        <v>4.25</v>
      </c>
      <c r="AH254" s="145">
        <f t="shared" si="80"/>
        <v>0</v>
      </c>
      <c r="AI254" s="77">
        <f t="shared" si="81"/>
        <v>-4.25</v>
      </c>
      <c r="AJ254" s="183"/>
      <c r="AK254" s="33"/>
      <c r="AL254" s="33"/>
      <c r="AM254" s="33"/>
    </row>
    <row r="255" spans="1:39">
      <c r="A255" s="86" t="s">
        <v>353</v>
      </c>
      <c r="B255" s="86" t="s">
        <v>1775</v>
      </c>
      <c r="C255" s="86" t="s">
        <v>1247</v>
      </c>
      <c r="D255" s="87">
        <v>20</v>
      </c>
      <c r="E255" s="87" t="s">
        <v>2</v>
      </c>
      <c r="F255" s="509"/>
      <c r="G255" s="509"/>
      <c r="H255" s="509"/>
      <c r="I255" s="34">
        <v>52</v>
      </c>
      <c r="J255" s="57">
        <v>3.2</v>
      </c>
      <c r="K255" s="34">
        <f t="shared" si="56"/>
        <v>0</v>
      </c>
      <c r="L255" s="57"/>
      <c r="M255" s="522"/>
      <c r="N255" s="541">
        <v>0</v>
      </c>
      <c r="O255" s="522"/>
      <c r="P255" s="57">
        <f t="shared" si="70"/>
        <v>0</v>
      </c>
      <c r="Q255" s="42">
        <f t="shared" si="74"/>
        <v>0</v>
      </c>
      <c r="R255" s="27">
        <f t="shared" si="75"/>
        <v>0</v>
      </c>
      <c r="S255" s="41" t="e">
        <f t="shared" si="76"/>
        <v>#DIV/0!</v>
      </c>
      <c r="T255" s="47">
        <f t="shared" si="71"/>
        <v>0</v>
      </c>
      <c r="U255" s="28">
        <f t="shared" si="72"/>
        <v>0</v>
      </c>
      <c r="V255" s="48" t="e">
        <f t="shared" si="73"/>
        <v>#DIV/0!</v>
      </c>
      <c r="W255" s="71">
        <f t="shared" si="77"/>
        <v>0</v>
      </c>
      <c r="X255" s="71">
        <f t="shared" si="78"/>
        <v>0</v>
      </c>
      <c r="Y255" s="37" t="e">
        <f t="shared" si="79"/>
        <v>#DIV/0!</v>
      </c>
      <c r="Z255" s="77"/>
      <c r="AA255" s="77">
        <v>4.8</v>
      </c>
      <c r="AB255" s="77">
        <v>4.83</v>
      </c>
      <c r="AC255" s="77"/>
      <c r="AF255" s="77" t="s">
        <v>435</v>
      </c>
      <c r="AG255" s="77">
        <f>VLOOKUP(AF255,'CFN HPV'!A:L,12,FALSE)</f>
        <v>4.75</v>
      </c>
      <c r="AH255" s="145">
        <f t="shared" si="80"/>
        <v>0</v>
      </c>
      <c r="AI255" s="77">
        <f t="shared" si="81"/>
        <v>-4.75</v>
      </c>
      <c r="AJ255" s="183"/>
      <c r="AK255" s="33"/>
      <c r="AL255" s="33"/>
      <c r="AM255" s="33"/>
    </row>
    <row r="256" spans="1:39">
      <c r="A256" s="86" t="s">
        <v>353</v>
      </c>
      <c r="B256" s="86" t="s">
        <v>1776</v>
      </c>
      <c r="C256" s="86" t="s">
        <v>1248</v>
      </c>
      <c r="D256" s="87">
        <v>20</v>
      </c>
      <c r="E256" s="87" t="s">
        <v>2</v>
      </c>
      <c r="F256" s="509"/>
      <c r="G256" s="509"/>
      <c r="H256" s="509"/>
      <c r="I256" s="34" t="e">
        <f>VLOOKUP(B256,Pallets!B:F,5,FALSE)</f>
        <v>#N/A</v>
      </c>
      <c r="J256" s="57">
        <v>3.66</v>
      </c>
      <c r="K256" s="34" t="str">
        <f xml:space="preserve"> IFERROR(1200/#REF!,"Not available")</f>
        <v>Not available</v>
      </c>
      <c r="L256" s="57"/>
      <c r="M256" s="522"/>
      <c r="N256" s="541">
        <v>0</v>
      </c>
      <c r="O256" s="522"/>
      <c r="P256" s="57">
        <f t="shared" si="70"/>
        <v>0</v>
      </c>
      <c r="Q256" s="42">
        <f t="shared" si="74"/>
        <v>0</v>
      </c>
      <c r="R256" s="27">
        <f t="shared" si="75"/>
        <v>0</v>
      </c>
      <c r="S256" s="41" t="e">
        <f t="shared" si="76"/>
        <v>#DIV/0!</v>
      </c>
      <c r="T256" s="47">
        <f t="shared" si="71"/>
        <v>0</v>
      </c>
      <c r="U256" s="28">
        <f t="shared" si="72"/>
        <v>0</v>
      </c>
      <c r="V256" s="48" t="e">
        <f t="shared" si="73"/>
        <v>#DIV/0!</v>
      </c>
      <c r="W256" s="71">
        <f t="shared" si="77"/>
        <v>0</v>
      </c>
      <c r="X256" s="71">
        <f t="shared" si="78"/>
        <v>0</v>
      </c>
      <c r="Y256" s="37" t="e">
        <f t="shared" si="79"/>
        <v>#DIV/0!</v>
      </c>
      <c r="Z256" s="77"/>
      <c r="AA256" s="77"/>
      <c r="AB256" s="77">
        <v>3.92</v>
      </c>
      <c r="AC256" s="77"/>
      <c r="AF256" s="77" t="s">
        <v>422</v>
      </c>
      <c r="AG256" s="77">
        <f>VLOOKUP(AF256,'CFN HPV'!A:L,12,FALSE)</f>
        <v>4.7699999999999996</v>
      </c>
      <c r="AH256" s="145">
        <f t="shared" si="80"/>
        <v>0</v>
      </c>
      <c r="AI256" s="77">
        <f t="shared" si="81"/>
        <v>-4.7699999999999996</v>
      </c>
      <c r="AJ256" s="183"/>
      <c r="AK256" s="33"/>
      <c r="AL256" s="33"/>
      <c r="AM256" s="33"/>
    </row>
    <row r="257" spans="1:39">
      <c r="A257" s="86" t="s">
        <v>353</v>
      </c>
      <c r="B257" s="86" t="s">
        <v>1777</v>
      </c>
      <c r="C257" s="86" t="s">
        <v>1249</v>
      </c>
      <c r="D257" s="87">
        <v>10</v>
      </c>
      <c r="E257" s="87" t="s">
        <v>2</v>
      </c>
      <c r="F257" s="509"/>
      <c r="G257" s="509"/>
      <c r="H257" s="509"/>
      <c r="I257" s="34" t="e">
        <f>VLOOKUP(B257,Pallets!B:F,5,FALSE)</f>
        <v>#N/A</v>
      </c>
      <c r="J257" s="34"/>
      <c r="K257" s="34" t="str">
        <f xml:space="preserve"> IFERROR(1200/#REF!,"Not available")</f>
        <v>Not available</v>
      </c>
      <c r="L257" s="34"/>
      <c r="M257" s="522"/>
      <c r="N257" s="541">
        <v>0</v>
      </c>
      <c r="O257" s="522"/>
      <c r="P257" s="57">
        <f t="shared" si="70"/>
        <v>0</v>
      </c>
      <c r="Q257" s="42">
        <f t="shared" si="74"/>
        <v>0</v>
      </c>
      <c r="R257" s="27">
        <f t="shared" si="75"/>
        <v>0</v>
      </c>
      <c r="S257" s="41" t="e">
        <f t="shared" si="76"/>
        <v>#DIV/0!</v>
      </c>
      <c r="T257" s="47">
        <f t="shared" si="71"/>
        <v>0</v>
      </c>
      <c r="U257" s="28">
        <f t="shared" si="72"/>
        <v>0</v>
      </c>
      <c r="V257" s="48" t="e">
        <f t="shared" si="73"/>
        <v>#DIV/0!</v>
      </c>
      <c r="W257" s="71">
        <f t="shared" si="77"/>
        <v>0</v>
      </c>
      <c r="X257" s="71">
        <f t="shared" si="78"/>
        <v>0</v>
      </c>
      <c r="Y257" s="37" t="e">
        <f t="shared" si="79"/>
        <v>#DIV/0!</v>
      </c>
      <c r="Z257" s="77"/>
      <c r="AA257" s="77"/>
      <c r="AB257" s="77"/>
      <c r="AC257" s="77"/>
      <c r="AF257" s="74" t="s">
        <v>440</v>
      </c>
      <c r="AG257" s="77">
        <f>VLOOKUP(AF257,'CFN HPV'!A:L,12,FALSE)</f>
        <v>9.66</v>
      </c>
      <c r="AH257" s="145">
        <f t="shared" si="80"/>
        <v>0</v>
      </c>
      <c r="AI257" s="77">
        <f t="shared" si="81"/>
        <v>-9.66</v>
      </c>
      <c r="AJ257" s="183"/>
      <c r="AK257" s="33"/>
      <c r="AL257" s="33"/>
      <c r="AM257" s="33"/>
    </row>
    <row r="258" spans="1:39">
      <c r="A258" s="86" t="s">
        <v>353</v>
      </c>
      <c r="B258" s="86" t="s">
        <v>1778</v>
      </c>
      <c r="C258" s="86" t="s">
        <v>1593</v>
      </c>
      <c r="D258" s="87">
        <v>15</v>
      </c>
      <c r="E258" s="87" t="s">
        <v>2</v>
      </c>
      <c r="F258" s="509"/>
      <c r="G258" s="509"/>
      <c r="H258" s="509"/>
      <c r="I258" s="34">
        <v>24</v>
      </c>
      <c r="J258" s="145">
        <v>6.8480000000000008</v>
      </c>
      <c r="K258" s="34" t="str">
        <f xml:space="preserve"> IFERROR(1200/#REF!,"Not available")</f>
        <v>Not available</v>
      </c>
      <c r="L258" s="145"/>
      <c r="M258" s="522"/>
      <c r="N258" s="541">
        <v>0</v>
      </c>
      <c r="O258" s="522"/>
      <c r="P258" s="57">
        <f t="shared" si="70"/>
        <v>0</v>
      </c>
      <c r="Q258" s="42">
        <f t="shared" si="74"/>
        <v>0</v>
      </c>
      <c r="R258" s="27">
        <f t="shared" si="75"/>
        <v>0</v>
      </c>
      <c r="S258" s="41" t="e">
        <f t="shared" si="76"/>
        <v>#DIV/0!</v>
      </c>
      <c r="T258" s="47">
        <f t="shared" si="71"/>
        <v>0</v>
      </c>
      <c r="U258" s="28">
        <f t="shared" si="72"/>
        <v>0</v>
      </c>
      <c r="V258" s="48" t="e">
        <f t="shared" si="73"/>
        <v>#DIV/0!</v>
      </c>
      <c r="W258" s="71">
        <f t="shared" si="77"/>
        <v>0</v>
      </c>
      <c r="X258" s="71">
        <f t="shared" si="78"/>
        <v>0</v>
      </c>
      <c r="Y258" s="37" t="e">
        <f t="shared" si="79"/>
        <v>#DIV/0!</v>
      </c>
      <c r="Z258" s="77"/>
      <c r="AA258" s="77"/>
      <c r="AB258" s="77"/>
      <c r="AC258" s="77"/>
      <c r="AF258" s="74"/>
      <c r="AG258" s="77"/>
      <c r="AH258" s="145"/>
      <c r="AI258" s="77"/>
      <c r="AJ258" s="183"/>
      <c r="AK258" s="33"/>
      <c r="AL258" s="33"/>
      <c r="AM258" s="33"/>
    </row>
    <row r="259" spans="1:39">
      <c r="A259" s="86" t="s">
        <v>353</v>
      </c>
      <c r="B259" s="86" t="s">
        <v>1779</v>
      </c>
      <c r="C259" s="86" t="s">
        <v>1250</v>
      </c>
      <c r="D259" s="87">
        <v>8</v>
      </c>
      <c r="E259" s="87" t="s">
        <v>2</v>
      </c>
      <c r="F259" s="509"/>
      <c r="G259" s="509"/>
      <c r="H259" s="509"/>
      <c r="I259" s="34" t="e">
        <f>VLOOKUP(B259,Pallets!B:F,5,FALSE)</f>
        <v>#N/A</v>
      </c>
      <c r="J259" s="145">
        <v>6.98</v>
      </c>
      <c r="K259" s="34" t="str">
        <f xml:space="preserve"> IFERROR(1200/#REF!,"Not available")</f>
        <v>Not available</v>
      </c>
      <c r="L259" s="145"/>
      <c r="M259" s="522"/>
      <c r="N259" s="541">
        <v>0</v>
      </c>
      <c r="O259" s="522"/>
      <c r="P259" s="57">
        <f t="shared" si="70"/>
        <v>0</v>
      </c>
      <c r="Q259" s="42">
        <f t="shared" si="74"/>
        <v>0</v>
      </c>
      <c r="R259" s="27">
        <f t="shared" si="75"/>
        <v>0</v>
      </c>
      <c r="S259" s="41" t="e">
        <f t="shared" si="76"/>
        <v>#DIV/0!</v>
      </c>
      <c r="T259" s="47">
        <f t="shared" si="71"/>
        <v>0</v>
      </c>
      <c r="U259" s="28">
        <f t="shared" si="72"/>
        <v>0</v>
      </c>
      <c r="V259" s="48" t="e">
        <f t="shared" si="73"/>
        <v>#DIV/0!</v>
      </c>
      <c r="W259" s="71">
        <f t="shared" si="77"/>
        <v>0</v>
      </c>
      <c r="X259" s="71">
        <f t="shared" si="78"/>
        <v>0</v>
      </c>
      <c r="Y259" s="37" t="e">
        <f t="shared" si="79"/>
        <v>#DIV/0!</v>
      </c>
      <c r="Z259" s="77"/>
      <c r="AA259" s="77">
        <v>18.600000000000001</v>
      </c>
      <c r="AB259" s="77">
        <v>18.03</v>
      </c>
      <c r="AC259" s="77"/>
      <c r="AF259" s="77" t="s">
        <v>424</v>
      </c>
      <c r="AG259" s="77">
        <f>VLOOKUP(AF259,'CFN HPV'!A:L,12,FALSE)</f>
        <v>15.77</v>
      </c>
      <c r="AH259" s="145">
        <f t="shared" ref="AH259:AH276" si="82">Q259</f>
        <v>0</v>
      </c>
      <c r="AI259" s="77">
        <f t="shared" ref="AI259:AI268" si="83">AH259-AG259</f>
        <v>-15.77</v>
      </c>
      <c r="AJ259" s="183"/>
      <c r="AK259" s="33"/>
      <c r="AL259" s="33"/>
      <c r="AM259" s="33"/>
    </row>
    <row r="260" spans="1:39">
      <c r="A260" s="86" t="s">
        <v>353</v>
      </c>
      <c r="B260" s="86" t="s">
        <v>1780</v>
      </c>
      <c r="C260" s="86" t="s">
        <v>1251</v>
      </c>
      <c r="D260" s="87">
        <v>10</v>
      </c>
      <c r="E260" s="87" t="s">
        <v>2</v>
      </c>
      <c r="F260" s="509"/>
      <c r="G260" s="509"/>
      <c r="H260" s="509"/>
      <c r="I260" s="34" t="e">
        <f>VLOOKUP(B260,Pallets!B:F,5,FALSE)</f>
        <v>#N/A</v>
      </c>
      <c r="J260" s="145">
        <v>8.1760000000000002</v>
      </c>
      <c r="K260" s="34" t="str">
        <f xml:space="preserve"> IFERROR(1200/#REF!,"Not available")</f>
        <v>Not available</v>
      </c>
      <c r="L260" s="145"/>
      <c r="M260" s="522"/>
      <c r="N260" s="541">
        <v>0</v>
      </c>
      <c r="O260" s="522"/>
      <c r="P260" s="57">
        <f t="shared" si="70"/>
        <v>0</v>
      </c>
      <c r="Q260" s="42">
        <f t="shared" si="74"/>
        <v>0</v>
      </c>
      <c r="R260" s="27">
        <f t="shared" si="75"/>
        <v>0</v>
      </c>
      <c r="S260" s="41" t="e">
        <f t="shared" si="76"/>
        <v>#DIV/0!</v>
      </c>
      <c r="T260" s="47">
        <f t="shared" si="71"/>
        <v>0</v>
      </c>
      <c r="U260" s="28">
        <f t="shared" si="72"/>
        <v>0</v>
      </c>
      <c r="V260" s="48" t="e">
        <f t="shared" si="73"/>
        <v>#DIV/0!</v>
      </c>
      <c r="W260" s="71">
        <f t="shared" si="77"/>
        <v>0</v>
      </c>
      <c r="X260" s="71">
        <f t="shared" si="78"/>
        <v>0</v>
      </c>
      <c r="Y260" s="37" t="e">
        <f t="shared" si="79"/>
        <v>#DIV/0!</v>
      </c>
      <c r="Z260" s="77"/>
      <c r="AA260" s="77">
        <v>15.06</v>
      </c>
      <c r="AB260" s="77">
        <v>14.6</v>
      </c>
      <c r="AC260" s="77"/>
      <c r="AF260" s="77" t="s">
        <v>425</v>
      </c>
      <c r="AG260" s="77">
        <f>VLOOKUP(AF260,'CFN HPV'!A:L,12,FALSE)</f>
        <v>12.31</v>
      </c>
      <c r="AH260" s="145">
        <f t="shared" si="82"/>
        <v>0</v>
      </c>
      <c r="AI260" s="77">
        <f t="shared" si="83"/>
        <v>-12.31</v>
      </c>
      <c r="AJ260" s="183"/>
      <c r="AK260" s="33"/>
      <c r="AL260" s="33"/>
      <c r="AM260" s="33"/>
    </row>
    <row r="261" spans="1:39">
      <c r="A261" s="86" t="s">
        <v>353</v>
      </c>
      <c r="B261" s="86" t="s">
        <v>1781</v>
      </c>
      <c r="C261" s="86" t="s">
        <v>1252</v>
      </c>
      <c r="D261" s="87">
        <v>7</v>
      </c>
      <c r="E261" s="87" t="s">
        <v>2</v>
      </c>
      <c r="F261" s="509"/>
      <c r="G261" s="509"/>
      <c r="H261" s="509"/>
      <c r="I261" s="34">
        <v>35</v>
      </c>
      <c r="J261" s="145">
        <v>10</v>
      </c>
      <c r="K261" s="34" t="str">
        <f xml:space="preserve"> IFERROR(1200/#REF!,"Not available")</f>
        <v>Not available</v>
      </c>
      <c r="L261" s="145"/>
      <c r="M261" s="522"/>
      <c r="N261" s="541">
        <v>0</v>
      </c>
      <c r="O261" s="522"/>
      <c r="P261" s="57">
        <f t="shared" si="70"/>
        <v>0</v>
      </c>
      <c r="Q261" s="42">
        <f t="shared" si="74"/>
        <v>0</v>
      </c>
      <c r="R261" s="27">
        <f t="shared" si="75"/>
        <v>0</v>
      </c>
      <c r="S261" s="41" t="e">
        <f t="shared" si="76"/>
        <v>#DIV/0!</v>
      </c>
      <c r="T261" s="47">
        <f t="shared" si="71"/>
        <v>0</v>
      </c>
      <c r="U261" s="28">
        <f t="shared" si="72"/>
        <v>0</v>
      </c>
      <c r="V261" s="48" t="e">
        <f t="shared" si="73"/>
        <v>#DIV/0!</v>
      </c>
      <c r="W261" s="71">
        <f t="shared" si="77"/>
        <v>0</v>
      </c>
      <c r="X261" s="71">
        <f t="shared" si="78"/>
        <v>0</v>
      </c>
      <c r="Y261" s="37" t="e">
        <f t="shared" si="79"/>
        <v>#DIV/0!</v>
      </c>
      <c r="Z261" s="77"/>
      <c r="AA261" s="77">
        <v>16.82</v>
      </c>
      <c r="AB261" s="77"/>
      <c r="AC261" s="77"/>
      <c r="AF261" s="77" t="s">
        <v>426</v>
      </c>
      <c r="AG261" s="77">
        <f>VLOOKUP(AF261,'CFN HPV'!A:L,12,FALSE)</f>
        <v>17.28</v>
      </c>
      <c r="AH261" s="145">
        <f t="shared" si="82"/>
        <v>0</v>
      </c>
      <c r="AI261" s="77">
        <f t="shared" si="83"/>
        <v>-17.28</v>
      </c>
      <c r="AJ261" s="183"/>
      <c r="AK261" s="33"/>
      <c r="AL261" s="33"/>
      <c r="AM261" s="33"/>
    </row>
    <row r="262" spans="1:39">
      <c r="A262" s="86" t="s">
        <v>353</v>
      </c>
      <c r="B262" s="86" t="s">
        <v>1782</v>
      </c>
      <c r="C262" s="86" t="s">
        <v>1253</v>
      </c>
      <c r="D262" s="87">
        <v>10</v>
      </c>
      <c r="E262" s="87" t="s">
        <v>2</v>
      </c>
      <c r="F262" s="509"/>
      <c r="G262" s="509"/>
      <c r="H262" s="509"/>
      <c r="I262" s="34" t="e">
        <f>VLOOKUP(B262,Pallets!B:F,5,FALSE)</f>
        <v>#N/A</v>
      </c>
      <c r="J262" s="145">
        <v>10.240000000000002</v>
      </c>
      <c r="K262" s="34" t="str">
        <f xml:space="preserve"> IFERROR(1200/#REF!,"Not available")</f>
        <v>Not available</v>
      </c>
      <c r="L262" s="145"/>
      <c r="M262" s="522"/>
      <c r="N262" s="541">
        <v>0</v>
      </c>
      <c r="O262" s="522"/>
      <c r="P262" s="57">
        <f t="shared" si="70"/>
        <v>0</v>
      </c>
      <c r="Q262" s="42">
        <f t="shared" si="74"/>
        <v>0</v>
      </c>
      <c r="R262" s="27">
        <f t="shared" si="75"/>
        <v>0</v>
      </c>
      <c r="S262" s="41" t="e">
        <f t="shared" si="76"/>
        <v>#DIV/0!</v>
      </c>
      <c r="T262" s="47">
        <f t="shared" si="71"/>
        <v>0</v>
      </c>
      <c r="U262" s="28">
        <f t="shared" si="72"/>
        <v>0</v>
      </c>
      <c r="V262" s="48" t="e">
        <f t="shared" si="73"/>
        <v>#DIV/0!</v>
      </c>
      <c r="W262" s="71">
        <f t="shared" si="77"/>
        <v>0</v>
      </c>
      <c r="X262" s="71">
        <f t="shared" si="78"/>
        <v>0</v>
      </c>
      <c r="Y262" s="37" t="e">
        <f t="shared" si="79"/>
        <v>#DIV/0!</v>
      </c>
      <c r="Z262" s="77"/>
      <c r="AA262" s="77"/>
      <c r="AB262" s="77"/>
      <c r="AC262" s="77"/>
      <c r="AF262" s="74" t="s">
        <v>427</v>
      </c>
      <c r="AG262" s="77">
        <f>VLOOKUP(AF262,'CFN HPV'!A:L,12,FALSE)</f>
        <v>18.32</v>
      </c>
      <c r="AH262" s="145">
        <f t="shared" si="82"/>
        <v>0</v>
      </c>
      <c r="AI262" s="77">
        <f t="shared" si="83"/>
        <v>-18.32</v>
      </c>
      <c r="AJ262" s="183"/>
      <c r="AK262" s="33"/>
      <c r="AL262" s="33"/>
      <c r="AM262" s="33"/>
    </row>
    <row r="263" spans="1:39">
      <c r="A263" s="86" t="s">
        <v>353</v>
      </c>
      <c r="B263" s="86" t="s">
        <v>1783</v>
      </c>
      <c r="C263" s="86" t="s">
        <v>1430</v>
      </c>
      <c r="D263" s="87">
        <v>7</v>
      </c>
      <c r="E263" s="87" t="s">
        <v>2</v>
      </c>
      <c r="F263" s="509"/>
      <c r="G263" s="509"/>
      <c r="H263" s="509"/>
      <c r="I263" s="34" t="e">
        <f>VLOOKUP(B263,Pallets!B:F,5,FALSE)</f>
        <v>#N/A</v>
      </c>
      <c r="J263" s="145">
        <v>12.069999999999999</v>
      </c>
      <c r="K263" s="34" t="str">
        <f xml:space="preserve"> IFERROR(1200/#REF!,"Not available")</f>
        <v>Not available</v>
      </c>
      <c r="L263" s="145"/>
      <c r="M263" s="522"/>
      <c r="N263" s="541">
        <v>0</v>
      </c>
      <c r="O263" s="522"/>
      <c r="P263" s="57">
        <f t="shared" si="70"/>
        <v>0</v>
      </c>
      <c r="Q263" s="42">
        <f t="shared" si="74"/>
        <v>0</v>
      </c>
      <c r="R263" s="27">
        <f t="shared" si="75"/>
        <v>0</v>
      </c>
      <c r="S263" s="41" t="e">
        <f t="shared" si="76"/>
        <v>#DIV/0!</v>
      </c>
      <c r="T263" s="47">
        <f t="shared" si="71"/>
        <v>0</v>
      </c>
      <c r="U263" s="28">
        <f t="shared" si="72"/>
        <v>0</v>
      </c>
      <c r="V263" s="48" t="e">
        <f t="shared" si="73"/>
        <v>#DIV/0!</v>
      </c>
      <c r="W263" s="71">
        <f t="shared" si="77"/>
        <v>0</v>
      </c>
      <c r="X263" s="71">
        <f t="shared" si="78"/>
        <v>0</v>
      </c>
      <c r="Y263" s="37" t="e">
        <f t="shared" si="79"/>
        <v>#DIV/0!</v>
      </c>
      <c r="Z263" s="77"/>
      <c r="AA263" s="77">
        <v>23.76</v>
      </c>
      <c r="AB263" s="77"/>
      <c r="AC263" s="77"/>
      <c r="AF263" s="77" t="s">
        <v>428</v>
      </c>
      <c r="AG263" s="77">
        <f>VLOOKUP(AF263,'CFN HPV'!A:L,12,FALSE)</f>
        <v>23.48</v>
      </c>
      <c r="AH263" s="145">
        <f t="shared" si="82"/>
        <v>0</v>
      </c>
      <c r="AI263" s="77">
        <f t="shared" si="83"/>
        <v>-23.48</v>
      </c>
      <c r="AJ263" s="183"/>
      <c r="AK263" s="33"/>
      <c r="AL263" s="33"/>
      <c r="AM263" s="33"/>
    </row>
    <row r="264" spans="1:39">
      <c r="A264" s="86" t="s">
        <v>353</v>
      </c>
      <c r="B264" s="86" t="s">
        <v>1784</v>
      </c>
      <c r="C264" s="86" t="s">
        <v>1254</v>
      </c>
      <c r="D264" s="87">
        <v>10</v>
      </c>
      <c r="E264" s="87" t="s">
        <v>2</v>
      </c>
      <c r="F264" s="509"/>
      <c r="G264" s="509"/>
      <c r="H264" s="509"/>
      <c r="I264" s="34" t="e">
        <f>VLOOKUP(B264,Pallets!B:F,5,FALSE)</f>
        <v>#N/A</v>
      </c>
      <c r="J264" s="145">
        <v>9.6000000000000014</v>
      </c>
      <c r="K264" s="34" t="str">
        <f xml:space="preserve"> IFERROR(1200/#REF!,"Not available")</f>
        <v>Not available</v>
      </c>
      <c r="L264" s="145"/>
      <c r="M264" s="522"/>
      <c r="N264" s="541">
        <v>0</v>
      </c>
      <c r="O264" s="522"/>
      <c r="P264" s="57">
        <f t="shared" si="70"/>
        <v>0</v>
      </c>
      <c r="Q264" s="42">
        <f t="shared" si="74"/>
        <v>0</v>
      </c>
      <c r="R264" s="27">
        <f t="shared" si="75"/>
        <v>0</v>
      </c>
      <c r="S264" s="41" t="e">
        <f t="shared" si="76"/>
        <v>#DIV/0!</v>
      </c>
      <c r="T264" s="47">
        <f t="shared" si="71"/>
        <v>0</v>
      </c>
      <c r="U264" s="28">
        <f t="shared" si="72"/>
        <v>0</v>
      </c>
      <c r="V264" s="48" t="e">
        <f t="shared" si="73"/>
        <v>#DIV/0!</v>
      </c>
      <c r="W264" s="71">
        <f t="shared" si="77"/>
        <v>0</v>
      </c>
      <c r="X264" s="71">
        <f t="shared" si="78"/>
        <v>0</v>
      </c>
      <c r="Y264" s="37" t="e">
        <f t="shared" si="79"/>
        <v>#DIV/0!</v>
      </c>
      <c r="Z264" s="77"/>
      <c r="AA264" s="77">
        <v>17.600000000000001</v>
      </c>
      <c r="AB264" s="77"/>
      <c r="AC264" s="77"/>
      <c r="AF264" s="77" t="s">
        <v>429</v>
      </c>
      <c r="AG264" s="77">
        <f>VLOOKUP(AF264,'CFN HPV'!A:L,12,FALSE)</f>
        <v>21.92</v>
      </c>
      <c r="AH264" s="145">
        <f t="shared" si="82"/>
        <v>0</v>
      </c>
      <c r="AI264" s="77">
        <f t="shared" si="83"/>
        <v>-21.92</v>
      </c>
      <c r="AJ264" s="183"/>
      <c r="AK264" s="33"/>
      <c r="AL264" s="33"/>
      <c r="AM264" s="33"/>
    </row>
    <row r="265" spans="1:39">
      <c r="A265" s="86" t="s">
        <v>353</v>
      </c>
      <c r="B265" s="86" t="s">
        <v>1785</v>
      </c>
      <c r="C265" s="86" t="s">
        <v>1255</v>
      </c>
      <c r="D265" s="87">
        <v>12</v>
      </c>
      <c r="E265" s="87" t="s">
        <v>2</v>
      </c>
      <c r="F265" s="509"/>
      <c r="G265" s="509"/>
      <c r="H265" s="509"/>
      <c r="I265" s="34" t="e">
        <f>VLOOKUP(B265,Pallets!B:F,5,FALSE)</f>
        <v>#N/A</v>
      </c>
      <c r="J265" s="145">
        <v>3.5600000000000005</v>
      </c>
      <c r="K265" s="34" t="str">
        <f xml:space="preserve"> IFERROR(1200/#REF!,"Not available")</f>
        <v>Not available</v>
      </c>
      <c r="L265" s="145"/>
      <c r="M265" s="522"/>
      <c r="N265" s="541">
        <v>0</v>
      </c>
      <c r="O265" s="522"/>
      <c r="P265" s="57">
        <f t="shared" si="70"/>
        <v>0</v>
      </c>
      <c r="Q265" s="42">
        <f t="shared" si="74"/>
        <v>0</v>
      </c>
      <c r="R265" s="65">
        <f t="shared" si="75"/>
        <v>0</v>
      </c>
      <c r="S265" s="41" t="e">
        <f t="shared" si="76"/>
        <v>#DIV/0!</v>
      </c>
      <c r="T265" s="47">
        <f t="shared" si="71"/>
        <v>0</v>
      </c>
      <c r="U265" s="28">
        <f t="shared" si="72"/>
        <v>0</v>
      </c>
      <c r="V265" s="48" t="e">
        <f t="shared" si="73"/>
        <v>#DIV/0!</v>
      </c>
      <c r="W265" s="71">
        <f t="shared" si="77"/>
        <v>0</v>
      </c>
      <c r="X265" s="71">
        <f t="shared" si="78"/>
        <v>0</v>
      </c>
      <c r="Y265" s="37" t="e">
        <f t="shared" si="79"/>
        <v>#DIV/0!</v>
      </c>
      <c r="Z265" s="77"/>
      <c r="AA265" s="77"/>
      <c r="AB265" s="77"/>
      <c r="AC265" s="77"/>
      <c r="AD265" s="10"/>
      <c r="AE265" s="10"/>
      <c r="AF265" s="74" t="s">
        <v>431</v>
      </c>
      <c r="AG265" s="77">
        <f>VLOOKUP(AF265,'CFN HPV'!A:L,12,FALSE)</f>
        <v>9.84</v>
      </c>
      <c r="AH265" s="145">
        <f t="shared" si="82"/>
        <v>0</v>
      </c>
      <c r="AI265" s="77">
        <f t="shared" si="83"/>
        <v>-9.84</v>
      </c>
      <c r="AJ265" s="183"/>
      <c r="AK265" s="33"/>
      <c r="AL265" s="33"/>
      <c r="AM265" s="33"/>
    </row>
    <row r="266" spans="1:39">
      <c r="A266" s="86" t="s">
        <v>353</v>
      </c>
      <c r="B266" s="86" t="s">
        <v>1786</v>
      </c>
      <c r="C266" s="86" t="s">
        <v>1256</v>
      </c>
      <c r="D266" s="87">
        <v>10</v>
      </c>
      <c r="E266" s="87" t="s">
        <v>2</v>
      </c>
      <c r="F266" s="509"/>
      <c r="G266" s="509"/>
      <c r="H266" s="509"/>
      <c r="I266" s="34" t="e">
        <f>VLOOKUP(B266,Pallets!B:F,5,FALSE)</f>
        <v>#N/A</v>
      </c>
      <c r="J266" s="145">
        <v>12</v>
      </c>
      <c r="K266" s="34" t="str">
        <f xml:space="preserve"> IFERROR(1200/#REF!,"Not available")</f>
        <v>Not available</v>
      </c>
      <c r="L266" s="145"/>
      <c r="M266" s="522"/>
      <c r="N266" s="541">
        <v>0</v>
      </c>
      <c r="O266" s="522"/>
      <c r="P266" s="57">
        <f t="shared" si="70"/>
        <v>0</v>
      </c>
      <c r="Q266" s="42">
        <f t="shared" si="74"/>
        <v>0</v>
      </c>
      <c r="R266" s="27">
        <f t="shared" si="75"/>
        <v>0</v>
      </c>
      <c r="S266" s="41" t="e">
        <f t="shared" si="76"/>
        <v>#DIV/0!</v>
      </c>
      <c r="T266" s="47">
        <f t="shared" si="71"/>
        <v>0</v>
      </c>
      <c r="U266" s="28">
        <f t="shared" si="72"/>
        <v>0</v>
      </c>
      <c r="V266" s="48" t="e">
        <f t="shared" si="73"/>
        <v>#DIV/0!</v>
      </c>
      <c r="W266" s="71">
        <f t="shared" si="77"/>
        <v>0</v>
      </c>
      <c r="X266" s="71">
        <f t="shared" si="78"/>
        <v>0</v>
      </c>
      <c r="Y266" s="37" t="e">
        <f t="shared" si="79"/>
        <v>#DIV/0!</v>
      </c>
      <c r="Z266" s="78"/>
      <c r="AA266" s="78">
        <v>25</v>
      </c>
      <c r="AB266" s="78"/>
      <c r="AC266" s="78"/>
      <c r="AF266" s="77" t="s">
        <v>430</v>
      </c>
      <c r="AG266" s="77">
        <f>VLOOKUP(AF266,'CFN HPV'!A:L,12,FALSE)</f>
        <v>26.08</v>
      </c>
      <c r="AH266" s="145">
        <f t="shared" si="82"/>
        <v>0</v>
      </c>
      <c r="AI266" s="77">
        <f t="shared" si="83"/>
        <v>-26.08</v>
      </c>
      <c r="AJ266" s="183"/>
      <c r="AK266" s="33"/>
      <c r="AL266" s="33"/>
      <c r="AM266" s="33"/>
    </row>
    <row r="267" spans="1:39">
      <c r="A267" s="86" t="s">
        <v>353</v>
      </c>
      <c r="B267" s="86" t="s">
        <v>1787</v>
      </c>
      <c r="C267" s="86" t="s">
        <v>1257</v>
      </c>
      <c r="D267" s="87">
        <v>10</v>
      </c>
      <c r="E267" s="87" t="s">
        <v>2</v>
      </c>
      <c r="F267" s="509"/>
      <c r="G267" s="509"/>
      <c r="H267" s="509"/>
      <c r="I267" s="34" t="e">
        <f>VLOOKUP(B267,Pallets!B:F,5,FALSE)</f>
        <v>#N/A</v>
      </c>
      <c r="J267" s="34">
        <v>8.85</v>
      </c>
      <c r="K267" s="34" t="str">
        <f xml:space="preserve"> IFERROR(1200/#REF!,"Not available")</f>
        <v>Not available</v>
      </c>
      <c r="L267" s="34"/>
      <c r="M267" s="522"/>
      <c r="N267" s="541">
        <v>0</v>
      </c>
      <c r="O267" s="522"/>
      <c r="P267" s="57">
        <f t="shared" si="70"/>
        <v>0</v>
      </c>
      <c r="Q267" s="42"/>
      <c r="R267" s="65"/>
      <c r="S267" s="41"/>
      <c r="T267" s="47">
        <f t="shared" si="71"/>
        <v>0</v>
      </c>
      <c r="U267" s="28">
        <f t="shared" si="72"/>
        <v>0</v>
      </c>
      <c r="V267" s="48" t="e">
        <f t="shared" si="73"/>
        <v>#DIV/0!</v>
      </c>
      <c r="W267" s="71"/>
      <c r="X267" s="71"/>
      <c r="Y267" s="36"/>
      <c r="Z267" s="78"/>
      <c r="AA267" s="78"/>
      <c r="AB267" s="78"/>
      <c r="AC267" s="78"/>
      <c r="AF267" s="74" t="s">
        <v>415</v>
      </c>
      <c r="AG267" s="77">
        <f>VLOOKUP(AF267,'CFN HPV'!A:L,12,FALSE)</f>
        <v>22.68</v>
      </c>
      <c r="AH267" s="145">
        <f t="shared" si="82"/>
        <v>0</v>
      </c>
      <c r="AI267" s="77">
        <f t="shared" si="83"/>
        <v>-22.68</v>
      </c>
      <c r="AJ267" s="183"/>
      <c r="AK267" s="33"/>
      <c r="AL267" s="33"/>
      <c r="AM267" s="33"/>
    </row>
    <row r="268" spans="1:39">
      <c r="A268" s="86" t="s">
        <v>353</v>
      </c>
      <c r="B268" s="86" t="s">
        <v>1788</v>
      </c>
      <c r="C268" s="86" t="s">
        <v>1258</v>
      </c>
      <c r="D268" s="87">
        <v>10</v>
      </c>
      <c r="E268" s="87" t="s">
        <v>2</v>
      </c>
      <c r="F268" s="509"/>
      <c r="G268" s="509"/>
      <c r="H268" s="509"/>
      <c r="I268" s="34" t="e">
        <f>VLOOKUP(B268,Pallets!B:F,5,FALSE)</f>
        <v>#N/A</v>
      </c>
      <c r="J268" s="34">
        <v>8.85</v>
      </c>
      <c r="K268" s="34" t="str">
        <f xml:space="preserve"> IFERROR(1200/#REF!,"Not available")</f>
        <v>Not available</v>
      </c>
      <c r="L268" s="34"/>
      <c r="M268" s="522"/>
      <c r="N268" s="541">
        <v>0</v>
      </c>
      <c r="O268" s="522"/>
      <c r="P268" s="57">
        <f t="shared" si="70"/>
        <v>0</v>
      </c>
      <c r="Q268" s="42">
        <f t="shared" ref="Q268:Q291" si="84">O268/(1-0.4)</f>
        <v>0</v>
      </c>
      <c r="R268" s="65">
        <f t="shared" ref="R268:R302" si="85">D268*Q268</f>
        <v>0</v>
      </c>
      <c r="S268" s="41" t="e">
        <f t="shared" ref="S268:S291" si="86">(Q268-O268)/Q268</f>
        <v>#DIV/0!</v>
      </c>
      <c r="T268" s="47">
        <f t="shared" si="71"/>
        <v>0</v>
      </c>
      <c r="U268" s="28">
        <f t="shared" si="72"/>
        <v>0</v>
      </c>
      <c r="V268" s="48" t="e">
        <f t="shared" si="73"/>
        <v>#DIV/0!</v>
      </c>
      <c r="W268" s="71">
        <f t="shared" ref="W268:W291" si="87">O268/(1-0.3)</f>
        <v>0</v>
      </c>
      <c r="X268" s="71">
        <f t="shared" ref="X268:X291" si="88">D268*W268</f>
        <v>0</v>
      </c>
      <c r="Y268" s="37" t="e">
        <f t="shared" ref="Y268:Y291" si="89">(W268-O268)/W268</f>
        <v>#DIV/0!</v>
      </c>
      <c r="Z268" s="78"/>
      <c r="AA268" s="78"/>
      <c r="AB268" s="78"/>
      <c r="AC268" s="78"/>
      <c r="AF268" s="74" t="s">
        <v>416</v>
      </c>
      <c r="AG268" s="77">
        <f>VLOOKUP(AF268,'CFN HPV'!A:L,12,FALSE)</f>
        <v>22.64</v>
      </c>
      <c r="AH268" s="145">
        <f t="shared" si="82"/>
        <v>0</v>
      </c>
      <c r="AI268" s="77">
        <f t="shared" si="83"/>
        <v>-22.64</v>
      </c>
      <c r="AJ268" s="183"/>
      <c r="AK268" s="33"/>
      <c r="AL268" s="33"/>
      <c r="AM268" s="33"/>
    </row>
    <row r="269" spans="1:39">
      <c r="A269" s="86" t="s">
        <v>353</v>
      </c>
      <c r="B269" s="86" t="s">
        <v>1789</v>
      </c>
      <c r="C269" s="33" t="s">
        <v>1594</v>
      </c>
      <c r="D269" s="87">
        <v>15</v>
      </c>
      <c r="E269" s="87" t="s">
        <v>2</v>
      </c>
      <c r="F269" s="509"/>
      <c r="G269" s="509"/>
      <c r="H269" s="509"/>
      <c r="I269" s="34">
        <v>24</v>
      </c>
      <c r="J269" s="57">
        <v>3.17</v>
      </c>
      <c r="K269" s="34" t="str">
        <f xml:space="preserve"> IFERROR(1200/#REF!,"Not available")</f>
        <v>Not available</v>
      </c>
      <c r="L269" s="57"/>
      <c r="M269" s="522"/>
      <c r="N269" s="541">
        <v>0</v>
      </c>
      <c r="O269" s="522"/>
      <c r="P269" s="57">
        <f t="shared" si="70"/>
        <v>0</v>
      </c>
      <c r="Q269" s="42">
        <f t="shared" si="84"/>
        <v>0</v>
      </c>
      <c r="R269" s="65">
        <f t="shared" si="85"/>
        <v>0</v>
      </c>
      <c r="S269" s="41" t="e">
        <f t="shared" si="86"/>
        <v>#DIV/0!</v>
      </c>
      <c r="T269" s="47">
        <f t="shared" si="71"/>
        <v>0</v>
      </c>
      <c r="U269" s="28">
        <f t="shared" si="72"/>
        <v>0</v>
      </c>
      <c r="V269" s="48" t="e">
        <f t="shared" si="73"/>
        <v>#DIV/0!</v>
      </c>
      <c r="W269" s="71">
        <f t="shared" si="87"/>
        <v>0</v>
      </c>
      <c r="X269" s="71">
        <f t="shared" si="88"/>
        <v>0</v>
      </c>
      <c r="Y269" s="37" t="e">
        <f t="shared" si="89"/>
        <v>#DIV/0!</v>
      </c>
      <c r="Z269" s="78"/>
      <c r="AA269" s="78"/>
      <c r="AB269" s="78"/>
      <c r="AC269" s="78"/>
      <c r="AF269" s="74"/>
      <c r="AG269" s="77"/>
      <c r="AH269" s="145">
        <f t="shared" si="82"/>
        <v>0</v>
      </c>
      <c r="AI269" s="77"/>
      <c r="AJ269" s="183"/>
      <c r="AK269" s="33"/>
      <c r="AL269" s="33"/>
      <c r="AM269" s="33"/>
    </row>
    <row r="270" spans="1:39">
      <c r="A270" s="86" t="s">
        <v>353</v>
      </c>
      <c r="B270" s="86" t="s">
        <v>1790</v>
      </c>
      <c r="C270" s="86" t="s">
        <v>1259</v>
      </c>
      <c r="D270" s="87">
        <v>8</v>
      </c>
      <c r="E270" s="87" t="s">
        <v>2</v>
      </c>
      <c r="F270" s="509"/>
      <c r="G270" s="509"/>
      <c r="H270" s="509"/>
      <c r="I270" s="34" t="e">
        <f>VLOOKUP(B270,Pallets!B:F,5,FALSE)</f>
        <v>#N/A</v>
      </c>
      <c r="J270" s="34">
        <v>9.75</v>
      </c>
      <c r="K270" s="34" t="str">
        <f xml:space="preserve"> IFERROR(1200/#REF!,"Not available")</f>
        <v>Not available</v>
      </c>
      <c r="L270" s="34"/>
      <c r="M270" s="522"/>
      <c r="N270" s="541">
        <v>0</v>
      </c>
      <c r="O270" s="522"/>
      <c r="P270" s="57">
        <f t="shared" si="70"/>
        <v>0</v>
      </c>
      <c r="Q270" s="42">
        <f t="shared" si="84"/>
        <v>0</v>
      </c>
      <c r="R270" s="27">
        <f t="shared" si="85"/>
        <v>0</v>
      </c>
      <c r="S270" s="41" t="e">
        <f t="shared" si="86"/>
        <v>#DIV/0!</v>
      </c>
      <c r="T270" s="47">
        <f t="shared" si="71"/>
        <v>0</v>
      </c>
      <c r="U270" s="28">
        <f t="shared" si="72"/>
        <v>0</v>
      </c>
      <c r="V270" s="48" t="e">
        <f t="shared" si="73"/>
        <v>#DIV/0!</v>
      </c>
      <c r="W270" s="71">
        <f t="shared" si="87"/>
        <v>0</v>
      </c>
      <c r="X270" s="71">
        <f t="shared" si="88"/>
        <v>0</v>
      </c>
      <c r="Y270" s="37" t="e">
        <f t="shared" si="89"/>
        <v>#DIV/0!</v>
      </c>
      <c r="Z270" s="78"/>
      <c r="AA270" s="78"/>
      <c r="AB270" s="78"/>
      <c r="AC270" s="78"/>
      <c r="AF270" s="74" t="s">
        <v>418</v>
      </c>
      <c r="AG270" s="77">
        <f>VLOOKUP(AF270,'CFN HPV'!A:L,12,FALSE)</f>
        <v>16.05</v>
      </c>
      <c r="AH270" s="145">
        <f t="shared" si="82"/>
        <v>0</v>
      </c>
      <c r="AI270" s="77">
        <f>AH270-AG270</f>
        <v>-16.05</v>
      </c>
      <c r="AJ270" s="183"/>
      <c r="AK270" s="33"/>
      <c r="AL270" s="33"/>
      <c r="AM270" s="33"/>
    </row>
    <row r="271" spans="1:39">
      <c r="A271" s="86" t="s">
        <v>353</v>
      </c>
      <c r="B271" s="86" t="s">
        <v>1791</v>
      </c>
      <c r="C271" s="33" t="s">
        <v>1595</v>
      </c>
      <c r="D271" s="87">
        <v>10</v>
      </c>
      <c r="E271" s="87" t="s">
        <v>2</v>
      </c>
      <c r="F271" s="509"/>
      <c r="G271" s="509"/>
      <c r="H271" s="509"/>
      <c r="I271" s="34">
        <v>24</v>
      </c>
      <c r="J271" s="57">
        <v>6.72</v>
      </c>
      <c r="K271" s="57"/>
      <c r="L271" s="57"/>
      <c r="M271" s="522"/>
      <c r="N271" s="541">
        <v>0</v>
      </c>
      <c r="O271" s="522"/>
      <c r="P271" s="57">
        <f t="shared" ref="P271:P291" si="90">D271*O271</f>
        <v>0</v>
      </c>
      <c r="Q271" s="42">
        <f t="shared" si="84"/>
        <v>0</v>
      </c>
      <c r="R271" s="27">
        <f t="shared" si="85"/>
        <v>0</v>
      </c>
      <c r="S271" s="41" t="e">
        <f t="shared" si="86"/>
        <v>#DIV/0!</v>
      </c>
      <c r="T271" s="47">
        <f t="shared" ref="T271:T291" si="91">O271/(1-0.2)</f>
        <v>0</v>
      </c>
      <c r="U271" s="28">
        <f t="shared" ref="U271:U291" si="92">D271*T271</f>
        <v>0</v>
      </c>
      <c r="V271" s="48" t="e">
        <f t="shared" ref="V271:V291" si="93">(T271-O271)/T271</f>
        <v>#DIV/0!</v>
      </c>
      <c r="W271" s="71">
        <f t="shared" si="87"/>
        <v>0</v>
      </c>
      <c r="X271" s="71">
        <f t="shared" si="88"/>
        <v>0</v>
      </c>
      <c r="Y271" s="37" t="e">
        <f t="shared" si="89"/>
        <v>#DIV/0!</v>
      </c>
      <c r="Z271" s="78"/>
      <c r="AA271" s="78"/>
      <c r="AB271" s="78"/>
      <c r="AC271" s="78"/>
      <c r="AF271" s="74"/>
      <c r="AG271" s="77"/>
      <c r="AH271" s="145">
        <f t="shared" si="82"/>
        <v>0</v>
      </c>
      <c r="AI271" s="77"/>
      <c r="AJ271" s="183"/>
      <c r="AK271" s="33"/>
      <c r="AL271" s="33"/>
      <c r="AM271" s="33"/>
    </row>
    <row r="272" spans="1:39">
      <c r="A272" s="86" t="s">
        <v>353</v>
      </c>
      <c r="B272" s="86" t="s">
        <v>1792</v>
      </c>
      <c r="C272" s="33" t="s">
        <v>1596</v>
      </c>
      <c r="D272" s="87">
        <v>10</v>
      </c>
      <c r="E272" s="87" t="s">
        <v>2</v>
      </c>
      <c r="F272" s="509"/>
      <c r="G272" s="509"/>
      <c r="H272" s="509"/>
      <c r="I272" s="34">
        <v>24</v>
      </c>
      <c r="J272" s="57">
        <v>6.72</v>
      </c>
      <c r="K272" s="57"/>
      <c r="L272" s="57"/>
      <c r="M272" s="522"/>
      <c r="N272" s="541">
        <v>0</v>
      </c>
      <c r="O272" s="522"/>
      <c r="P272" s="57">
        <f t="shared" si="90"/>
        <v>0</v>
      </c>
      <c r="Q272" s="42">
        <f t="shared" si="84"/>
        <v>0</v>
      </c>
      <c r="R272" s="27">
        <f t="shared" si="85"/>
        <v>0</v>
      </c>
      <c r="S272" s="41" t="e">
        <f t="shared" si="86"/>
        <v>#DIV/0!</v>
      </c>
      <c r="T272" s="47">
        <f t="shared" si="91"/>
        <v>0</v>
      </c>
      <c r="U272" s="28">
        <f t="shared" si="92"/>
        <v>0</v>
      </c>
      <c r="V272" s="48" t="e">
        <f t="shared" si="93"/>
        <v>#DIV/0!</v>
      </c>
      <c r="W272" s="71">
        <f t="shared" si="87"/>
        <v>0</v>
      </c>
      <c r="X272" s="71">
        <f t="shared" si="88"/>
        <v>0</v>
      </c>
      <c r="Y272" s="37" t="e">
        <f t="shared" si="89"/>
        <v>#DIV/0!</v>
      </c>
      <c r="Z272" s="78"/>
      <c r="AA272" s="78"/>
      <c r="AB272" s="78"/>
      <c r="AC272" s="78"/>
      <c r="AF272" s="74"/>
      <c r="AG272" s="77"/>
      <c r="AH272" s="145">
        <f t="shared" si="82"/>
        <v>0</v>
      </c>
      <c r="AI272" s="77"/>
      <c r="AJ272" s="183"/>
      <c r="AK272" s="33"/>
      <c r="AL272" s="33"/>
      <c r="AM272" s="33"/>
    </row>
    <row r="273" spans="1:43">
      <c r="A273" s="86" t="s">
        <v>353</v>
      </c>
      <c r="B273" s="86" t="s">
        <v>1793</v>
      </c>
      <c r="C273" s="86" t="s">
        <v>1260</v>
      </c>
      <c r="D273" s="87">
        <v>10</v>
      </c>
      <c r="E273" s="87" t="s">
        <v>2</v>
      </c>
      <c r="F273" s="509"/>
      <c r="G273" s="509"/>
      <c r="H273" s="509"/>
      <c r="I273" s="34" t="e">
        <f>VLOOKUP(B273,Pallets!B:F,5,FALSE)</f>
        <v>#N/A</v>
      </c>
      <c r="J273" s="57">
        <v>11.96</v>
      </c>
      <c r="K273" s="57"/>
      <c r="L273" s="57"/>
      <c r="M273" s="522"/>
      <c r="N273" s="541">
        <v>0</v>
      </c>
      <c r="O273" s="522"/>
      <c r="P273" s="57">
        <f t="shared" si="90"/>
        <v>0</v>
      </c>
      <c r="Q273" s="42">
        <f t="shared" si="84"/>
        <v>0</v>
      </c>
      <c r="R273" s="27">
        <f t="shared" si="85"/>
        <v>0</v>
      </c>
      <c r="S273" s="41" t="e">
        <f t="shared" si="86"/>
        <v>#DIV/0!</v>
      </c>
      <c r="T273" s="47">
        <f t="shared" si="91"/>
        <v>0</v>
      </c>
      <c r="U273" s="28">
        <f t="shared" si="92"/>
        <v>0</v>
      </c>
      <c r="V273" s="48" t="e">
        <f t="shared" si="93"/>
        <v>#DIV/0!</v>
      </c>
      <c r="W273" s="71">
        <f t="shared" si="87"/>
        <v>0</v>
      </c>
      <c r="X273" s="71">
        <f t="shared" si="88"/>
        <v>0</v>
      </c>
      <c r="Y273" s="37" t="e">
        <f t="shared" si="89"/>
        <v>#DIV/0!</v>
      </c>
      <c r="Z273" s="78"/>
      <c r="AA273" s="78"/>
      <c r="AB273" s="78"/>
      <c r="AC273" s="78"/>
      <c r="AF273" s="77" t="s">
        <v>417</v>
      </c>
      <c r="AG273" s="77">
        <f>VLOOKUP(AF273,'CFN HPV'!A:L,12,FALSE)</f>
        <v>29.96</v>
      </c>
      <c r="AH273" s="145">
        <f t="shared" si="82"/>
        <v>0</v>
      </c>
      <c r="AI273" s="77">
        <f>AH273-AG273</f>
        <v>-29.96</v>
      </c>
      <c r="AJ273" s="183"/>
      <c r="AK273" s="33"/>
      <c r="AL273" s="33"/>
      <c r="AM273" s="33"/>
    </row>
    <row r="274" spans="1:43">
      <c r="A274" s="86" t="s">
        <v>353</v>
      </c>
      <c r="B274" s="86" t="s">
        <v>1794</v>
      </c>
      <c r="C274" s="86" t="s">
        <v>1261</v>
      </c>
      <c r="D274" s="87">
        <v>10</v>
      </c>
      <c r="E274" s="87" t="s">
        <v>2</v>
      </c>
      <c r="F274" s="509"/>
      <c r="G274" s="509"/>
      <c r="H274" s="509"/>
      <c r="I274" s="34" t="e">
        <f>VLOOKUP(B274,Pallets!B:F,5,FALSE)</f>
        <v>#N/A</v>
      </c>
      <c r="J274" s="34">
        <v>8.6</v>
      </c>
      <c r="K274" s="34"/>
      <c r="L274" s="34"/>
      <c r="M274" s="522"/>
      <c r="N274" s="541">
        <v>0</v>
      </c>
      <c r="O274" s="522"/>
      <c r="P274" s="57">
        <f t="shared" si="90"/>
        <v>0</v>
      </c>
      <c r="Q274" s="42">
        <f t="shared" si="84"/>
        <v>0</v>
      </c>
      <c r="R274" s="27">
        <f t="shared" si="85"/>
        <v>0</v>
      </c>
      <c r="S274" s="41" t="e">
        <f t="shared" si="86"/>
        <v>#DIV/0!</v>
      </c>
      <c r="T274" s="47">
        <f t="shared" si="91"/>
        <v>0</v>
      </c>
      <c r="U274" s="28">
        <f t="shared" si="92"/>
        <v>0</v>
      </c>
      <c r="V274" s="48" t="e">
        <f t="shared" si="93"/>
        <v>#DIV/0!</v>
      </c>
      <c r="W274" s="71">
        <f t="shared" si="87"/>
        <v>0</v>
      </c>
      <c r="X274" s="71">
        <f t="shared" si="88"/>
        <v>0</v>
      </c>
      <c r="Y274" s="37" t="e">
        <f t="shared" si="89"/>
        <v>#DIV/0!</v>
      </c>
      <c r="Z274" s="78"/>
      <c r="AA274" s="78"/>
      <c r="AB274" s="78"/>
      <c r="AC274" s="78"/>
      <c r="AF274" s="77" t="s">
        <v>419</v>
      </c>
      <c r="AG274" s="77">
        <f>VLOOKUP(AF274,'CFN HPV'!A:L,12,FALSE)</f>
        <v>31.94</v>
      </c>
      <c r="AH274" s="145">
        <f t="shared" si="82"/>
        <v>0</v>
      </c>
      <c r="AI274" s="77">
        <f>AH274-AG274</f>
        <v>-31.94</v>
      </c>
      <c r="AJ274" s="183"/>
      <c r="AK274" s="33"/>
      <c r="AL274" s="33"/>
      <c r="AM274" s="33"/>
    </row>
    <row r="275" spans="1:43">
      <c r="A275" s="86" t="s">
        <v>353</v>
      </c>
      <c r="B275" s="86" t="s">
        <v>1795</v>
      </c>
      <c r="C275" s="86" t="s">
        <v>1262</v>
      </c>
      <c r="D275" s="87">
        <v>40</v>
      </c>
      <c r="E275" s="87" t="s">
        <v>2</v>
      </c>
      <c r="F275" s="509"/>
      <c r="G275" s="509"/>
      <c r="H275" s="509"/>
      <c r="I275" s="34" t="e">
        <f>VLOOKUP(B275,Pallets!B:F,5,FALSE)</f>
        <v>#N/A</v>
      </c>
      <c r="J275" s="57">
        <v>2.4500000000000002</v>
      </c>
      <c r="K275" s="57"/>
      <c r="L275" s="57"/>
      <c r="M275" s="522"/>
      <c r="N275" s="541">
        <v>0</v>
      </c>
      <c r="O275" s="522"/>
      <c r="P275" s="57">
        <f t="shared" si="90"/>
        <v>0</v>
      </c>
      <c r="Q275" s="42">
        <f t="shared" si="84"/>
        <v>0</v>
      </c>
      <c r="R275" s="65">
        <f t="shared" si="85"/>
        <v>0</v>
      </c>
      <c r="S275" s="41" t="e">
        <f t="shared" si="86"/>
        <v>#DIV/0!</v>
      </c>
      <c r="T275" s="47">
        <f t="shared" si="91"/>
        <v>0</v>
      </c>
      <c r="U275" s="28">
        <f t="shared" si="92"/>
        <v>0</v>
      </c>
      <c r="V275" s="48" t="e">
        <f t="shared" si="93"/>
        <v>#DIV/0!</v>
      </c>
      <c r="W275" s="71">
        <f t="shared" si="87"/>
        <v>0</v>
      </c>
      <c r="X275" s="71">
        <f t="shared" si="88"/>
        <v>0</v>
      </c>
      <c r="Y275" s="37" t="e">
        <f t="shared" si="89"/>
        <v>#DIV/0!</v>
      </c>
      <c r="Z275" s="78"/>
      <c r="AA275" s="78"/>
      <c r="AB275" s="78"/>
      <c r="AC275" s="78"/>
      <c r="AF275" s="77" t="s">
        <v>401</v>
      </c>
      <c r="AG275" s="77">
        <f>VLOOKUP(AF275,'CFN HPV'!A:L,12,FALSE)</f>
        <v>4.53</v>
      </c>
      <c r="AH275" s="145">
        <f t="shared" si="82"/>
        <v>0</v>
      </c>
      <c r="AI275" s="77">
        <f>AH275-AG275</f>
        <v>-4.53</v>
      </c>
      <c r="AJ275" s="183"/>
      <c r="AK275" s="33"/>
      <c r="AL275" s="33"/>
      <c r="AM275" s="33"/>
    </row>
    <row r="276" spans="1:43">
      <c r="A276" s="33" t="s">
        <v>353</v>
      </c>
      <c r="B276" s="33" t="s">
        <v>1796</v>
      </c>
      <c r="C276" s="33" t="s">
        <v>1263</v>
      </c>
      <c r="D276" s="34">
        <v>20</v>
      </c>
      <c r="E276" s="34" t="s">
        <v>2</v>
      </c>
      <c r="F276" s="509"/>
      <c r="G276" s="509"/>
      <c r="H276" s="509"/>
      <c r="I276" s="34">
        <v>24</v>
      </c>
      <c r="J276" s="57">
        <v>5.35</v>
      </c>
      <c r="K276" s="57"/>
      <c r="L276" s="57"/>
      <c r="M276" s="522"/>
      <c r="N276" s="541">
        <v>0</v>
      </c>
      <c r="O276" s="522"/>
      <c r="P276" s="57">
        <f t="shared" si="90"/>
        <v>0</v>
      </c>
      <c r="Q276" s="42">
        <f t="shared" si="84"/>
        <v>0</v>
      </c>
      <c r="R276" s="27">
        <f t="shared" si="85"/>
        <v>0</v>
      </c>
      <c r="S276" s="41" t="e">
        <f t="shared" si="86"/>
        <v>#DIV/0!</v>
      </c>
      <c r="T276" s="47">
        <f t="shared" si="91"/>
        <v>0</v>
      </c>
      <c r="U276" s="28">
        <f t="shared" si="92"/>
        <v>0</v>
      </c>
      <c r="V276" s="48" t="e">
        <f t="shared" si="93"/>
        <v>#DIV/0!</v>
      </c>
      <c r="W276" s="71">
        <f t="shared" si="87"/>
        <v>0</v>
      </c>
      <c r="X276" s="71">
        <f t="shared" si="88"/>
        <v>0</v>
      </c>
      <c r="Y276" s="37" t="e">
        <f t="shared" si="89"/>
        <v>#DIV/0!</v>
      </c>
      <c r="Z276" s="78"/>
      <c r="AA276" s="78"/>
      <c r="AB276" s="78"/>
      <c r="AC276" s="78"/>
      <c r="AF276" s="34" t="s">
        <v>423</v>
      </c>
      <c r="AG276" s="77">
        <f>VLOOKUP(AF276,'CFN HPV'!A:L,12,FALSE)</f>
        <v>9.68</v>
      </c>
      <c r="AH276" s="145">
        <f t="shared" si="82"/>
        <v>0</v>
      </c>
      <c r="AI276" s="77">
        <f>AH276-AG276</f>
        <v>-9.68</v>
      </c>
      <c r="AJ276" s="183"/>
      <c r="AK276" s="33"/>
      <c r="AL276" s="33"/>
      <c r="AM276" s="33"/>
    </row>
    <row r="277" spans="1:43">
      <c r="A277" s="86" t="s">
        <v>353</v>
      </c>
      <c r="B277" s="86" t="s">
        <v>1797</v>
      </c>
      <c r="C277" s="33" t="s">
        <v>1264</v>
      </c>
      <c r="D277" s="87">
        <v>20</v>
      </c>
      <c r="E277" s="87" t="s">
        <v>2</v>
      </c>
      <c r="F277" s="509"/>
      <c r="G277" s="509"/>
      <c r="H277" s="509"/>
      <c r="I277" s="34">
        <v>24</v>
      </c>
      <c r="J277" s="57">
        <v>5.35</v>
      </c>
      <c r="K277" s="57"/>
      <c r="L277" s="57"/>
      <c r="M277" s="522"/>
      <c r="N277" s="541">
        <v>0</v>
      </c>
      <c r="O277" s="522"/>
      <c r="P277" s="57">
        <f t="shared" si="90"/>
        <v>0</v>
      </c>
      <c r="Q277" s="65">
        <f t="shared" si="84"/>
        <v>0</v>
      </c>
      <c r="R277" s="27">
        <f t="shared" si="85"/>
        <v>0</v>
      </c>
      <c r="S277" s="41" t="e">
        <f t="shared" si="86"/>
        <v>#DIV/0!</v>
      </c>
      <c r="T277" s="47">
        <f t="shared" si="91"/>
        <v>0</v>
      </c>
      <c r="U277" s="28">
        <f t="shared" si="92"/>
        <v>0</v>
      </c>
      <c r="V277" s="48" t="e">
        <f t="shared" si="93"/>
        <v>#DIV/0!</v>
      </c>
      <c r="W277" s="71">
        <f t="shared" si="87"/>
        <v>0</v>
      </c>
      <c r="X277" s="71">
        <f t="shared" si="88"/>
        <v>0</v>
      </c>
      <c r="Y277" s="37" t="e">
        <f t="shared" si="89"/>
        <v>#DIV/0!</v>
      </c>
      <c r="Z277" s="78"/>
      <c r="AA277" s="78"/>
      <c r="AB277" s="78"/>
      <c r="AC277" s="84"/>
      <c r="AD277" s="183"/>
      <c r="AE277" s="183"/>
      <c r="AF277" s="82"/>
      <c r="AG277" s="33"/>
      <c r="AH277" s="164"/>
      <c r="AI277" s="33"/>
      <c r="AJ277" s="10"/>
      <c r="AK277" s="33"/>
      <c r="AL277" s="33"/>
      <c r="AM277" s="33"/>
    </row>
    <row r="278" spans="1:43">
      <c r="A278" s="86" t="s">
        <v>353</v>
      </c>
      <c r="B278" s="86" t="s">
        <v>1798</v>
      </c>
      <c r="C278" s="33" t="s">
        <v>1265</v>
      </c>
      <c r="D278" s="87">
        <v>20</v>
      </c>
      <c r="E278" s="87" t="s">
        <v>2</v>
      </c>
      <c r="F278" s="509"/>
      <c r="G278" s="509"/>
      <c r="H278" s="509"/>
      <c r="I278" s="34" t="e">
        <f>VLOOKUP(B278,Pallets!B:F,5,FALSE)</f>
        <v>#N/A</v>
      </c>
      <c r="J278" s="57">
        <v>5.04</v>
      </c>
      <c r="K278" s="57"/>
      <c r="L278" s="57"/>
      <c r="M278" s="522"/>
      <c r="N278" s="541">
        <v>0</v>
      </c>
      <c r="O278" s="522"/>
      <c r="P278" s="57">
        <f t="shared" si="90"/>
        <v>0</v>
      </c>
      <c r="Q278" s="42">
        <f t="shared" si="84"/>
        <v>0</v>
      </c>
      <c r="R278" s="27">
        <f t="shared" si="85"/>
        <v>0</v>
      </c>
      <c r="S278" s="41" t="e">
        <f t="shared" si="86"/>
        <v>#DIV/0!</v>
      </c>
      <c r="T278" s="47">
        <f t="shared" si="91"/>
        <v>0</v>
      </c>
      <c r="U278" s="28">
        <f t="shared" si="92"/>
        <v>0</v>
      </c>
      <c r="V278" s="48" t="e">
        <f t="shared" si="93"/>
        <v>#DIV/0!</v>
      </c>
      <c r="W278" s="71">
        <f t="shared" si="87"/>
        <v>0</v>
      </c>
      <c r="X278" s="71">
        <f t="shared" si="88"/>
        <v>0</v>
      </c>
      <c r="Y278" s="37" t="e">
        <f t="shared" si="89"/>
        <v>#DIV/0!</v>
      </c>
      <c r="Z278" s="78"/>
      <c r="AA278" s="78"/>
      <c r="AB278" s="78"/>
      <c r="AC278" s="78"/>
      <c r="AF278" s="77"/>
      <c r="AG278" s="77"/>
      <c r="AH278" s="145"/>
      <c r="AI278" s="77"/>
      <c r="AJ278" s="183"/>
      <c r="AK278" s="33"/>
      <c r="AL278" s="33"/>
      <c r="AM278" s="33"/>
    </row>
    <row r="279" spans="1:43">
      <c r="A279" s="86" t="s">
        <v>353</v>
      </c>
      <c r="B279" s="86" t="s">
        <v>1799</v>
      </c>
      <c r="C279" s="86" t="s">
        <v>1266</v>
      </c>
      <c r="D279" s="87">
        <v>30</v>
      </c>
      <c r="E279" s="87" t="s">
        <v>2</v>
      </c>
      <c r="F279" s="509"/>
      <c r="G279" s="509"/>
      <c r="H279" s="509"/>
      <c r="I279" s="34" t="e">
        <f>VLOOKUP(B279,Pallets!B:F,5,FALSE)</f>
        <v>#N/A</v>
      </c>
      <c r="J279" s="57">
        <v>1.22</v>
      </c>
      <c r="K279" s="57"/>
      <c r="L279" s="57"/>
      <c r="M279" s="522"/>
      <c r="N279" s="541">
        <v>0</v>
      </c>
      <c r="O279" s="522"/>
      <c r="P279" s="57">
        <f t="shared" si="90"/>
        <v>0</v>
      </c>
      <c r="Q279" s="42">
        <f t="shared" si="84"/>
        <v>0</v>
      </c>
      <c r="R279" s="27">
        <f t="shared" si="85"/>
        <v>0</v>
      </c>
      <c r="S279" s="41" t="e">
        <f t="shared" si="86"/>
        <v>#DIV/0!</v>
      </c>
      <c r="T279" s="47">
        <f t="shared" si="91"/>
        <v>0</v>
      </c>
      <c r="U279" s="28">
        <f t="shared" si="92"/>
        <v>0</v>
      </c>
      <c r="V279" s="48" t="e">
        <f t="shared" si="93"/>
        <v>#DIV/0!</v>
      </c>
      <c r="W279" s="71">
        <f t="shared" si="87"/>
        <v>0</v>
      </c>
      <c r="X279" s="71">
        <f t="shared" si="88"/>
        <v>0</v>
      </c>
      <c r="Y279" s="37" t="e">
        <f t="shared" si="89"/>
        <v>#DIV/0!</v>
      </c>
      <c r="Z279" s="78"/>
      <c r="AA279" s="78"/>
      <c r="AB279" s="78"/>
      <c r="AC279" s="78"/>
      <c r="AF279" s="77" t="s">
        <v>394</v>
      </c>
      <c r="AG279" s="77">
        <f>VLOOKUP(AF279,'CFN HPV'!A:L,12,FALSE)</f>
        <v>1.99</v>
      </c>
      <c r="AH279" s="145">
        <f>Q279</f>
        <v>0</v>
      </c>
      <c r="AI279" s="77">
        <f>AH279-AG279</f>
        <v>-1.99</v>
      </c>
      <c r="AJ279" s="183"/>
      <c r="AK279" s="33"/>
      <c r="AL279" s="33"/>
      <c r="AM279" s="33"/>
    </row>
    <row r="280" spans="1:43">
      <c r="A280" s="86" t="s">
        <v>353</v>
      </c>
      <c r="B280" s="86" t="s">
        <v>1800</v>
      </c>
      <c r="C280" s="86" t="s">
        <v>1267</v>
      </c>
      <c r="D280" s="87">
        <v>25</v>
      </c>
      <c r="E280" s="87" t="s">
        <v>2</v>
      </c>
      <c r="F280" s="509"/>
      <c r="G280" s="509"/>
      <c r="H280" s="509"/>
      <c r="I280" s="34" t="e">
        <f>VLOOKUP(B280,Pallets!B:F,5,FALSE)</f>
        <v>#N/A</v>
      </c>
      <c r="J280" s="57">
        <v>1.49</v>
      </c>
      <c r="K280" s="57"/>
      <c r="L280" s="57"/>
      <c r="M280" s="522"/>
      <c r="N280" s="541">
        <v>0</v>
      </c>
      <c r="O280" s="522"/>
      <c r="P280" s="57">
        <f t="shared" si="90"/>
        <v>0</v>
      </c>
      <c r="Q280" s="42">
        <f t="shared" si="84"/>
        <v>0</v>
      </c>
      <c r="R280" s="27">
        <f t="shared" si="85"/>
        <v>0</v>
      </c>
      <c r="S280" s="41" t="e">
        <f t="shared" si="86"/>
        <v>#DIV/0!</v>
      </c>
      <c r="T280" s="47">
        <f t="shared" si="91"/>
        <v>0</v>
      </c>
      <c r="U280" s="28">
        <f t="shared" si="92"/>
        <v>0</v>
      </c>
      <c r="V280" s="48" t="e">
        <f t="shared" si="93"/>
        <v>#DIV/0!</v>
      </c>
      <c r="W280" s="71">
        <f t="shared" si="87"/>
        <v>0</v>
      </c>
      <c r="X280" s="71">
        <f t="shared" si="88"/>
        <v>0</v>
      </c>
      <c r="Y280" s="37" t="e">
        <f t="shared" si="89"/>
        <v>#DIV/0!</v>
      </c>
      <c r="Z280" s="78"/>
      <c r="AA280" s="78"/>
      <c r="AB280" s="78"/>
      <c r="AC280" s="78"/>
      <c r="AF280" s="77" t="s">
        <v>395</v>
      </c>
      <c r="AG280" s="77">
        <f>VLOOKUP(AF280,'CFN HPV'!A:L,12,FALSE)</f>
        <v>2.79</v>
      </c>
      <c r="AH280" s="145">
        <f>Q280</f>
        <v>0</v>
      </c>
      <c r="AI280" s="77">
        <f>AH280-AG280</f>
        <v>-2.79</v>
      </c>
      <c r="AJ280" s="183"/>
      <c r="AK280" s="33"/>
      <c r="AL280" s="33"/>
      <c r="AM280" s="33"/>
    </row>
    <row r="281" spans="1:43">
      <c r="A281" s="86" t="s">
        <v>353</v>
      </c>
      <c r="B281" s="86" t="s">
        <v>1801</v>
      </c>
      <c r="C281" s="86" t="s">
        <v>1268</v>
      </c>
      <c r="D281" s="87">
        <v>25</v>
      </c>
      <c r="E281" s="87" t="s">
        <v>2</v>
      </c>
      <c r="F281" s="509"/>
      <c r="G281" s="509"/>
      <c r="H281" s="509"/>
      <c r="I281" s="34">
        <v>42</v>
      </c>
      <c r="J281" s="57">
        <v>1.71</v>
      </c>
      <c r="K281" s="57"/>
      <c r="L281" s="57"/>
      <c r="M281" s="522"/>
      <c r="N281" s="541">
        <v>0</v>
      </c>
      <c r="O281" s="522"/>
      <c r="P281" s="57">
        <f t="shared" si="90"/>
        <v>0</v>
      </c>
      <c r="Q281" s="42">
        <f t="shared" si="84"/>
        <v>0</v>
      </c>
      <c r="R281" s="27">
        <f t="shared" si="85"/>
        <v>0</v>
      </c>
      <c r="S281" s="41" t="e">
        <f t="shared" si="86"/>
        <v>#DIV/0!</v>
      </c>
      <c r="T281" s="47">
        <f t="shared" si="91"/>
        <v>0</v>
      </c>
      <c r="U281" s="28">
        <f t="shared" si="92"/>
        <v>0</v>
      </c>
      <c r="V281" s="48" t="e">
        <f t="shared" si="93"/>
        <v>#DIV/0!</v>
      </c>
      <c r="W281" s="71">
        <f t="shared" si="87"/>
        <v>0</v>
      </c>
      <c r="X281" s="71">
        <f t="shared" si="88"/>
        <v>0</v>
      </c>
      <c r="Y281" s="37" t="e">
        <f t="shared" si="89"/>
        <v>#DIV/0!</v>
      </c>
      <c r="Z281" s="78"/>
      <c r="AA281" s="78"/>
      <c r="AB281" s="78">
        <v>2.2799999999999998</v>
      </c>
      <c r="AC281" s="78"/>
      <c r="AF281" s="77"/>
      <c r="AG281" s="77"/>
      <c r="AH281" s="145"/>
      <c r="AI281" s="77"/>
      <c r="AJ281" s="183"/>
      <c r="AK281" s="33"/>
      <c r="AL281" s="33"/>
      <c r="AM281" s="33"/>
    </row>
    <row r="282" spans="1:43">
      <c r="A282" s="86" t="s">
        <v>353</v>
      </c>
      <c r="B282" s="86" t="s">
        <v>1802</v>
      </c>
      <c r="C282" s="86" t="s">
        <v>1269</v>
      </c>
      <c r="D282" s="87">
        <v>20</v>
      </c>
      <c r="E282" s="87" t="s">
        <v>2</v>
      </c>
      <c r="F282" s="509"/>
      <c r="G282" s="509"/>
      <c r="H282" s="509"/>
      <c r="I282" s="34">
        <v>36</v>
      </c>
      <c r="J282" s="57">
        <v>2.2000000000000002</v>
      </c>
      <c r="K282" s="57"/>
      <c r="L282" s="57"/>
      <c r="M282" s="522"/>
      <c r="N282" s="541">
        <v>0</v>
      </c>
      <c r="O282" s="522"/>
      <c r="P282" s="57">
        <f t="shared" si="90"/>
        <v>0</v>
      </c>
      <c r="Q282" s="42">
        <f t="shared" si="84"/>
        <v>0</v>
      </c>
      <c r="R282" s="27">
        <f t="shared" si="85"/>
        <v>0</v>
      </c>
      <c r="S282" s="41" t="e">
        <f t="shared" si="86"/>
        <v>#DIV/0!</v>
      </c>
      <c r="T282" s="47">
        <f t="shared" si="91"/>
        <v>0</v>
      </c>
      <c r="U282" s="28">
        <f t="shared" si="92"/>
        <v>0</v>
      </c>
      <c r="V282" s="48" t="e">
        <f t="shared" si="93"/>
        <v>#DIV/0!</v>
      </c>
      <c r="W282" s="71">
        <f t="shared" si="87"/>
        <v>0</v>
      </c>
      <c r="X282" s="71">
        <f t="shared" si="88"/>
        <v>0</v>
      </c>
      <c r="Y282" s="37" t="e">
        <f t="shared" si="89"/>
        <v>#DIV/0!</v>
      </c>
      <c r="Z282" s="78"/>
      <c r="AA282" s="78"/>
      <c r="AB282" s="78"/>
      <c r="AC282" s="78"/>
      <c r="AF282" s="77" t="s">
        <v>396</v>
      </c>
      <c r="AG282" s="77">
        <f>VLOOKUP(AF282,'CFN HPV'!A:L,12,FALSE)</f>
        <v>3.2</v>
      </c>
      <c r="AH282" s="145">
        <f t="shared" ref="AH282:AH298" si="94">Q282</f>
        <v>0</v>
      </c>
      <c r="AI282" s="77">
        <f t="shared" ref="AI282:AI292" si="95">AH282-AG282</f>
        <v>-3.2</v>
      </c>
      <c r="AJ282" s="183"/>
      <c r="AK282" s="33"/>
      <c r="AL282" s="33"/>
      <c r="AM282" s="33"/>
    </row>
    <row r="283" spans="1:43">
      <c r="A283" s="86" t="s">
        <v>353</v>
      </c>
      <c r="B283" s="86" t="s">
        <v>1803</v>
      </c>
      <c r="C283" s="86" t="s">
        <v>1270</v>
      </c>
      <c r="D283" s="87">
        <v>38</v>
      </c>
      <c r="E283" s="87" t="s">
        <v>2</v>
      </c>
      <c r="F283" s="509"/>
      <c r="G283" s="509"/>
      <c r="H283" s="509"/>
      <c r="I283" s="34" t="e">
        <f>VLOOKUP(B283,Pallets!B:F,5,FALSE)</f>
        <v>#N/A</v>
      </c>
      <c r="J283" s="57">
        <v>2.6</v>
      </c>
      <c r="K283" s="57"/>
      <c r="L283" s="57"/>
      <c r="M283" s="522"/>
      <c r="N283" s="541">
        <v>0</v>
      </c>
      <c r="O283" s="522"/>
      <c r="P283" s="57">
        <f t="shared" si="90"/>
        <v>0</v>
      </c>
      <c r="Q283" s="42">
        <f t="shared" si="84"/>
        <v>0</v>
      </c>
      <c r="R283" s="27">
        <f t="shared" si="85"/>
        <v>0</v>
      </c>
      <c r="S283" s="41" t="e">
        <f t="shared" si="86"/>
        <v>#DIV/0!</v>
      </c>
      <c r="T283" s="47">
        <f t="shared" si="91"/>
        <v>0</v>
      </c>
      <c r="U283" s="28">
        <f t="shared" si="92"/>
        <v>0</v>
      </c>
      <c r="V283" s="48" t="e">
        <f t="shared" si="93"/>
        <v>#DIV/0!</v>
      </c>
      <c r="W283" s="71">
        <f t="shared" si="87"/>
        <v>0</v>
      </c>
      <c r="X283" s="71">
        <f t="shared" si="88"/>
        <v>0</v>
      </c>
      <c r="Y283" s="37" t="e">
        <f t="shared" si="89"/>
        <v>#DIV/0!</v>
      </c>
      <c r="Z283" s="78"/>
      <c r="AA283" s="78"/>
      <c r="AB283" s="78">
        <v>3.7</v>
      </c>
      <c r="AC283" s="78"/>
      <c r="AF283" s="77" t="s">
        <v>397</v>
      </c>
      <c r="AG283" s="77">
        <f>VLOOKUP(AF283,'CFN HPV'!A:L,12,FALSE)</f>
        <v>3.86</v>
      </c>
      <c r="AH283" s="145">
        <f t="shared" si="94"/>
        <v>0</v>
      </c>
      <c r="AI283" s="77">
        <f t="shared" si="95"/>
        <v>-3.86</v>
      </c>
      <c r="AJ283" s="183"/>
      <c r="AK283" s="33"/>
      <c r="AL283" s="33"/>
      <c r="AM283" s="33"/>
    </row>
    <row r="284" spans="1:43">
      <c r="A284" s="86" t="s">
        <v>353</v>
      </c>
      <c r="B284" s="86" t="s">
        <v>1804</v>
      </c>
      <c r="C284" s="86" t="s">
        <v>1271</v>
      </c>
      <c r="D284" s="87">
        <v>32</v>
      </c>
      <c r="E284" s="87" t="s">
        <v>2</v>
      </c>
      <c r="F284" s="509"/>
      <c r="G284" s="509"/>
      <c r="H284" s="509"/>
      <c r="I284" s="34" t="e">
        <f>VLOOKUP(B284,Pallets!B:F,5,FALSE)</f>
        <v>#N/A</v>
      </c>
      <c r="J284" s="57">
        <v>2.98</v>
      </c>
      <c r="K284" s="57"/>
      <c r="L284" s="57"/>
      <c r="M284" s="522"/>
      <c r="N284" s="541">
        <v>0</v>
      </c>
      <c r="O284" s="522"/>
      <c r="P284" s="57">
        <f t="shared" si="90"/>
        <v>0</v>
      </c>
      <c r="Q284" s="42">
        <f t="shared" si="84"/>
        <v>0</v>
      </c>
      <c r="R284" s="27">
        <f t="shared" si="85"/>
        <v>0</v>
      </c>
      <c r="S284" s="41" t="e">
        <f t="shared" si="86"/>
        <v>#DIV/0!</v>
      </c>
      <c r="T284" s="47">
        <f t="shared" si="91"/>
        <v>0</v>
      </c>
      <c r="U284" s="28">
        <f t="shared" si="92"/>
        <v>0</v>
      </c>
      <c r="V284" s="48" t="e">
        <f t="shared" si="93"/>
        <v>#DIV/0!</v>
      </c>
      <c r="W284" s="71">
        <f t="shared" si="87"/>
        <v>0</v>
      </c>
      <c r="X284" s="71">
        <f t="shared" si="88"/>
        <v>0</v>
      </c>
      <c r="Y284" s="37" t="e">
        <f t="shared" si="89"/>
        <v>#DIV/0!</v>
      </c>
      <c r="Z284" s="78"/>
      <c r="AA284" s="78"/>
      <c r="AB284" s="78"/>
      <c r="AC284" s="78"/>
      <c r="AF284" s="77" t="s">
        <v>398</v>
      </c>
      <c r="AG284" s="77">
        <f>VLOOKUP(AF284,'CFN HPV'!A:L,12,FALSE)</f>
        <v>5.64</v>
      </c>
      <c r="AH284" s="145">
        <f t="shared" si="94"/>
        <v>0</v>
      </c>
      <c r="AI284" s="77">
        <f t="shared" si="95"/>
        <v>-5.64</v>
      </c>
      <c r="AJ284" s="183"/>
      <c r="AK284" s="33"/>
      <c r="AL284" s="33"/>
      <c r="AM284" s="33"/>
    </row>
    <row r="285" spans="1:43">
      <c r="A285" s="86" t="s">
        <v>353</v>
      </c>
      <c r="B285" s="86" t="s">
        <v>1805</v>
      </c>
      <c r="C285" s="86" t="s">
        <v>1272</v>
      </c>
      <c r="D285" s="87">
        <v>22</v>
      </c>
      <c r="E285" s="87" t="s">
        <v>2</v>
      </c>
      <c r="F285" s="509"/>
      <c r="G285" s="509"/>
      <c r="H285" s="509"/>
      <c r="I285" s="34" t="e">
        <f>VLOOKUP(B285,Pallets!B:F,5,FALSE)</f>
        <v>#N/A</v>
      </c>
      <c r="J285" s="57">
        <v>3.87</v>
      </c>
      <c r="K285" s="57"/>
      <c r="L285" s="57"/>
      <c r="M285" s="522"/>
      <c r="N285" s="541">
        <v>0</v>
      </c>
      <c r="O285" s="522"/>
      <c r="P285" s="57">
        <f t="shared" si="90"/>
        <v>0</v>
      </c>
      <c r="Q285" s="42">
        <f t="shared" si="84"/>
        <v>0</v>
      </c>
      <c r="R285" s="27">
        <f t="shared" si="85"/>
        <v>0</v>
      </c>
      <c r="S285" s="41" t="e">
        <f t="shared" si="86"/>
        <v>#DIV/0!</v>
      </c>
      <c r="T285" s="47">
        <f t="shared" si="91"/>
        <v>0</v>
      </c>
      <c r="U285" s="28">
        <f t="shared" si="92"/>
        <v>0</v>
      </c>
      <c r="V285" s="48" t="e">
        <f t="shared" si="93"/>
        <v>#DIV/0!</v>
      </c>
      <c r="W285" s="71">
        <f t="shared" si="87"/>
        <v>0</v>
      </c>
      <c r="X285" s="71">
        <f t="shared" si="88"/>
        <v>0</v>
      </c>
      <c r="Y285" s="37" t="e">
        <f t="shared" si="89"/>
        <v>#DIV/0!</v>
      </c>
      <c r="Z285" s="78"/>
      <c r="AA285" s="78"/>
      <c r="AB285" s="78"/>
      <c r="AC285" s="78"/>
      <c r="AF285" s="77" t="s">
        <v>399</v>
      </c>
      <c r="AG285" s="77">
        <f>VLOOKUP(AF285,'CFN HPV'!A:L,12,FALSE)</f>
        <v>6.5</v>
      </c>
      <c r="AH285" s="145">
        <f t="shared" si="94"/>
        <v>0</v>
      </c>
      <c r="AI285" s="77">
        <f t="shared" si="95"/>
        <v>-6.5</v>
      </c>
      <c r="AJ285" s="183"/>
      <c r="AK285" s="33"/>
      <c r="AL285" s="33"/>
      <c r="AM285" s="33"/>
    </row>
    <row r="286" spans="1:43">
      <c r="A286" s="86" t="s">
        <v>353</v>
      </c>
      <c r="B286" s="86" t="s">
        <v>1806</v>
      </c>
      <c r="C286" s="86" t="s">
        <v>1273</v>
      </c>
      <c r="D286" s="87">
        <v>40</v>
      </c>
      <c r="E286" s="87" t="s">
        <v>2</v>
      </c>
      <c r="F286" s="509"/>
      <c r="G286" s="509"/>
      <c r="H286" s="509"/>
      <c r="I286" s="34" t="e">
        <f>VLOOKUP(B286,Pallets!B:F,5,FALSE)</f>
        <v>#N/A</v>
      </c>
      <c r="J286" s="57">
        <v>1.43</v>
      </c>
      <c r="K286" s="57"/>
      <c r="L286" s="57"/>
      <c r="M286" s="522"/>
      <c r="N286" s="541">
        <v>0</v>
      </c>
      <c r="O286" s="522"/>
      <c r="P286" s="57">
        <f t="shared" si="90"/>
        <v>0</v>
      </c>
      <c r="Q286" s="42">
        <f t="shared" si="84"/>
        <v>0</v>
      </c>
      <c r="R286" s="65">
        <f t="shared" si="85"/>
        <v>0</v>
      </c>
      <c r="S286" s="41" t="e">
        <f t="shared" si="86"/>
        <v>#DIV/0!</v>
      </c>
      <c r="T286" s="47">
        <f t="shared" si="91"/>
        <v>0</v>
      </c>
      <c r="U286" s="28">
        <f t="shared" si="92"/>
        <v>0</v>
      </c>
      <c r="V286" s="48" t="e">
        <f t="shared" si="93"/>
        <v>#DIV/0!</v>
      </c>
      <c r="W286" s="71">
        <f t="shared" si="87"/>
        <v>0</v>
      </c>
      <c r="X286" s="71">
        <f t="shared" si="88"/>
        <v>0</v>
      </c>
      <c r="Y286" s="36" t="e">
        <f t="shared" si="89"/>
        <v>#DIV/0!</v>
      </c>
      <c r="Z286" s="78"/>
      <c r="AA286" s="78"/>
      <c r="AB286" s="78"/>
      <c r="AC286" s="78"/>
      <c r="AF286" s="77" t="s">
        <v>420</v>
      </c>
      <c r="AG286" s="77">
        <f>VLOOKUP(AF286,'CFN HPV'!A:L,12,FALSE)</f>
        <v>3.73</v>
      </c>
      <c r="AH286" s="145">
        <f t="shared" si="94"/>
        <v>0</v>
      </c>
      <c r="AI286" s="77">
        <f t="shared" si="95"/>
        <v>-3.73</v>
      </c>
      <c r="AJ286" s="183"/>
      <c r="AK286" s="33"/>
      <c r="AL286" s="33"/>
      <c r="AM286" s="33"/>
    </row>
    <row r="287" spans="1:43">
      <c r="A287" s="86" t="s">
        <v>353</v>
      </c>
      <c r="B287" s="86" t="s">
        <v>1807</v>
      </c>
      <c r="C287" s="86" t="s">
        <v>1274</v>
      </c>
      <c r="D287" s="87">
        <v>20</v>
      </c>
      <c r="E287" s="87" t="s">
        <v>2</v>
      </c>
      <c r="F287" s="509"/>
      <c r="G287" s="509"/>
      <c r="H287" s="509"/>
      <c r="I287" s="34" t="e">
        <f>VLOOKUP(B287,Pallets!B:F,5,FALSE)</f>
        <v>#N/A</v>
      </c>
      <c r="J287" s="57">
        <v>2.56</v>
      </c>
      <c r="K287" s="57"/>
      <c r="L287" s="57"/>
      <c r="M287" s="522"/>
      <c r="N287" s="541">
        <v>0</v>
      </c>
      <c r="O287" s="522"/>
      <c r="P287" s="57">
        <f t="shared" si="90"/>
        <v>0</v>
      </c>
      <c r="Q287" s="42">
        <f t="shared" si="84"/>
        <v>0</v>
      </c>
      <c r="R287" s="65">
        <f t="shared" si="85"/>
        <v>0</v>
      </c>
      <c r="S287" s="41" t="e">
        <f t="shared" si="86"/>
        <v>#DIV/0!</v>
      </c>
      <c r="T287" s="47">
        <f t="shared" si="91"/>
        <v>0</v>
      </c>
      <c r="U287" s="28">
        <f t="shared" si="92"/>
        <v>0</v>
      </c>
      <c r="V287" s="48" t="e">
        <f t="shared" si="93"/>
        <v>#DIV/0!</v>
      </c>
      <c r="W287" s="71">
        <f t="shared" si="87"/>
        <v>0</v>
      </c>
      <c r="X287" s="71">
        <f t="shared" si="88"/>
        <v>0</v>
      </c>
      <c r="Y287" s="36" t="e">
        <f t="shared" si="89"/>
        <v>#DIV/0!</v>
      </c>
      <c r="Z287" s="78"/>
      <c r="AA287" s="78"/>
      <c r="AB287" s="78"/>
      <c r="AC287" s="78"/>
      <c r="AD287" s="10"/>
      <c r="AE287" s="10"/>
      <c r="AF287" s="77" t="s">
        <v>421</v>
      </c>
      <c r="AG287" s="77">
        <f>VLOOKUP(AF287,'CFN HPV'!A:L,12,FALSE)</f>
        <v>3.67</v>
      </c>
      <c r="AH287" s="145">
        <f t="shared" si="94"/>
        <v>0</v>
      </c>
      <c r="AI287" s="77">
        <f t="shared" si="95"/>
        <v>-3.67</v>
      </c>
      <c r="AJ287" s="183"/>
      <c r="AK287" s="33"/>
      <c r="AL287" s="33"/>
      <c r="AM287" s="33"/>
      <c r="AN287" s="10"/>
      <c r="AO287" s="10"/>
      <c r="AP287" s="10"/>
      <c r="AQ287" s="10"/>
    </row>
    <row r="288" spans="1:43">
      <c r="A288" s="86" t="s">
        <v>353</v>
      </c>
      <c r="B288" s="86" t="s">
        <v>1808</v>
      </c>
      <c r="C288" s="86" t="s">
        <v>1275</v>
      </c>
      <c r="D288" s="87">
        <v>8</v>
      </c>
      <c r="E288" s="87" t="s">
        <v>2</v>
      </c>
      <c r="F288" s="509"/>
      <c r="G288" s="509"/>
      <c r="H288" s="509"/>
      <c r="I288" s="34" t="e">
        <f>VLOOKUP(B288,Pallets!B:F,5,FALSE)</f>
        <v>#N/A</v>
      </c>
      <c r="J288" s="57">
        <v>23.09</v>
      </c>
      <c r="K288" s="57"/>
      <c r="L288" s="57"/>
      <c r="M288" s="522"/>
      <c r="N288" s="541">
        <v>0</v>
      </c>
      <c r="O288" s="522"/>
      <c r="P288" s="57">
        <f t="shared" si="90"/>
        <v>0</v>
      </c>
      <c r="Q288" s="42">
        <f t="shared" si="84"/>
        <v>0</v>
      </c>
      <c r="R288" s="27">
        <f t="shared" si="85"/>
        <v>0</v>
      </c>
      <c r="S288" s="41" t="e">
        <f t="shared" si="86"/>
        <v>#DIV/0!</v>
      </c>
      <c r="T288" s="47">
        <f t="shared" si="91"/>
        <v>0</v>
      </c>
      <c r="U288" s="28">
        <f t="shared" si="92"/>
        <v>0</v>
      </c>
      <c r="V288" s="48" t="e">
        <f t="shared" si="93"/>
        <v>#DIV/0!</v>
      </c>
      <c r="W288" s="71">
        <f t="shared" si="87"/>
        <v>0</v>
      </c>
      <c r="X288" s="71">
        <f t="shared" si="88"/>
        <v>0</v>
      </c>
      <c r="Y288" s="37" t="e">
        <f t="shared" si="89"/>
        <v>#DIV/0!</v>
      </c>
      <c r="Z288" s="78">
        <v>43.76</v>
      </c>
      <c r="AA288" s="78"/>
      <c r="AB288" s="78"/>
      <c r="AC288" s="78"/>
      <c r="AF288" s="77" t="s">
        <v>414</v>
      </c>
      <c r="AG288" s="77">
        <f>VLOOKUP(AF288,'CFN HPV'!A:L,12,FALSE)</f>
        <v>17.5</v>
      </c>
      <c r="AH288" s="145">
        <f t="shared" si="94"/>
        <v>0</v>
      </c>
      <c r="AI288" s="77">
        <f t="shared" si="95"/>
        <v>-17.5</v>
      </c>
      <c r="AJ288" s="183"/>
      <c r="AK288" s="33"/>
      <c r="AL288" s="33"/>
      <c r="AM288" s="33"/>
    </row>
    <row r="289" spans="1:43">
      <c r="A289" s="86" t="s">
        <v>353</v>
      </c>
      <c r="B289" s="86" t="s">
        <v>1809</v>
      </c>
      <c r="C289" s="86" t="s">
        <v>1276</v>
      </c>
      <c r="D289" s="87">
        <v>15</v>
      </c>
      <c r="E289" s="87" t="s">
        <v>2</v>
      </c>
      <c r="F289" s="509"/>
      <c r="G289" s="509"/>
      <c r="H289" s="509"/>
      <c r="I289" s="34" t="e">
        <f>VLOOKUP(B289,Pallets!B:F,5,FALSE)</f>
        <v>#N/A</v>
      </c>
      <c r="J289" s="57">
        <v>5.5</v>
      </c>
      <c r="K289" s="57"/>
      <c r="L289" s="57"/>
      <c r="M289" s="522"/>
      <c r="N289" s="541">
        <v>0</v>
      </c>
      <c r="O289" s="522"/>
      <c r="P289" s="57">
        <f t="shared" si="90"/>
        <v>0</v>
      </c>
      <c r="Q289" s="42">
        <f t="shared" si="84"/>
        <v>0</v>
      </c>
      <c r="R289" s="27">
        <f t="shared" si="85"/>
        <v>0</v>
      </c>
      <c r="S289" s="41" t="e">
        <f t="shared" si="86"/>
        <v>#DIV/0!</v>
      </c>
      <c r="T289" s="47">
        <f t="shared" si="91"/>
        <v>0</v>
      </c>
      <c r="U289" s="28">
        <f t="shared" si="92"/>
        <v>0</v>
      </c>
      <c r="V289" s="48" t="e">
        <f t="shared" si="93"/>
        <v>#DIV/0!</v>
      </c>
      <c r="W289" s="71">
        <f t="shared" si="87"/>
        <v>0</v>
      </c>
      <c r="X289" s="71">
        <f t="shared" si="88"/>
        <v>0</v>
      </c>
      <c r="Y289" s="37" t="e">
        <f t="shared" si="89"/>
        <v>#DIV/0!</v>
      </c>
      <c r="Z289" s="78"/>
      <c r="AA289" s="78"/>
      <c r="AB289" s="78"/>
      <c r="AC289" s="78"/>
      <c r="AF289" s="135">
        <v>9154</v>
      </c>
      <c r="AG289" s="77">
        <v>12.35</v>
      </c>
      <c r="AH289" s="145">
        <f t="shared" si="94"/>
        <v>0</v>
      </c>
      <c r="AI289" s="77">
        <f t="shared" si="95"/>
        <v>-12.35</v>
      </c>
      <c r="AJ289" s="183"/>
      <c r="AK289" s="33"/>
      <c r="AL289" s="33"/>
      <c r="AM289" s="33"/>
    </row>
    <row r="290" spans="1:43">
      <c r="A290" s="86" t="s">
        <v>353</v>
      </c>
      <c r="B290" s="86" t="s">
        <v>1810</v>
      </c>
      <c r="C290" s="86" t="s">
        <v>1277</v>
      </c>
      <c r="D290" s="87">
        <v>10</v>
      </c>
      <c r="E290" s="87" t="s">
        <v>2</v>
      </c>
      <c r="F290" s="509"/>
      <c r="G290" s="509"/>
      <c r="H290" s="509"/>
      <c r="I290" s="34">
        <v>24</v>
      </c>
      <c r="J290" s="57">
        <v>12.8</v>
      </c>
      <c r="K290" s="57"/>
      <c r="L290" s="57"/>
      <c r="M290" s="522"/>
      <c r="N290" s="541">
        <v>0</v>
      </c>
      <c r="O290" s="522"/>
      <c r="P290" s="57">
        <f t="shared" si="90"/>
        <v>0</v>
      </c>
      <c r="Q290" s="42">
        <f t="shared" si="84"/>
        <v>0</v>
      </c>
      <c r="R290" s="27">
        <f t="shared" si="85"/>
        <v>0</v>
      </c>
      <c r="S290" s="41" t="e">
        <f t="shared" si="86"/>
        <v>#DIV/0!</v>
      </c>
      <c r="T290" s="47">
        <f t="shared" si="91"/>
        <v>0</v>
      </c>
      <c r="U290" s="28">
        <f t="shared" si="92"/>
        <v>0</v>
      </c>
      <c r="V290" s="48" t="e">
        <f t="shared" si="93"/>
        <v>#DIV/0!</v>
      </c>
      <c r="W290" s="71">
        <f t="shared" si="87"/>
        <v>0</v>
      </c>
      <c r="X290" s="71">
        <f t="shared" si="88"/>
        <v>0</v>
      </c>
      <c r="Y290" s="37" t="e">
        <f t="shared" si="89"/>
        <v>#DIV/0!</v>
      </c>
      <c r="Z290" s="78"/>
      <c r="AA290" s="78"/>
      <c r="AB290" s="78"/>
      <c r="AC290" s="78"/>
      <c r="AF290" s="77" t="s">
        <v>632</v>
      </c>
      <c r="AG290" s="77">
        <v>13.35</v>
      </c>
      <c r="AH290" s="145">
        <f t="shared" si="94"/>
        <v>0</v>
      </c>
      <c r="AI290" s="77">
        <f t="shared" si="95"/>
        <v>-13.35</v>
      </c>
      <c r="AJ290" s="183"/>
      <c r="AK290" s="33"/>
      <c r="AL290" s="33"/>
      <c r="AM290" s="33"/>
    </row>
    <row r="291" spans="1:43">
      <c r="A291" s="86" t="s">
        <v>353</v>
      </c>
      <c r="B291" s="86" t="s">
        <v>1811</v>
      </c>
      <c r="C291" s="86" t="s">
        <v>1278</v>
      </c>
      <c r="D291" s="87">
        <v>15</v>
      </c>
      <c r="E291" s="87" t="s">
        <v>2</v>
      </c>
      <c r="F291" s="509"/>
      <c r="G291" s="509"/>
      <c r="H291" s="509"/>
      <c r="I291" s="34" t="e">
        <f>VLOOKUP(B291,Pallets!B:F,5,FALSE)</f>
        <v>#N/A</v>
      </c>
      <c r="J291" s="159">
        <v>7.9</v>
      </c>
      <c r="K291" s="159"/>
      <c r="L291" s="159"/>
      <c r="M291" s="522"/>
      <c r="N291" s="541">
        <v>0</v>
      </c>
      <c r="O291" s="522"/>
      <c r="P291" s="57">
        <f t="shared" si="90"/>
        <v>0</v>
      </c>
      <c r="Q291" s="42">
        <f t="shared" si="84"/>
        <v>0</v>
      </c>
      <c r="R291" s="27">
        <f t="shared" si="85"/>
        <v>0</v>
      </c>
      <c r="S291" s="41" t="e">
        <f t="shared" si="86"/>
        <v>#DIV/0!</v>
      </c>
      <c r="T291" s="47">
        <f t="shared" si="91"/>
        <v>0</v>
      </c>
      <c r="U291" s="28">
        <f t="shared" si="92"/>
        <v>0</v>
      </c>
      <c r="V291" s="48" t="e">
        <f t="shared" si="93"/>
        <v>#DIV/0!</v>
      </c>
      <c r="W291" s="71">
        <f t="shared" si="87"/>
        <v>0</v>
      </c>
      <c r="X291" s="71">
        <f t="shared" si="88"/>
        <v>0</v>
      </c>
      <c r="Y291" s="37" t="e">
        <f t="shared" si="89"/>
        <v>#DIV/0!</v>
      </c>
      <c r="Z291" s="78"/>
      <c r="AA291" s="78"/>
      <c r="AB291" s="78"/>
      <c r="AC291" s="78"/>
      <c r="AD291" s="10"/>
      <c r="AE291" s="10"/>
      <c r="AF291" s="77" t="s">
        <v>400</v>
      </c>
      <c r="AG291" s="77">
        <f>VLOOKUP(AF291,'CFN HPV'!A:L,12,FALSE)</f>
        <v>22.3</v>
      </c>
      <c r="AH291" s="145">
        <f t="shared" si="94"/>
        <v>0</v>
      </c>
      <c r="AI291" s="77">
        <f t="shared" si="95"/>
        <v>-22.3</v>
      </c>
      <c r="AJ291" s="183"/>
      <c r="AK291" s="33"/>
      <c r="AL291" s="33"/>
      <c r="AM291" s="33"/>
      <c r="AN291" s="10"/>
      <c r="AO291" s="10"/>
      <c r="AP291" s="10"/>
      <c r="AQ291" s="10"/>
    </row>
    <row r="292" spans="1:43">
      <c r="A292" s="86" t="s">
        <v>353</v>
      </c>
      <c r="B292" s="86" t="s">
        <v>1812</v>
      </c>
      <c r="C292" s="86" t="s">
        <v>2147</v>
      </c>
      <c r="D292" s="87">
        <v>60</v>
      </c>
      <c r="E292" s="87" t="s">
        <v>2</v>
      </c>
      <c r="F292" s="509"/>
      <c r="G292" s="509"/>
      <c r="H292" s="509"/>
      <c r="I292" s="34"/>
      <c r="J292" s="34"/>
      <c r="K292" s="34"/>
      <c r="L292" s="34"/>
      <c r="M292" s="522"/>
      <c r="N292" s="541">
        <v>0</v>
      </c>
      <c r="O292" s="522"/>
      <c r="P292" s="57"/>
      <c r="Q292" s="42">
        <v>3.84</v>
      </c>
      <c r="R292" s="27">
        <f t="shared" si="85"/>
        <v>230.39999999999998</v>
      </c>
      <c r="S292" s="41"/>
      <c r="T292" s="47"/>
      <c r="U292" s="28"/>
      <c r="V292" s="48"/>
      <c r="W292" s="71"/>
      <c r="X292" s="71"/>
      <c r="Y292" s="37"/>
      <c r="Z292" s="78"/>
      <c r="AA292" s="78"/>
      <c r="AB292" s="78"/>
      <c r="AC292" s="78"/>
      <c r="AF292" s="77" t="s">
        <v>791</v>
      </c>
      <c r="AG292" s="77">
        <f>VLOOKUP(AF292,'CFN HPV'!A:L,12,FALSE)</f>
        <v>16.68</v>
      </c>
      <c r="AH292" s="145">
        <f t="shared" si="94"/>
        <v>3.84</v>
      </c>
      <c r="AI292" s="77">
        <f t="shared" si="95"/>
        <v>-12.84</v>
      </c>
      <c r="AJ292" s="183"/>
      <c r="AK292" s="33"/>
      <c r="AL292" s="33"/>
      <c r="AM292" s="33"/>
    </row>
    <row r="293" spans="1:43">
      <c r="A293" s="86" t="s">
        <v>353</v>
      </c>
      <c r="B293" s="86" t="s">
        <v>2140</v>
      </c>
      <c r="C293" s="86" t="s">
        <v>2148</v>
      </c>
      <c r="D293" s="87">
        <v>50</v>
      </c>
      <c r="E293" s="87" t="s">
        <v>2</v>
      </c>
      <c r="F293" s="509"/>
      <c r="G293" s="509"/>
      <c r="H293" s="509"/>
      <c r="I293" s="34"/>
      <c r="J293" s="34"/>
      <c r="K293" s="34"/>
      <c r="L293" s="34"/>
      <c r="M293" s="522"/>
      <c r="N293" s="541">
        <v>0</v>
      </c>
      <c r="O293" s="522"/>
      <c r="P293" s="57"/>
      <c r="Q293" s="42">
        <v>6.64</v>
      </c>
      <c r="R293" s="27">
        <f t="shared" si="85"/>
        <v>332</v>
      </c>
      <c r="S293" s="41"/>
      <c r="T293" s="47"/>
      <c r="U293" s="28"/>
      <c r="V293" s="48"/>
      <c r="W293" s="71"/>
      <c r="X293" s="71"/>
      <c r="Y293" s="37"/>
      <c r="Z293" s="78"/>
      <c r="AA293" s="78"/>
      <c r="AB293" s="78"/>
      <c r="AC293" s="78"/>
      <c r="AF293" s="77"/>
      <c r="AG293" s="77"/>
      <c r="AH293" s="145">
        <f t="shared" si="94"/>
        <v>6.64</v>
      </c>
      <c r="AI293" s="77"/>
      <c r="AJ293" s="183"/>
      <c r="AK293" s="33"/>
      <c r="AL293" s="33"/>
      <c r="AM293" s="33"/>
    </row>
    <row r="294" spans="1:43">
      <c r="A294" s="86" t="s">
        <v>353</v>
      </c>
      <c r="B294" s="86" t="s">
        <v>1813</v>
      </c>
      <c r="C294" s="86" t="s">
        <v>1416</v>
      </c>
      <c r="D294" s="87">
        <v>8</v>
      </c>
      <c r="E294" s="87" t="s">
        <v>2</v>
      </c>
      <c r="F294" s="509"/>
      <c r="G294" s="509"/>
      <c r="H294" s="509"/>
      <c r="I294" s="34" t="e">
        <f>VLOOKUP(B294,Pallets!B:F,5,FALSE)</f>
        <v>#N/A</v>
      </c>
      <c r="J294" s="34"/>
      <c r="K294" s="34"/>
      <c r="L294" s="34"/>
      <c r="M294" s="522"/>
      <c r="N294" s="541">
        <v>0</v>
      </c>
      <c r="O294" s="522"/>
      <c r="P294" s="57">
        <f t="shared" ref="P294:P303" si="96">D294*O294</f>
        <v>0</v>
      </c>
      <c r="Q294" s="42">
        <f t="shared" ref="Q294:Q300" si="97">O294/(1-0.4)</f>
        <v>0</v>
      </c>
      <c r="R294" s="27">
        <f t="shared" si="85"/>
        <v>0</v>
      </c>
      <c r="S294" s="41" t="e">
        <f t="shared" ref="S294:S303" si="98">(Q294-O294)/Q294</f>
        <v>#DIV/0!</v>
      </c>
      <c r="T294" s="47">
        <f>O294/(1-0.2)</f>
        <v>0</v>
      </c>
      <c r="U294" s="28">
        <f>D294*T294</f>
        <v>0</v>
      </c>
      <c r="V294" s="48" t="e">
        <f>(T294-O294)/T294</f>
        <v>#DIV/0!</v>
      </c>
      <c r="W294" s="71">
        <f>O294/(1-0.3)</f>
        <v>0</v>
      </c>
      <c r="X294" s="71">
        <f>D294*W294</f>
        <v>0</v>
      </c>
      <c r="Y294" s="37" t="e">
        <f>(W294-O294)/W294</f>
        <v>#DIV/0!</v>
      </c>
      <c r="Z294" s="78"/>
      <c r="AA294" s="78"/>
      <c r="AB294" s="78">
        <v>23.95</v>
      </c>
      <c r="AC294" s="78"/>
      <c r="AF294" s="77" t="s">
        <v>411</v>
      </c>
      <c r="AG294" s="77">
        <f>VLOOKUP(AF294,'CFN HPV'!A:L,12,FALSE)</f>
        <v>31.7</v>
      </c>
      <c r="AH294" s="145">
        <f t="shared" si="94"/>
        <v>0</v>
      </c>
      <c r="AI294" s="77">
        <f>AH294-AG294</f>
        <v>-31.7</v>
      </c>
      <c r="AJ294" s="183"/>
      <c r="AK294" s="33"/>
      <c r="AL294" s="33"/>
      <c r="AM294" s="33"/>
    </row>
    <row r="295" spans="1:43">
      <c r="A295" s="86" t="s">
        <v>353</v>
      </c>
      <c r="B295" s="86" t="s">
        <v>1814</v>
      </c>
      <c r="C295" s="86" t="s">
        <v>1415</v>
      </c>
      <c r="D295" s="87">
        <v>14</v>
      </c>
      <c r="E295" s="87" t="s">
        <v>2</v>
      </c>
      <c r="F295" s="509"/>
      <c r="G295" s="509"/>
      <c r="H295" s="509"/>
      <c r="I295" s="34">
        <v>24</v>
      </c>
      <c r="J295" s="34"/>
      <c r="K295" s="34"/>
      <c r="L295" s="34"/>
      <c r="M295" s="522"/>
      <c r="N295" s="541">
        <v>0</v>
      </c>
      <c r="O295" s="522"/>
      <c r="P295" s="57">
        <f t="shared" si="96"/>
        <v>0</v>
      </c>
      <c r="Q295" s="42">
        <f t="shared" si="97"/>
        <v>0</v>
      </c>
      <c r="R295" s="27">
        <f t="shared" si="85"/>
        <v>0</v>
      </c>
      <c r="S295" s="41" t="e">
        <f t="shared" si="98"/>
        <v>#DIV/0!</v>
      </c>
      <c r="T295" s="47">
        <f>O295/(1-0.2)</f>
        <v>0</v>
      </c>
      <c r="U295" s="28">
        <f>D295*T295</f>
        <v>0</v>
      </c>
      <c r="V295" s="48" t="e">
        <f>(T295-O295)/T295</f>
        <v>#DIV/0!</v>
      </c>
      <c r="W295" s="71">
        <f>O295/(1-0.3)</f>
        <v>0</v>
      </c>
      <c r="X295" s="71">
        <f>D295*W295</f>
        <v>0</v>
      </c>
      <c r="Y295" s="37" t="e">
        <f>(W295-O295)/W295</f>
        <v>#DIV/0!</v>
      </c>
      <c r="Z295" s="78"/>
      <c r="AA295" s="78"/>
      <c r="AB295" s="78"/>
      <c r="AC295" s="78"/>
      <c r="AF295" s="77" t="s">
        <v>808</v>
      </c>
      <c r="AG295" s="77">
        <f>VLOOKUP(AF295,'CFN HPV'!A:L,12,FALSE)</f>
        <v>22.05</v>
      </c>
      <c r="AH295" s="145">
        <f t="shared" si="94"/>
        <v>0</v>
      </c>
      <c r="AI295" s="77">
        <f>AH295-AG295</f>
        <v>-22.05</v>
      </c>
      <c r="AJ295" s="183"/>
      <c r="AK295" s="33"/>
      <c r="AL295" s="33"/>
      <c r="AM295" s="33"/>
    </row>
    <row r="296" spans="1:43">
      <c r="A296" s="86" t="s">
        <v>353</v>
      </c>
      <c r="B296" s="86" t="s">
        <v>1815</v>
      </c>
      <c r="C296" s="86" t="s">
        <v>1279</v>
      </c>
      <c r="D296" s="87">
        <v>10</v>
      </c>
      <c r="E296" s="87" t="s">
        <v>2</v>
      </c>
      <c r="F296" s="509"/>
      <c r="G296" s="509"/>
      <c r="H296" s="509"/>
      <c r="I296" s="34" t="e">
        <f>VLOOKUP(B296,Pallets!B:F,5,FALSE)</f>
        <v>#N/A</v>
      </c>
      <c r="J296" s="34"/>
      <c r="K296" s="34"/>
      <c r="L296" s="34"/>
      <c r="M296" s="522"/>
      <c r="N296" s="541">
        <v>0</v>
      </c>
      <c r="O296" s="522"/>
      <c r="P296" s="57">
        <f t="shared" si="96"/>
        <v>0</v>
      </c>
      <c r="Q296" s="42">
        <f t="shared" si="97"/>
        <v>0</v>
      </c>
      <c r="R296" s="27">
        <f t="shared" si="85"/>
        <v>0</v>
      </c>
      <c r="S296" s="41" t="e">
        <f t="shared" si="98"/>
        <v>#DIV/0!</v>
      </c>
      <c r="T296" s="47">
        <f>O296/(1-0.2)</f>
        <v>0</v>
      </c>
      <c r="U296" s="28">
        <f>D296*T296</f>
        <v>0</v>
      </c>
      <c r="V296" s="48" t="e">
        <f>(T296-O296)/T296</f>
        <v>#DIV/0!</v>
      </c>
      <c r="W296" s="71">
        <f>O296/(1-0.3)</f>
        <v>0</v>
      </c>
      <c r="X296" s="71">
        <f>D296*W296</f>
        <v>0</v>
      </c>
      <c r="Y296" s="37" t="e">
        <f>(W296-O296)/W296</f>
        <v>#DIV/0!</v>
      </c>
      <c r="Z296" s="78"/>
      <c r="AA296" s="78">
        <v>27.39</v>
      </c>
      <c r="AB296" s="78"/>
      <c r="AC296" s="78"/>
      <c r="AF296" s="77" t="s">
        <v>436</v>
      </c>
      <c r="AG296" s="77">
        <f>VLOOKUP(AF296,'CFN HPV'!A:L,12,FALSE)</f>
        <v>21.54</v>
      </c>
      <c r="AH296" s="145">
        <f t="shared" si="94"/>
        <v>0</v>
      </c>
      <c r="AI296" s="77">
        <f>AH296-AG296</f>
        <v>-21.54</v>
      </c>
      <c r="AJ296" s="183"/>
      <c r="AK296" s="33"/>
      <c r="AL296" s="33"/>
      <c r="AM296" s="33"/>
    </row>
    <row r="297" spans="1:43">
      <c r="A297" s="86" t="s">
        <v>353</v>
      </c>
      <c r="B297" s="86" t="s">
        <v>1816</v>
      </c>
      <c r="C297" s="86" t="s">
        <v>1280</v>
      </c>
      <c r="D297" s="87">
        <v>10</v>
      </c>
      <c r="E297" s="87" t="s">
        <v>2</v>
      </c>
      <c r="F297" s="509"/>
      <c r="G297" s="509"/>
      <c r="H297" s="509"/>
      <c r="I297" s="34">
        <v>24</v>
      </c>
      <c r="J297" s="34"/>
      <c r="K297" s="34"/>
      <c r="L297" s="34"/>
      <c r="M297" s="522"/>
      <c r="N297" s="541">
        <v>0</v>
      </c>
      <c r="O297" s="522"/>
      <c r="P297" s="57">
        <f t="shared" si="96"/>
        <v>0</v>
      </c>
      <c r="Q297" s="42">
        <f t="shared" si="97"/>
        <v>0</v>
      </c>
      <c r="R297" s="27">
        <f t="shared" si="85"/>
        <v>0</v>
      </c>
      <c r="S297" s="41" t="e">
        <f t="shared" si="98"/>
        <v>#DIV/0!</v>
      </c>
      <c r="T297" s="47">
        <f>O297/(1-0.2)</f>
        <v>0</v>
      </c>
      <c r="U297" s="28">
        <f>D297*T297</f>
        <v>0</v>
      </c>
      <c r="V297" s="48" t="e">
        <f>(T297-O297)/T297</f>
        <v>#DIV/0!</v>
      </c>
      <c r="W297" s="71">
        <f>O297/(1-0.3)</f>
        <v>0</v>
      </c>
      <c r="X297" s="71">
        <f>D297*W297</f>
        <v>0</v>
      </c>
      <c r="Y297" s="37" t="e">
        <f>(W297-O297)/W297</f>
        <v>#DIV/0!</v>
      </c>
      <c r="Z297" s="78"/>
      <c r="AA297" s="78"/>
      <c r="AB297" s="78"/>
      <c r="AC297" s="78"/>
      <c r="AF297" s="77" t="s">
        <v>815</v>
      </c>
      <c r="AG297" s="77">
        <f>VLOOKUP(AF297,'CFN HPV'!A:L,12,FALSE)</f>
        <v>23.21</v>
      </c>
      <c r="AH297" s="145">
        <f t="shared" si="94"/>
        <v>0</v>
      </c>
      <c r="AI297" s="77">
        <f>AH297-AG297</f>
        <v>-23.21</v>
      </c>
      <c r="AJ297" s="183"/>
      <c r="AK297" s="33"/>
      <c r="AL297" s="33"/>
      <c r="AM297" s="33"/>
    </row>
    <row r="298" spans="1:43" ht="15.75" customHeight="1">
      <c r="A298" s="86" t="s">
        <v>370</v>
      </c>
      <c r="B298" s="86" t="s">
        <v>2124</v>
      </c>
      <c r="C298" s="86" t="s">
        <v>2125</v>
      </c>
      <c r="D298" s="87">
        <v>16</v>
      </c>
      <c r="E298" s="87" t="s">
        <v>2</v>
      </c>
      <c r="F298" s="509"/>
      <c r="G298" s="509"/>
      <c r="H298" s="509"/>
      <c r="I298" s="34">
        <v>16</v>
      </c>
      <c r="J298" s="34"/>
      <c r="K298" s="34"/>
      <c r="L298" s="34"/>
      <c r="M298" s="522"/>
      <c r="N298" s="541">
        <v>0</v>
      </c>
      <c r="O298" s="522"/>
      <c r="P298" s="57">
        <f t="shared" si="96"/>
        <v>0</v>
      </c>
      <c r="Q298" s="42">
        <f t="shared" si="97"/>
        <v>0</v>
      </c>
      <c r="R298" s="27">
        <f t="shared" si="85"/>
        <v>0</v>
      </c>
      <c r="S298" s="41" t="e">
        <f t="shared" si="98"/>
        <v>#DIV/0!</v>
      </c>
      <c r="T298" s="47">
        <f>O298/(1-0.2)</f>
        <v>0</v>
      </c>
      <c r="U298" s="28">
        <f>D298*T298</f>
        <v>0</v>
      </c>
      <c r="V298" s="48" t="e">
        <f>(T298-O298)/T298</f>
        <v>#DIV/0!</v>
      </c>
      <c r="W298" s="71">
        <f>O298/(1-0.3)</f>
        <v>0</v>
      </c>
      <c r="X298" s="71">
        <f>D298*W298</f>
        <v>0</v>
      </c>
      <c r="Y298" s="37" t="e">
        <f>(W298-O298)/W298</f>
        <v>#DIV/0!</v>
      </c>
      <c r="Z298" s="78"/>
      <c r="AA298" s="78"/>
      <c r="AB298" s="78"/>
      <c r="AC298" s="78"/>
      <c r="AF298" s="77"/>
      <c r="AG298" s="77"/>
      <c r="AH298" s="145">
        <f t="shared" si="94"/>
        <v>0</v>
      </c>
      <c r="AI298" s="77"/>
      <c r="AJ298" s="183"/>
      <c r="AK298" s="33"/>
      <c r="AL298" s="33"/>
      <c r="AM298" s="33"/>
    </row>
    <row r="299" spans="1:43">
      <c r="A299" s="86" t="s">
        <v>370</v>
      </c>
      <c r="B299" s="86" t="s">
        <v>1817</v>
      </c>
      <c r="C299" s="86" t="s">
        <v>1281</v>
      </c>
      <c r="D299" s="87">
        <v>8</v>
      </c>
      <c r="E299" s="87" t="s">
        <v>2</v>
      </c>
      <c r="F299" s="509"/>
      <c r="G299" s="509"/>
      <c r="H299" s="509"/>
      <c r="I299" s="34">
        <v>24</v>
      </c>
      <c r="J299" s="34"/>
      <c r="K299" s="34"/>
      <c r="L299" s="34"/>
      <c r="M299" s="522"/>
      <c r="N299" s="541">
        <v>0</v>
      </c>
      <c r="O299" s="522"/>
      <c r="P299" s="57">
        <f t="shared" si="96"/>
        <v>0</v>
      </c>
      <c r="Q299" s="42">
        <f t="shared" si="97"/>
        <v>0</v>
      </c>
      <c r="R299" s="27">
        <f t="shared" si="85"/>
        <v>0</v>
      </c>
      <c r="S299" s="41" t="e">
        <f t="shared" si="98"/>
        <v>#DIV/0!</v>
      </c>
      <c r="T299" s="47"/>
      <c r="U299" s="28"/>
      <c r="V299" s="48"/>
      <c r="W299" s="71"/>
      <c r="X299" s="71"/>
      <c r="Y299" s="37"/>
      <c r="Z299" s="78"/>
      <c r="AA299" s="78"/>
      <c r="AB299" s="78"/>
      <c r="AC299" s="78"/>
      <c r="AF299" s="77"/>
      <c r="AG299" s="77"/>
      <c r="AH299" s="145"/>
      <c r="AI299" s="77"/>
      <c r="AJ299" s="183"/>
      <c r="AK299" s="33"/>
      <c r="AL299" s="33"/>
      <c r="AM299" s="33"/>
    </row>
    <row r="300" spans="1:43">
      <c r="A300" s="86" t="s">
        <v>370</v>
      </c>
      <c r="B300" s="86" t="s">
        <v>1818</v>
      </c>
      <c r="C300" s="86" t="s">
        <v>1282</v>
      </c>
      <c r="D300" s="87">
        <v>12</v>
      </c>
      <c r="E300" s="87" t="s">
        <v>2</v>
      </c>
      <c r="F300" s="509"/>
      <c r="G300" s="509"/>
      <c r="H300" s="509"/>
      <c r="I300" s="34">
        <v>24</v>
      </c>
      <c r="J300" s="34"/>
      <c r="K300" s="34"/>
      <c r="L300" s="34"/>
      <c r="M300" s="522"/>
      <c r="N300" s="541">
        <v>0</v>
      </c>
      <c r="O300" s="522"/>
      <c r="P300" s="57">
        <f t="shared" si="96"/>
        <v>0</v>
      </c>
      <c r="Q300" s="42">
        <f t="shared" si="97"/>
        <v>0</v>
      </c>
      <c r="R300" s="27">
        <f t="shared" si="85"/>
        <v>0</v>
      </c>
      <c r="S300" s="41" t="e">
        <f t="shared" si="98"/>
        <v>#DIV/0!</v>
      </c>
      <c r="T300" s="47"/>
      <c r="U300" s="28"/>
      <c r="V300" s="48"/>
      <c r="W300" s="71"/>
      <c r="X300" s="71"/>
      <c r="Y300" s="37"/>
      <c r="Z300" s="78"/>
      <c r="AA300" s="78"/>
      <c r="AB300" s="78"/>
      <c r="AC300" s="78"/>
      <c r="AF300" s="77"/>
      <c r="AG300" s="77"/>
      <c r="AH300" s="145"/>
      <c r="AI300" s="77"/>
      <c r="AJ300" s="183"/>
      <c r="AK300" s="33"/>
      <c r="AL300" s="33"/>
      <c r="AM300" s="33"/>
    </row>
    <row r="301" spans="1:43">
      <c r="A301" s="86" t="s">
        <v>370</v>
      </c>
      <c r="B301" s="86" t="s">
        <v>1819</v>
      </c>
      <c r="C301" s="86" t="s">
        <v>1283</v>
      </c>
      <c r="D301" s="87">
        <v>8</v>
      </c>
      <c r="E301" s="87" t="s">
        <v>2</v>
      </c>
      <c r="F301" s="509"/>
      <c r="G301" s="509"/>
      <c r="H301" s="509"/>
      <c r="I301" s="34">
        <v>32</v>
      </c>
      <c r="J301" s="34"/>
      <c r="K301" s="34"/>
      <c r="L301" s="34"/>
      <c r="M301" s="522"/>
      <c r="N301" s="541">
        <v>0</v>
      </c>
      <c r="O301" s="522"/>
      <c r="P301" s="57">
        <f t="shared" si="96"/>
        <v>0</v>
      </c>
      <c r="Q301" s="27">
        <v>24.7</v>
      </c>
      <c r="R301" s="27">
        <f t="shared" si="85"/>
        <v>197.6</v>
      </c>
      <c r="S301" s="41">
        <f t="shared" si="98"/>
        <v>1</v>
      </c>
      <c r="T301" s="47"/>
      <c r="U301" s="28"/>
      <c r="V301" s="48"/>
      <c r="W301" s="71"/>
      <c r="X301" s="71"/>
      <c r="Y301" s="37"/>
      <c r="Z301" s="78"/>
      <c r="AA301" s="78"/>
      <c r="AB301" s="78"/>
      <c r="AC301" s="78"/>
      <c r="AF301" s="77"/>
      <c r="AG301" s="77"/>
      <c r="AH301" s="145"/>
      <c r="AI301" s="77"/>
      <c r="AJ301" s="183"/>
      <c r="AK301" s="33"/>
      <c r="AL301" s="33"/>
      <c r="AM301" s="33"/>
    </row>
    <row r="302" spans="1:43">
      <c r="A302" s="86" t="s">
        <v>370</v>
      </c>
      <c r="B302" s="86" t="s">
        <v>1820</v>
      </c>
      <c r="C302" s="86" t="s">
        <v>1284</v>
      </c>
      <c r="D302" s="87">
        <v>8</v>
      </c>
      <c r="E302" s="87" t="s">
        <v>2</v>
      </c>
      <c r="F302" s="509"/>
      <c r="G302" s="509"/>
      <c r="H302" s="509"/>
      <c r="I302" s="34">
        <v>24</v>
      </c>
      <c r="J302" s="34"/>
      <c r="K302" s="34"/>
      <c r="L302" s="34"/>
      <c r="M302" s="522"/>
      <c r="N302" s="541">
        <v>0</v>
      </c>
      <c r="O302" s="522"/>
      <c r="P302" s="57">
        <f t="shared" si="96"/>
        <v>0</v>
      </c>
      <c r="Q302" s="27">
        <v>13.79</v>
      </c>
      <c r="R302" s="27">
        <f t="shared" si="85"/>
        <v>110.32</v>
      </c>
      <c r="S302" s="41">
        <f t="shared" si="98"/>
        <v>1</v>
      </c>
      <c r="T302" s="47"/>
      <c r="U302" s="28"/>
      <c r="V302" s="48"/>
      <c r="W302" s="71"/>
      <c r="X302" s="71"/>
      <c r="Y302" s="37"/>
      <c r="Z302" s="78"/>
      <c r="AA302" s="78"/>
      <c r="AB302" s="78"/>
      <c r="AC302" s="78"/>
      <c r="AF302" s="77"/>
      <c r="AG302" s="77"/>
      <c r="AH302" s="145"/>
      <c r="AI302" s="77"/>
      <c r="AJ302" s="183"/>
      <c r="AK302" s="33"/>
      <c r="AL302" s="33"/>
      <c r="AM302" s="33"/>
    </row>
    <row r="303" spans="1:43">
      <c r="A303" s="88" t="s">
        <v>370</v>
      </c>
      <c r="B303" s="88" t="s">
        <v>1821</v>
      </c>
      <c r="C303" s="88" t="s">
        <v>1285</v>
      </c>
      <c r="D303" s="89">
        <v>4</v>
      </c>
      <c r="E303" s="89" t="s">
        <v>2</v>
      </c>
      <c r="F303" s="509"/>
      <c r="G303" s="509"/>
      <c r="H303" s="509"/>
      <c r="I303" s="14" t="e">
        <f>VLOOKUP(B303,Pallets!B:F,5,FALSE)</f>
        <v>#N/A</v>
      </c>
      <c r="J303" s="14"/>
      <c r="K303" s="34"/>
      <c r="L303" s="34"/>
      <c r="M303" s="522"/>
      <c r="N303" s="541">
        <v>0</v>
      </c>
      <c r="O303" s="522"/>
      <c r="P303" s="58">
        <f t="shared" si="96"/>
        <v>0</v>
      </c>
      <c r="Q303" s="44">
        <f>R303/D303</f>
        <v>72</v>
      </c>
      <c r="R303" s="81">
        <v>288</v>
      </c>
      <c r="S303" s="43">
        <f t="shared" si="98"/>
        <v>1</v>
      </c>
      <c r="T303" s="49"/>
      <c r="U303" s="30"/>
      <c r="V303" s="50"/>
      <c r="W303" s="72"/>
      <c r="X303" s="72"/>
      <c r="Y303" s="38"/>
      <c r="Z303" s="78"/>
      <c r="AA303" s="78"/>
      <c r="AB303" s="78"/>
      <c r="AC303" s="78"/>
      <c r="AD303" s="10"/>
      <c r="AE303" s="10"/>
      <c r="AF303" s="78"/>
      <c r="AG303" s="78"/>
      <c r="AH303" s="160"/>
      <c r="AI303" s="78"/>
      <c r="AJ303" s="183"/>
      <c r="AK303" s="7"/>
      <c r="AL303" s="7"/>
      <c r="AM303" s="7"/>
      <c r="AN303" s="10"/>
      <c r="AO303" s="10"/>
      <c r="AP303" s="10"/>
      <c r="AQ303" s="10"/>
    </row>
    <row r="304" spans="1:43" ht="15.75">
      <c r="F304" s="509"/>
      <c r="G304" s="509"/>
      <c r="H304" s="509"/>
      <c r="M304" s="522"/>
      <c r="N304" s="534"/>
      <c r="O304" s="524"/>
      <c r="P304" s="15"/>
      <c r="T304" s="60"/>
      <c r="U304" s="15"/>
      <c r="V304" s="60"/>
      <c r="X304" s="15"/>
      <c r="Y304" s="3"/>
      <c r="AD304" s="60"/>
      <c r="AE304" s="60"/>
      <c r="AG304" s="15"/>
      <c r="AI304"/>
      <c r="AJ304"/>
    </row>
    <row r="305" spans="1:36" s="3" customFormat="1" ht="15.75">
      <c r="A305" s="310" t="s">
        <v>1417</v>
      </c>
      <c r="B305" s="311" t="s">
        <v>1989</v>
      </c>
      <c r="C305" s="311" t="s">
        <v>1533</v>
      </c>
      <c r="D305" s="312">
        <v>1000</v>
      </c>
      <c r="E305" s="312" t="s">
        <v>2</v>
      </c>
      <c r="F305" s="509"/>
      <c r="G305" s="509"/>
      <c r="H305" s="509"/>
      <c r="I305" s="312"/>
      <c r="J305" s="377"/>
      <c r="K305" s="495"/>
      <c r="L305" s="495"/>
      <c r="M305" s="522"/>
      <c r="N305" s="534"/>
      <c r="O305" s="524"/>
      <c r="P305" s="268">
        <v>74.989999999999995</v>
      </c>
      <c r="Q305" s="269">
        <v>0.14998</v>
      </c>
      <c r="R305" s="270">
        <v>149.97999999999999</v>
      </c>
      <c r="S305" s="271">
        <v>0.5</v>
      </c>
      <c r="T305" s="47">
        <f t="shared" ref="T305:T359" si="99">O305/(1-0.2)</f>
        <v>0</v>
      </c>
      <c r="U305" s="28">
        <f>D305*T305</f>
        <v>0</v>
      </c>
      <c r="V305" s="48" t="e">
        <f t="shared" ref="V305:V359" si="100">(T305-O305)/T305</f>
        <v>#DIV/0!</v>
      </c>
      <c r="W305" s="275">
        <v>9.9986666666666668E-2</v>
      </c>
      <c r="X305" s="275">
        <v>99.986666666666665</v>
      </c>
      <c r="Y305" s="276">
        <v>0.25000000000000006</v>
      </c>
      <c r="Z305" s="301"/>
      <c r="AA305" s="301"/>
      <c r="AB305" s="302"/>
      <c r="AC305" s="302"/>
      <c r="AD305" s="302"/>
      <c r="AE305" s="304"/>
    </row>
    <row r="306" spans="1:36" ht="15.75">
      <c r="A306" s="305" t="s">
        <v>1417</v>
      </c>
      <c r="B306" s="306" t="s">
        <v>1990</v>
      </c>
      <c r="C306" s="306" t="s">
        <v>1534</v>
      </c>
      <c r="D306" s="307">
        <v>1000</v>
      </c>
      <c r="E306" s="307" t="s">
        <v>2</v>
      </c>
      <c r="F306" s="509"/>
      <c r="G306" s="509"/>
      <c r="H306" s="509"/>
      <c r="I306" s="307">
        <v>32</v>
      </c>
      <c r="J306" s="378"/>
      <c r="K306" s="378"/>
      <c r="L306" s="378"/>
      <c r="M306" s="522"/>
      <c r="N306" s="534"/>
      <c r="O306" s="524"/>
      <c r="P306" s="57">
        <v>78.740000000000009</v>
      </c>
      <c r="Q306" s="42">
        <v>0.15747999999999998</v>
      </c>
      <c r="R306" s="27">
        <v>157.47999999999999</v>
      </c>
      <c r="S306" s="41">
        <v>0.49999999999999989</v>
      </c>
      <c r="T306" s="47">
        <f t="shared" si="99"/>
        <v>0</v>
      </c>
      <c r="U306" s="28">
        <f>D306*T306</f>
        <v>0</v>
      </c>
      <c r="V306" s="48" t="e">
        <f t="shared" si="100"/>
        <v>#DIV/0!</v>
      </c>
      <c r="W306" s="71">
        <v>0.10498666666666666</v>
      </c>
      <c r="X306" s="71">
        <v>104.98666666666666</v>
      </c>
      <c r="Y306" s="37">
        <v>0.24999999999999989</v>
      </c>
      <c r="Z306" s="247"/>
      <c r="AA306" s="247"/>
      <c r="AB306" s="248"/>
      <c r="AC306" s="248"/>
      <c r="AD306" s="248"/>
      <c r="AE306" s="304"/>
      <c r="AF306"/>
      <c r="AG306"/>
      <c r="AH306"/>
      <c r="AI306"/>
      <c r="AJ306"/>
    </row>
    <row r="307" spans="1:36" ht="15.75">
      <c r="A307" s="305" t="s">
        <v>1417</v>
      </c>
      <c r="B307" s="306" t="s">
        <v>1991</v>
      </c>
      <c r="C307" s="306" t="s">
        <v>1535</v>
      </c>
      <c r="D307" s="307">
        <v>500</v>
      </c>
      <c r="E307" s="307" t="s">
        <v>2</v>
      </c>
      <c r="F307" s="509"/>
      <c r="G307" s="509"/>
      <c r="H307" s="509"/>
      <c r="I307" s="307"/>
      <c r="J307" s="378"/>
      <c r="K307" s="378"/>
      <c r="L307" s="378"/>
      <c r="M307" s="522"/>
      <c r="N307" s="534"/>
      <c r="O307" s="524"/>
      <c r="P307" s="57">
        <v>12.86</v>
      </c>
      <c r="Q307" s="436">
        <f t="shared" ref="Q307:Q315" si="101">R307/D307</f>
        <v>5.144E-2</v>
      </c>
      <c r="R307" s="27">
        <f>P307/S307</f>
        <v>25.72</v>
      </c>
      <c r="S307" s="41">
        <v>0.5</v>
      </c>
      <c r="T307" s="437">
        <f t="shared" ref="T307:T315" si="102">U307/D307</f>
        <v>3.2149999999999998E-2</v>
      </c>
      <c r="U307" s="28">
        <f>P307/0.8</f>
        <v>16.074999999999999</v>
      </c>
      <c r="V307" s="48">
        <f t="shared" si="100"/>
        <v>1</v>
      </c>
      <c r="W307" s="438">
        <f t="shared" ref="W307:W315" si="103">X307/D307</f>
        <v>3.4293333333333328E-2</v>
      </c>
      <c r="X307" s="71">
        <f>P307/0.75</f>
        <v>17.146666666666665</v>
      </c>
      <c r="Y307" s="37">
        <v>0.24999999999999997</v>
      </c>
      <c r="Z307" s="247"/>
      <c r="AA307" s="247"/>
      <c r="AB307" s="248"/>
      <c r="AC307" s="248"/>
      <c r="AD307" s="248"/>
      <c r="AE307" s="304"/>
      <c r="AF307"/>
      <c r="AG307"/>
      <c r="AH307"/>
      <c r="AI307"/>
      <c r="AJ307"/>
    </row>
    <row r="308" spans="1:36" ht="15.75">
      <c r="A308" s="305" t="s">
        <v>1417</v>
      </c>
      <c r="B308" s="306" t="s">
        <v>1992</v>
      </c>
      <c r="C308" s="306" t="s">
        <v>1536</v>
      </c>
      <c r="D308" s="307">
        <v>500</v>
      </c>
      <c r="E308" s="307" t="s">
        <v>2</v>
      </c>
      <c r="F308" s="509"/>
      <c r="G308" s="509"/>
      <c r="H308" s="509"/>
      <c r="I308" s="307"/>
      <c r="J308" s="378"/>
      <c r="K308" s="378"/>
      <c r="L308" s="378"/>
      <c r="M308" s="522"/>
      <c r="N308" s="534"/>
      <c r="O308" s="524"/>
      <c r="P308" s="57">
        <v>12.86</v>
      </c>
      <c r="Q308" s="436">
        <f t="shared" si="101"/>
        <v>5.144E-2</v>
      </c>
      <c r="R308" s="27">
        <f t="shared" ref="R308:R315" si="104">P308/S308</f>
        <v>25.72</v>
      </c>
      <c r="S308" s="41">
        <v>0.5</v>
      </c>
      <c r="T308" s="437">
        <f t="shared" si="102"/>
        <v>3.2149999999999998E-2</v>
      </c>
      <c r="U308" s="28">
        <f t="shared" ref="U308:U315" si="105">P308/0.8</f>
        <v>16.074999999999999</v>
      </c>
      <c r="V308" s="48">
        <f t="shared" si="100"/>
        <v>1</v>
      </c>
      <c r="W308" s="438">
        <f t="shared" si="103"/>
        <v>3.4293333333333328E-2</v>
      </c>
      <c r="X308" s="71">
        <f t="shared" ref="X308:X315" si="106">P308/0.75</f>
        <v>17.146666666666665</v>
      </c>
      <c r="Y308" s="37">
        <v>0.24999999999999997</v>
      </c>
      <c r="Z308" s="247"/>
      <c r="AA308" s="247"/>
      <c r="AB308" s="248"/>
      <c r="AC308" s="248"/>
      <c r="AD308" s="248"/>
      <c r="AE308" s="304"/>
      <c r="AF308"/>
      <c r="AG308"/>
      <c r="AH308"/>
      <c r="AI308"/>
      <c r="AJ308"/>
    </row>
    <row r="309" spans="1:36" ht="15.75">
      <c r="A309" s="305" t="s">
        <v>1417</v>
      </c>
      <c r="B309" s="306" t="s">
        <v>1993</v>
      </c>
      <c r="C309" s="306" t="s">
        <v>1537</v>
      </c>
      <c r="D309" s="307">
        <v>500</v>
      </c>
      <c r="E309" s="307" t="s">
        <v>2</v>
      </c>
      <c r="F309" s="509"/>
      <c r="G309" s="509"/>
      <c r="H309" s="509"/>
      <c r="I309" s="307"/>
      <c r="J309" s="378"/>
      <c r="K309" s="378"/>
      <c r="L309" s="378"/>
      <c r="M309" s="522"/>
      <c r="N309" s="534"/>
      <c r="O309" s="524"/>
      <c r="P309" s="57">
        <v>12.86</v>
      </c>
      <c r="Q309" s="436">
        <f t="shared" si="101"/>
        <v>5.144E-2</v>
      </c>
      <c r="R309" s="27">
        <f t="shared" si="104"/>
        <v>25.72</v>
      </c>
      <c r="S309" s="41">
        <v>0.5</v>
      </c>
      <c r="T309" s="437">
        <f t="shared" si="102"/>
        <v>3.2149999999999998E-2</v>
      </c>
      <c r="U309" s="28">
        <f t="shared" si="105"/>
        <v>16.074999999999999</v>
      </c>
      <c r="V309" s="48">
        <f t="shared" si="100"/>
        <v>1</v>
      </c>
      <c r="W309" s="438">
        <f t="shared" si="103"/>
        <v>3.4293333333333328E-2</v>
      </c>
      <c r="X309" s="71">
        <f t="shared" si="106"/>
        <v>17.146666666666665</v>
      </c>
      <c r="Y309" s="37">
        <v>0.24999999999999997</v>
      </c>
      <c r="Z309" s="247"/>
      <c r="AA309" s="247"/>
      <c r="AB309" s="248"/>
      <c r="AC309" s="248"/>
      <c r="AD309" s="248"/>
      <c r="AE309" s="304"/>
      <c r="AF309"/>
      <c r="AG309"/>
      <c r="AH309"/>
      <c r="AI309"/>
      <c r="AJ309"/>
    </row>
    <row r="310" spans="1:36" ht="15.75">
      <c r="A310" s="305" t="s">
        <v>1417</v>
      </c>
      <c r="B310" s="306" t="s">
        <v>1994</v>
      </c>
      <c r="C310" s="306" t="s">
        <v>1538</v>
      </c>
      <c r="D310" s="307">
        <v>500</v>
      </c>
      <c r="E310" s="307" t="s">
        <v>2</v>
      </c>
      <c r="F310" s="509"/>
      <c r="G310" s="509"/>
      <c r="H310" s="509"/>
      <c r="I310" s="307"/>
      <c r="J310" s="378"/>
      <c r="K310" s="378"/>
      <c r="L310" s="378"/>
      <c r="M310" s="522"/>
      <c r="N310" s="534"/>
      <c r="O310" s="524"/>
      <c r="P310" s="57">
        <v>12.86</v>
      </c>
      <c r="Q310" s="436">
        <f t="shared" si="101"/>
        <v>5.144E-2</v>
      </c>
      <c r="R310" s="27">
        <f t="shared" si="104"/>
        <v>25.72</v>
      </c>
      <c r="S310" s="41">
        <v>0.5</v>
      </c>
      <c r="T310" s="437">
        <f t="shared" si="102"/>
        <v>3.2149999999999998E-2</v>
      </c>
      <c r="U310" s="28">
        <f t="shared" si="105"/>
        <v>16.074999999999999</v>
      </c>
      <c r="V310" s="48">
        <f t="shared" si="100"/>
        <v>1</v>
      </c>
      <c r="W310" s="438">
        <f t="shared" si="103"/>
        <v>3.4293333333333328E-2</v>
      </c>
      <c r="X310" s="71">
        <f t="shared" si="106"/>
        <v>17.146666666666665</v>
      </c>
      <c r="Y310" s="37">
        <v>0.24999999999999997</v>
      </c>
      <c r="Z310" s="247"/>
      <c r="AA310" s="247"/>
      <c r="AB310" s="248"/>
      <c r="AC310" s="248"/>
      <c r="AD310" s="248"/>
      <c r="AE310" s="304"/>
      <c r="AF310"/>
      <c r="AG310"/>
      <c r="AH310"/>
      <c r="AI310"/>
      <c r="AJ310"/>
    </row>
    <row r="311" spans="1:36" ht="15.75">
      <c r="A311" s="305" t="s">
        <v>1417</v>
      </c>
      <c r="B311" s="306" t="s">
        <v>1995</v>
      </c>
      <c r="C311" s="306" t="s">
        <v>1539</v>
      </c>
      <c r="D311" s="307">
        <v>500</v>
      </c>
      <c r="E311" s="307" t="s">
        <v>2</v>
      </c>
      <c r="F311" s="509"/>
      <c r="G311" s="509"/>
      <c r="H311" s="509"/>
      <c r="I311" s="307"/>
      <c r="J311" s="378"/>
      <c r="K311" s="378"/>
      <c r="L311" s="378"/>
      <c r="M311" s="522"/>
      <c r="N311" s="534"/>
      <c r="O311" s="524"/>
      <c r="P311" s="57">
        <v>12.86</v>
      </c>
      <c r="Q311" s="436">
        <f t="shared" si="101"/>
        <v>5.144E-2</v>
      </c>
      <c r="R311" s="27">
        <f t="shared" si="104"/>
        <v>25.72</v>
      </c>
      <c r="S311" s="41">
        <v>0.5</v>
      </c>
      <c r="T311" s="437">
        <f t="shared" si="102"/>
        <v>3.2149999999999998E-2</v>
      </c>
      <c r="U311" s="28">
        <f t="shared" si="105"/>
        <v>16.074999999999999</v>
      </c>
      <c r="V311" s="48">
        <f t="shared" si="100"/>
        <v>1</v>
      </c>
      <c r="W311" s="438">
        <f t="shared" si="103"/>
        <v>3.4293333333333328E-2</v>
      </c>
      <c r="X311" s="71">
        <f t="shared" si="106"/>
        <v>17.146666666666665</v>
      </c>
      <c r="Y311" s="37">
        <v>0.24999999999999997</v>
      </c>
      <c r="Z311" s="247"/>
      <c r="AA311" s="247"/>
      <c r="AB311" s="248"/>
      <c r="AC311" s="248"/>
      <c r="AD311" s="248"/>
      <c r="AE311" s="304"/>
      <c r="AF311"/>
      <c r="AG311"/>
      <c r="AH311"/>
      <c r="AI311"/>
      <c r="AJ311"/>
    </row>
    <row r="312" spans="1:36" ht="15.75">
      <c r="A312" s="305" t="s">
        <v>1417</v>
      </c>
      <c r="B312" s="306" t="s">
        <v>1996</v>
      </c>
      <c r="C312" s="306" t="s">
        <v>1540</v>
      </c>
      <c r="D312" s="307">
        <v>500</v>
      </c>
      <c r="E312" s="307" t="s">
        <v>2</v>
      </c>
      <c r="F312" s="509"/>
      <c r="G312" s="509"/>
      <c r="H312" s="509"/>
      <c r="I312" s="307"/>
      <c r="J312" s="378"/>
      <c r="K312" s="378"/>
      <c r="L312" s="378"/>
      <c r="M312" s="522"/>
      <c r="N312" s="534"/>
      <c r="O312" s="524"/>
      <c r="P312" s="57">
        <v>12.86</v>
      </c>
      <c r="Q312" s="436">
        <f t="shared" si="101"/>
        <v>5.144E-2</v>
      </c>
      <c r="R312" s="27">
        <f t="shared" si="104"/>
        <v>25.72</v>
      </c>
      <c r="S312" s="41">
        <v>0.5</v>
      </c>
      <c r="T312" s="437">
        <f t="shared" si="102"/>
        <v>3.2149999999999998E-2</v>
      </c>
      <c r="U312" s="28">
        <f t="shared" si="105"/>
        <v>16.074999999999999</v>
      </c>
      <c r="V312" s="48">
        <f t="shared" si="100"/>
        <v>1</v>
      </c>
      <c r="W312" s="438">
        <f t="shared" si="103"/>
        <v>3.4293333333333328E-2</v>
      </c>
      <c r="X312" s="71">
        <f t="shared" si="106"/>
        <v>17.146666666666665</v>
      </c>
      <c r="Y312" s="37">
        <v>0.24999999999999997</v>
      </c>
      <c r="Z312" s="247"/>
      <c r="AA312" s="247"/>
      <c r="AB312" s="248"/>
      <c r="AC312" s="248"/>
      <c r="AD312" s="248"/>
      <c r="AE312" s="304"/>
      <c r="AF312"/>
      <c r="AG312"/>
      <c r="AH312"/>
      <c r="AI312"/>
      <c r="AJ312"/>
    </row>
    <row r="313" spans="1:36" ht="15.75">
      <c r="A313" s="305" t="s">
        <v>1417</v>
      </c>
      <c r="B313" s="306" t="s">
        <v>1997</v>
      </c>
      <c r="C313" s="306" t="s">
        <v>1541</v>
      </c>
      <c r="D313" s="307">
        <v>500</v>
      </c>
      <c r="E313" s="307" t="s">
        <v>2</v>
      </c>
      <c r="F313" s="509"/>
      <c r="G313" s="509"/>
      <c r="H313" s="509"/>
      <c r="I313" s="307"/>
      <c r="J313" s="378"/>
      <c r="K313" s="378"/>
      <c r="L313" s="378"/>
      <c r="M313" s="522"/>
      <c r="N313" s="534"/>
      <c r="O313" s="524"/>
      <c r="P313" s="57">
        <v>12.86</v>
      </c>
      <c r="Q313" s="436">
        <f t="shared" si="101"/>
        <v>5.144E-2</v>
      </c>
      <c r="R313" s="27">
        <f t="shared" si="104"/>
        <v>25.72</v>
      </c>
      <c r="S313" s="41">
        <v>0.5</v>
      </c>
      <c r="T313" s="437">
        <f t="shared" si="102"/>
        <v>3.2149999999999998E-2</v>
      </c>
      <c r="U313" s="28">
        <f t="shared" si="105"/>
        <v>16.074999999999999</v>
      </c>
      <c r="V313" s="48">
        <f t="shared" si="100"/>
        <v>1</v>
      </c>
      <c r="W313" s="438">
        <f t="shared" si="103"/>
        <v>3.4293333333333328E-2</v>
      </c>
      <c r="X313" s="71">
        <f t="shared" si="106"/>
        <v>17.146666666666665</v>
      </c>
      <c r="Y313" s="37">
        <v>0.24999999999999997</v>
      </c>
      <c r="Z313" s="247"/>
      <c r="AA313" s="247"/>
      <c r="AB313" s="248"/>
      <c r="AC313" s="248"/>
      <c r="AD313" s="248"/>
      <c r="AE313" s="304"/>
      <c r="AF313"/>
      <c r="AG313"/>
      <c r="AH313"/>
      <c r="AI313"/>
      <c r="AJ313"/>
    </row>
    <row r="314" spans="1:36" ht="15.75">
      <c r="A314" s="305" t="s">
        <v>1417</v>
      </c>
      <c r="B314" s="306" t="s">
        <v>1998</v>
      </c>
      <c r="C314" s="306" t="s">
        <v>1542</v>
      </c>
      <c r="D314" s="307">
        <v>500</v>
      </c>
      <c r="E314" s="307" t="s">
        <v>2</v>
      </c>
      <c r="F314" s="509"/>
      <c r="G314" s="509"/>
      <c r="H314" s="509"/>
      <c r="I314" s="307"/>
      <c r="J314" s="378"/>
      <c r="K314" s="378"/>
      <c r="L314" s="378"/>
      <c r="M314" s="522"/>
      <c r="N314" s="534"/>
      <c r="O314" s="524"/>
      <c r="P314" s="57">
        <v>13.2</v>
      </c>
      <c r="Q314" s="436">
        <f t="shared" si="101"/>
        <v>5.28E-2</v>
      </c>
      <c r="R314" s="27">
        <f t="shared" si="104"/>
        <v>26.4</v>
      </c>
      <c r="S314" s="41">
        <v>0.5</v>
      </c>
      <c r="T314" s="437">
        <f t="shared" si="102"/>
        <v>3.2999999999999995E-2</v>
      </c>
      <c r="U314" s="28">
        <f t="shared" si="105"/>
        <v>16.499999999999996</v>
      </c>
      <c r="V314" s="48">
        <f t="shared" si="100"/>
        <v>1</v>
      </c>
      <c r="W314" s="438">
        <f t="shared" si="103"/>
        <v>3.5199999999999995E-2</v>
      </c>
      <c r="X314" s="71">
        <f t="shared" si="106"/>
        <v>17.599999999999998</v>
      </c>
      <c r="Y314" s="37">
        <v>0.25</v>
      </c>
      <c r="Z314" s="247"/>
      <c r="AA314" s="247"/>
      <c r="AB314" s="248"/>
      <c r="AC314" s="248"/>
      <c r="AD314" s="248"/>
      <c r="AE314" s="304"/>
      <c r="AF314"/>
      <c r="AG314"/>
      <c r="AH314"/>
      <c r="AI314"/>
      <c r="AJ314"/>
    </row>
    <row r="315" spans="1:36" ht="15.75">
      <c r="A315" s="305" t="s">
        <v>1417</v>
      </c>
      <c r="B315" s="306" t="s">
        <v>1999</v>
      </c>
      <c r="C315" s="306" t="s">
        <v>1543</v>
      </c>
      <c r="D315" s="307">
        <v>500</v>
      </c>
      <c r="E315" s="307" t="s">
        <v>2</v>
      </c>
      <c r="F315" s="509"/>
      <c r="G315" s="509"/>
      <c r="H315" s="509"/>
      <c r="I315" s="307"/>
      <c r="J315" s="378"/>
      <c r="K315" s="378"/>
      <c r="L315" s="378"/>
      <c r="M315" s="522"/>
      <c r="N315" s="534"/>
      <c r="O315" s="524"/>
      <c r="P315" s="57">
        <v>13.2</v>
      </c>
      <c r="Q315" s="436">
        <f t="shared" si="101"/>
        <v>5.28E-2</v>
      </c>
      <c r="R315" s="27">
        <f t="shared" si="104"/>
        <v>26.4</v>
      </c>
      <c r="S315" s="41">
        <v>0.5</v>
      </c>
      <c r="T315" s="437">
        <f t="shared" si="102"/>
        <v>3.2999999999999995E-2</v>
      </c>
      <c r="U315" s="28">
        <f t="shared" si="105"/>
        <v>16.499999999999996</v>
      </c>
      <c r="V315" s="48">
        <f t="shared" si="100"/>
        <v>1</v>
      </c>
      <c r="W315" s="438">
        <f t="shared" si="103"/>
        <v>3.5199999999999995E-2</v>
      </c>
      <c r="X315" s="71">
        <f t="shared" si="106"/>
        <v>17.599999999999998</v>
      </c>
      <c r="Y315" s="37">
        <v>0.25</v>
      </c>
      <c r="Z315" s="247"/>
      <c r="AA315" s="247"/>
      <c r="AB315" s="248"/>
      <c r="AC315" s="248"/>
      <c r="AD315" s="248"/>
      <c r="AE315" s="304"/>
      <c r="AF315"/>
      <c r="AG315"/>
      <c r="AH315"/>
      <c r="AI315"/>
      <c r="AJ315"/>
    </row>
    <row r="316" spans="1:36" ht="15.75">
      <c r="A316" s="305" t="s">
        <v>1417</v>
      </c>
      <c r="B316" s="306" t="s">
        <v>2000</v>
      </c>
      <c r="C316" s="306" t="s">
        <v>1544</v>
      </c>
      <c r="D316" s="307">
        <v>250</v>
      </c>
      <c r="E316" s="307" t="s">
        <v>2</v>
      </c>
      <c r="F316" s="509"/>
      <c r="G316" s="509"/>
      <c r="H316" s="509"/>
      <c r="I316" s="307"/>
      <c r="J316" s="378"/>
      <c r="K316" s="378"/>
      <c r="L316" s="378"/>
      <c r="M316" s="522"/>
      <c r="N316" s="534"/>
      <c r="O316" s="524"/>
      <c r="P316" s="57">
        <v>17.5</v>
      </c>
      <c r="Q316" s="42">
        <v>0.14000000000000001</v>
      </c>
      <c r="R316" s="27">
        <v>35</v>
      </c>
      <c r="S316" s="41">
        <v>0.5</v>
      </c>
      <c r="T316" s="47">
        <f t="shared" si="99"/>
        <v>0</v>
      </c>
      <c r="U316" s="28">
        <f t="shared" ref="U316:U321" si="107">D316*T316</f>
        <v>0</v>
      </c>
      <c r="V316" s="48" t="e">
        <f t="shared" si="100"/>
        <v>#DIV/0!</v>
      </c>
      <c r="W316" s="71">
        <v>9.3333333333333324E-2</v>
      </c>
      <c r="X316" s="71">
        <v>23.333333333333332</v>
      </c>
      <c r="Y316" s="37">
        <v>0.24999999999999997</v>
      </c>
      <c r="Z316" s="247"/>
      <c r="AA316" s="247"/>
      <c r="AB316" s="248"/>
      <c r="AC316" s="248"/>
      <c r="AD316" s="248"/>
      <c r="AE316" s="304"/>
      <c r="AF316"/>
      <c r="AG316"/>
      <c r="AH316"/>
      <c r="AI316"/>
      <c r="AJ316"/>
    </row>
    <row r="317" spans="1:36" ht="15.75">
      <c r="A317" s="305" t="s">
        <v>1417</v>
      </c>
      <c r="B317" s="306" t="s">
        <v>2001</v>
      </c>
      <c r="C317" s="306" t="s">
        <v>1545</v>
      </c>
      <c r="D317" s="307">
        <v>250</v>
      </c>
      <c r="E317" s="307" t="s">
        <v>2</v>
      </c>
      <c r="F317" s="509"/>
      <c r="G317" s="509"/>
      <c r="H317" s="509"/>
      <c r="I317" s="307"/>
      <c r="J317" s="378"/>
      <c r="K317" s="378"/>
      <c r="L317" s="378"/>
      <c r="M317" s="522"/>
      <c r="N317" s="534"/>
      <c r="O317" s="524"/>
      <c r="P317" s="57">
        <v>17.5</v>
      </c>
      <c r="Q317" s="42">
        <v>0.14000000000000001</v>
      </c>
      <c r="R317" s="27">
        <v>35</v>
      </c>
      <c r="S317" s="41">
        <v>0.5</v>
      </c>
      <c r="T317" s="47">
        <f t="shared" si="99"/>
        <v>0</v>
      </c>
      <c r="U317" s="28">
        <f t="shared" si="107"/>
        <v>0</v>
      </c>
      <c r="V317" s="48" t="e">
        <f t="shared" si="100"/>
        <v>#DIV/0!</v>
      </c>
      <c r="W317" s="71">
        <v>9.3333333333333324E-2</v>
      </c>
      <c r="X317" s="71">
        <v>23.333333333333332</v>
      </c>
      <c r="Y317" s="37">
        <v>0.24999999999999997</v>
      </c>
      <c r="Z317" s="247"/>
      <c r="AA317" s="247"/>
      <c r="AB317" s="248"/>
      <c r="AC317" s="248"/>
      <c r="AD317" s="248"/>
      <c r="AE317" s="304"/>
      <c r="AF317"/>
      <c r="AG317"/>
      <c r="AH317"/>
      <c r="AI317"/>
      <c r="AJ317"/>
    </row>
    <row r="318" spans="1:36" ht="15.75">
      <c r="A318" s="305" t="s">
        <v>1417</v>
      </c>
      <c r="B318" s="306" t="s">
        <v>2002</v>
      </c>
      <c r="C318" s="306" t="s">
        <v>1546</v>
      </c>
      <c r="D318" s="307">
        <v>250</v>
      </c>
      <c r="E318" s="307" t="s">
        <v>2</v>
      </c>
      <c r="F318" s="509"/>
      <c r="G318" s="509"/>
      <c r="H318" s="509"/>
      <c r="I318" s="307"/>
      <c r="J318" s="378"/>
      <c r="K318" s="378"/>
      <c r="L318" s="378"/>
      <c r="M318" s="522"/>
      <c r="N318" s="534"/>
      <c r="O318" s="524"/>
      <c r="P318" s="57">
        <v>17.5</v>
      </c>
      <c r="Q318" s="42">
        <v>0.14000000000000001</v>
      </c>
      <c r="R318" s="27">
        <v>35</v>
      </c>
      <c r="S318" s="41">
        <v>0.5</v>
      </c>
      <c r="T318" s="47">
        <f t="shared" si="99"/>
        <v>0</v>
      </c>
      <c r="U318" s="28">
        <f t="shared" si="107"/>
        <v>0</v>
      </c>
      <c r="V318" s="48" t="e">
        <f t="shared" si="100"/>
        <v>#DIV/0!</v>
      </c>
      <c r="W318" s="71">
        <v>9.3333333333333324E-2</v>
      </c>
      <c r="X318" s="71">
        <v>23.333333333333332</v>
      </c>
      <c r="Y318" s="37">
        <v>0.24999999999999997</v>
      </c>
      <c r="Z318" s="247"/>
      <c r="AA318" s="247"/>
      <c r="AB318" s="248"/>
      <c r="AC318" s="248"/>
      <c r="AD318" s="248"/>
      <c r="AE318" s="304"/>
      <c r="AF318"/>
      <c r="AG318"/>
      <c r="AH318"/>
      <c r="AI318"/>
      <c r="AJ318"/>
    </row>
    <row r="319" spans="1:36" ht="15.75">
      <c r="A319" s="305" t="s">
        <v>1417</v>
      </c>
      <c r="B319" s="306" t="s">
        <v>2003</v>
      </c>
      <c r="C319" s="306" t="s">
        <v>1547</v>
      </c>
      <c r="D319" s="307">
        <v>250</v>
      </c>
      <c r="E319" s="307" t="s">
        <v>2</v>
      </c>
      <c r="F319" s="509"/>
      <c r="G319" s="509"/>
      <c r="H319" s="509"/>
      <c r="I319" s="307"/>
      <c r="J319" s="378"/>
      <c r="K319" s="378"/>
      <c r="L319" s="378"/>
      <c r="M319" s="522"/>
      <c r="N319" s="534"/>
      <c r="O319" s="524"/>
      <c r="P319" s="57">
        <v>17.5</v>
      </c>
      <c r="Q319" s="42">
        <v>0.14000000000000001</v>
      </c>
      <c r="R319" s="27">
        <v>35</v>
      </c>
      <c r="S319" s="41">
        <v>0.5</v>
      </c>
      <c r="T319" s="47">
        <f t="shared" si="99"/>
        <v>0</v>
      </c>
      <c r="U319" s="28">
        <f t="shared" si="107"/>
        <v>0</v>
      </c>
      <c r="V319" s="48" t="e">
        <f t="shared" si="100"/>
        <v>#DIV/0!</v>
      </c>
      <c r="W319" s="71">
        <v>9.3333333333333324E-2</v>
      </c>
      <c r="X319" s="71">
        <v>23.333333333333332</v>
      </c>
      <c r="Y319" s="37">
        <v>0.24999999999999997</v>
      </c>
      <c r="Z319" s="247"/>
      <c r="AA319" s="247"/>
      <c r="AB319" s="248"/>
      <c r="AC319" s="248"/>
      <c r="AD319" s="248"/>
      <c r="AE319" s="304"/>
      <c r="AF319"/>
      <c r="AG319"/>
      <c r="AH319"/>
      <c r="AI319"/>
      <c r="AJ319"/>
    </row>
    <row r="320" spans="1:36" ht="15.75">
      <c r="A320" s="305" t="s">
        <v>1417</v>
      </c>
      <c r="B320" s="306" t="s">
        <v>2004</v>
      </c>
      <c r="C320" s="306" t="s">
        <v>1548</v>
      </c>
      <c r="D320" s="307">
        <v>250</v>
      </c>
      <c r="E320" s="307" t="s">
        <v>2</v>
      </c>
      <c r="F320" s="509"/>
      <c r="G320" s="509"/>
      <c r="H320" s="509"/>
      <c r="I320" s="307"/>
      <c r="J320" s="378"/>
      <c r="K320" s="378"/>
      <c r="L320" s="378"/>
      <c r="M320" s="522"/>
      <c r="N320" s="534"/>
      <c r="O320" s="524"/>
      <c r="P320" s="57">
        <v>17.5</v>
      </c>
      <c r="Q320" s="42">
        <v>0.14000000000000001</v>
      </c>
      <c r="R320" s="27">
        <v>35</v>
      </c>
      <c r="S320" s="41">
        <v>0.5</v>
      </c>
      <c r="T320" s="47">
        <f t="shared" si="99"/>
        <v>0</v>
      </c>
      <c r="U320" s="28">
        <f t="shared" si="107"/>
        <v>0</v>
      </c>
      <c r="V320" s="48" t="e">
        <f t="shared" si="100"/>
        <v>#DIV/0!</v>
      </c>
      <c r="W320" s="71">
        <v>9.3333333333333324E-2</v>
      </c>
      <c r="X320" s="71">
        <v>23.333333333333332</v>
      </c>
      <c r="Y320" s="37">
        <v>0.24999999999999997</v>
      </c>
      <c r="Z320" s="247"/>
      <c r="AA320" s="247"/>
      <c r="AB320" s="248"/>
      <c r="AC320" s="248"/>
      <c r="AD320" s="248"/>
      <c r="AE320" s="304"/>
      <c r="AF320"/>
      <c r="AG320"/>
      <c r="AH320"/>
      <c r="AI320"/>
      <c r="AJ320"/>
    </row>
    <row r="321" spans="1:39" ht="15.75">
      <c r="A321" s="305" t="s">
        <v>1417</v>
      </c>
      <c r="B321" s="306" t="s">
        <v>2005</v>
      </c>
      <c r="C321" s="306" t="s">
        <v>1549</v>
      </c>
      <c r="D321" s="307">
        <v>250</v>
      </c>
      <c r="E321" s="307" t="s">
        <v>2</v>
      </c>
      <c r="F321" s="509"/>
      <c r="G321" s="509"/>
      <c r="H321" s="509"/>
      <c r="I321" s="307"/>
      <c r="J321" s="378"/>
      <c r="K321" s="378"/>
      <c r="L321" s="378"/>
      <c r="M321" s="522"/>
      <c r="N321" s="534"/>
      <c r="O321" s="524"/>
      <c r="P321" s="57">
        <v>17.5</v>
      </c>
      <c r="Q321" s="42">
        <v>0.14000000000000001</v>
      </c>
      <c r="R321" s="27">
        <v>35</v>
      </c>
      <c r="S321" s="41">
        <v>0.5</v>
      </c>
      <c r="T321" s="47">
        <f t="shared" si="99"/>
        <v>0</v>
      </c>
      <c r="U321" s="28">
        <f t="shared" si="107"/>
        <v>0</v>
      </c>
      <c r="V321" s="48" t="e">
        <f t="shared" si="100"/>
        <v>#DIV/0!</v>
      </c>
      <c r="W321" s="71">
        <v>9.3333333333333324E-2</v>
      </c>
      <c r="X321" s="71">
        <v>23.333333333333332</v>
      </c>
      <c r="Y321" s="37">
        <v>0.24999999999999997</v>
      </c>
      <c r="Z321" s="247"/>
      <c r="AA321" s="247"/>
      <c r="AB321" s="248"/>
      <c r="AC321" s="248"/>
      <c r="AD321" s="248"/>
      <c r="AE321" s="304"/>
      <c r="AF321"/>
      <c r="AG321"/>
      <c r="AH321"/>
      <c r="AI321"/>
      <c r="AJ321"/>
    </row>
    <row r="322" spans="1:39" ht="15.75">
      <c r="A322" s="305" t="s">
        <v>1417</v>
      </c>
      <c r="B322" s="306" t="s">
        <v>2006</v>
      </c>
      <c r="C322" s="306" t="s">
        <v>1550</v>
      </c>
      <c r="D322" s="307">
        <v>250</v>
      </c>
      <c r="E322" s="307" t="s">
        <v>2</v>
      </c>
      <c r="F322" s="509"/>
      <c r="G322" s="509"/>
      <c r="H322" s="509"/>
      <c r="I322" s="307"/>
      <c r="J322" s="378"/>
      <c r="K322" s="378"/>
      <c r="L322" s="378"/>
      <c r="M322" s="522"/>
      <c r="N322" s="534"/>
      <c r="O322" s="524"/>
      <c r="P322" s="57">
        <f>O322*D322</f>
        <v>0</v>
      </c>
      <c r="Q322" s="42">
        <f>O322/S322</f>
        <v>0</v>
      </c>
      <c r="R322" s="27">
        <f>Q322*D322</f>
        <v>0</v>
      </c>
      <c r="S322" s="41">
        <v>0.5</v>
      </c>
      <c r="T322" s="47"/>
      <c r="U322" s="28"/>
      <c r="V322" s="48"/>
      <c r="W322" s="71">
        <f>O322/(1-Y322)</f>
        <v>0</v>
      </c>
      <c r="X322" s="71">
        <f>W322*D322</f>
        <v>0</v>
      </c>
      <c r="Y322" s="37">
        <v>0.25</v>
      </c>
      <c r="Z322" s="247"/>
      <c r="AA322" s="247"/>
      <c r="AB322" s="248"/>
      <c r="AC322" s="248"/>
      <c r="AD322" s="248"/>
      <c r="AE322" s="304"/>
      <c r="AF322"/>
      <c r="AG322"/>
      <c r="AH322"/>
      <c r="AI322"/>
      <c r="AJ322"/>
    </row>
    <row r="323" spans="1:39" ht="15.75">
      <c r="A323" s="305" t="s">
        <v>1417</v>
      </c>
      <c r="B323" s="306" t="s">
        <v>2007</v>
      </c>
      <c r="C323" s="306" t="s">
        <v>1551</v>
      </c>
      <c r="D323" s="307">
        <v>250</v>
      </c>
      <c r="E323" s="307" t="s">
        <v>2</v>
      </c>
      <c r="F323" s="509"/>
      <c r="G323" s="509"/>
      <c r="H323" s="509"/>
      <c r="I323" s="307"/>
      <c r="J323" s="378"/>
      <c r="K323" s="378"/>
      <c r="L323" s="378"/>
      <c r="M323" s="522"/>
      <c r="N323" s="534"/>
      <c r="O323" s="524"/>
      <c r="P323" s="57">
        <f>O323*D323</f>
        <v>0</v>
      </c>
      <c r="Q323" s="42">
        <f t="shared" ref="Q323:Q324" si="108">O323/S323</f>
        <v>0</v>
      </c>
      <c r="R323" s="27">
        <f>Q323*D323</f>
        <v>0</v>
      </c>
      <c r="S323" s="41">
        <v>0.5</v>
      </c>
      <c r="T323" s="47"/>
      <c r="U323" s="28"/>
      <c r="V323" s="48"/>
      <c r="W323" s="71">
        <f t="shared" ref="W323:W324" si="109">O323/(1-Y323)</f>
        <v>0</v>
      </c>
      <c r="X323" s="71">
        <f>W323*D323</f>
        <v>0</v>
      </c>
      <c r="Y323" s="37">
        <v>0.25</v>
      </c>
      <c r="Z323" s="247"/>
      <c r="AA323" s="247"/>
      <c r="AB323" s="248"/>
      <c r="AC323" s="248"/>
      <c r="AD323" s="248"/>
      <c r="AE323" s="304"/>
      <c r="AF323"/>
      <c r="AG323"/>
      <c r="AH323"/>
      <c r="AI323"/>
      <c r="AJ323"/>
    </row>
    <row r="324" spans="1:39" ht="15.75">
      <c r="A324" s="305" t="s">
        <v>1417</v>
      </c>
      <c r="B324" s="306" t="s">
        <v>2008</v>
      </c>
      <c r="C324" s="306" t="s">
        <v>1552</v>
      </c>
      <c r="D324" s="307">
        <v>250</v>
      </c>
      <c r="E324" s="307" t="s">
        <v>2</v>
      </c>
      <c r="F324" s="509"/>
      <c r="G324" s="509"/>
      <c r="H324" s="509"/>
      <c r="I324" s="307"/>
      <c r="J324" s="378"/>
      <c r="K324" s="378"/>
      <c r="L324" s="378"/>
      <c r="M324" s="522"/>
      <c r="N324" s="534"/>
      <c r="O324" s="524"/>
      <c r="P324" s="57">
        <f>O324*D324</f>
        <v>0</v>
      </c>
      <c r="Q324" s="42">
        <f t="shared" si="108"/>
        <v>0</v>
      </c>
      <c r="R324" s="27">
        <f>Q324*D324</f>
        <v>0</v>
      </c>
      <c r="S324" s="41">
        <v>0.5</v>
      </c>
      <c r="T324" s="47"/>
      <c r="U324" s="28"/>
      <c r="V324" s="48"/>
      <c r="W324" s="71">
        <f t="shared" si="109"/>
        <v>0</v>
      </c>
      <c r="X324" s="71">
        <f>W324*D324</f>
        <v>0</v>
      </c>
      <c r="Y324" s="37">
        <v>0.25</v>
      </c>
      <c r="Z324" s="247"/>
      <c r="AA324" s="247"/>
      <c r="AB324" s="248"/>
      <c r="AC324" s="248"/>
      <c r="AD324" s="248"/>
      <c r="AE324" s="304"/>
      <c r="AF324"/>
      <c r="AG324"/>
      <c r="AH324"/>
      <c r="AI324"/>
      <c r="AJ324"/>
    </row>
    <row r="325" spans="1:39" ht="15.75">
      <c r="A325" s="305" t="s">
        <v>1417</v>
      </c>
      <c r="B325" s="306" t="s">
        <v>2009</v>
      </c>
      <c r="C325" s="306" t="s">
        <v>1553</v>
      </c>
      <c r="D325" s="307">
        <v>250</v>
      </c>
      <c r="E325" s="307" t="s">
        <v>2</v>
      </c>
      <c r="F325" s="509"/>
      <c r="G325" s="509"/>
      <c r="H325" s="509"/>
      <c r="I325" s="307"/>
      <c r="J325" s="378"/>
      <c r="K325" s="378"/>
      <c r="L325" s="378"/>
      <c r="M325" s="522"/>
      <c r="N325" s="534"/>
      <c r="O325" s="524"/>
      <c r="P325" s="57">
        <v>7.25</v>
      </c>
      <c r="Q325" s="42">
        <v>5.8000000000000003E-2</v>
      </c>
      <c r="R325" s="27">
        <v>14.5</v>
      </c>
      <c r="S325" s="41">
        <v>0.5</v>
      </c>
      <c r="T325" s="47">
        <f t="shared" si="99"/>
        <v>0</v>
      </c>
      <c r="U325" s="28">
        <f>D325*T325</f>
        <v>0</v>
      </c>
      <c r="V325" s="48" t="e">
        <f t="shared" si="100"/>
        <v>#DIV/0!</v>
      </c>
      <c r="W325" s="71">
        <v>3.8666666666666662E-2</v>
      </c>
      <c r="X325" s="71">
        <v>9.6666666666666661</v>
      </c>
      <c r="Y325" s="37">
        <v>0.24999999999999994</v>
      </c>
      <c r="Z325" s="247"/>
      <c r="AA325" s="247"/>
      <c r="AB325" s="248"/>
      <c r="AC325" s="248"/>
      <c r="AD325" s="248"/>
      <c r="AE325" s="304"/>
      <c r="AF325"/>
      <c r="AG325"/>
      <c r="AH325"/>
      <c r="AI325"/>
      <c r="AJ325"/>
    </row>
    <row r="326" spans="1:39" ht="15.75">
      <c r="A326" s="305" t="s">
        <v>1417</v>
      </c>
      <c r="B326" s="306" t="s">
        <v>2010</v>
      </c>
      <c r="C326" s="306" t="s">
        <v>1625</v>
      </c>
      <c r="D326" s="307">
        <v>250</v>
      </c>
      <c r="E326" s="307" t="s">
        <v>2</v>
      </c>
      <c r="F326" s="509"/>
      <c r="G326" s="509"/>
      <c r="H326" s="509"/>
      <c r="I326" s="307"/>
      <c r="J326" s="378"/>
      <c r="K326" s="378"/>
      <c r="L326" s="378"/>
      <c r="M326" s="522"/>
      <c r="N326" s="534"/>
      <c r="O326" s="524"/>
      <c r="P326" s="57">
        <v>14.1</v>
      </c>
      <c r="Q326" s="42">
        <f>+R326/D326</f>
        <v>0.1128</v>
      </c>
      <c r="R326" s="27">
        <f>+P326/(1-S326)</f>
        <v>28.2</v>
      </c>
      <c r="S326" s="41">
        <v>0.5</v>
      </c>
      <c r="T326" s="47">
        <f>+U326/D326</f>
        <v>7.0499999999999993E-2</v>
      </c>
      <c r="U326" s="28">
        <f>+P326/(1-V326)</f>
        <v>17.625</v>
      </c>
      <c r="V326" s="48">
        <v>0.2</v>
      </c>
      <c r="W326" s="71">
        <f>+X326/D326</f>
        <v>7.5200000000000003E-2</v>
      </c>
      <c r="X326" s="71">
        <f>+P326/(1-Y326)</f>
        <v>18.8</v>
      </c>
      <c r="Y326" s="37">
        <v>0.25</v>
      </c>
      <c r="Z326" s="247"/>
      <c r="AA326" s="247"/>
      <c r="AB326" s="248"/>
      <c r="AC326" s="248"/>
      <c r="AD326" s="248"/>
      <c r="AE326" s="304"/>
      <c r="AF326"/>
      <c r="AG326"/>
      <c r="AH326"/>
      <c r="AI326"/>
      <c r="AJ326"/>
    </row>
    <row r="327" spans="1:39" ht="15.75">
      <c r="A327" s="305" t="s">
        <v>1417</v>
      </c>
      <c r="B327" s="306" t="s">
        <v>2011</v>
      </c>
      <c r="C327" s="306" t="s">
        <v>1626</v>
      </c>
      <c r="D327" s="307">
        <v>250</v>
      </c>
      <c r="E327" s="307" t="s">
        <v>2</v>
      </c>
      <c r="F327" s="509"/>
      <c r="G327" s="509"/>
      <c r="H327" s="509"/>
      <c r="I327" s="307"/>
      <c r="J327" s="378"/>
      <c r="K327" s="378"/>
      <c r="L327" s="378"/>
      <c r="M327" s="522"/>
      <c r="N327" s="534"/>
      <c r="O327" s="524"/>
      <c r="P327" s="57">
        <v>27</v>
      </c>
      <c r="Q327" s="42">
        <f>+R327/D327</f>
        <v>0.216</v>
      </c>
      <c r="R327" s="27">
        <f>+P327/(1-S327)</f>
        <v>54</v>
      </c>
      <c r="S327" s="41">
        <v>0.5</v>
      </c>
      <c r="T327" s="47">
        <f>+U327/D327</f>
        <v>0.13500000000000001</v>
      </c>
      <c r="U327" s="28">
        <f>+P327/(1-V327)</f>
        <v>33.75</v>
      </c>
      <c r="V327" s="48">
        <v>0.1999999999999999</v>
      </c>
      <c r="W327" s="71">
        <f>+X327/D327</f>
        <v>0.14399999999999999</v>
      </c>
      <c r="X327" s="71">
        <f>+P327/(1-Y327)</f>
        <v>36</v>
      </c>
      <c r="Y327" s="37">
        <v>0.25</v>
      </c>
      <c r="Z327" s="247"/>
      <c r="AA327" s="247"/>
      <c r="AB327" s="248"/>
      <c r="AC327" s="248"/>
      <c r="AD327" s="248"/>
      <c r="AE327" s="304"/>
      <c r="AF327"/>
      <c r="AG327"/>
      <c r="AH327"/>
      <c r="AI327"/>
      <c r="AJ327"/>
    </row>
    <row r="328" spans="1:39" ht="15.75">
      <c r="A328" s="305" t="s">
        <v>1417</v>
      </c>
      <c r="B328" s="306" t="s">
        <v>2012</v>
      </c>
      <c r="C328" s="306" t="s">
        <v>1554</v>
      </c>
      <c r="D328" s="307">
        <v>1000</v>
      </c>
      <c r="E328" s="307" t="s">
        <v>2</v>
      </c>
      <c r="F328" s="508">
        <v>25</v>
      </c>
      <c r="G328" s="508">
        <v>27</v>
      </c>
      <c r="H328" s="508">
        <v>27</v>
      </c>
      <c r="I328" s="307"/>
      <c r="J328" s="378"/>
      <c r="K328" s="378"/>
      <c r="L328" s="378"/>
      <c r="M328" s="522"/>
      <c r="N328" s="534"/>
      <c r="O328" s="524"/>
      <c r="P328" s="57">
        <v>19</v>
      </c>
      <c r="Q328" s="42">
        <v>3.7999999999999999E-2</v>
      </c>
      <c r="R328" s="27">
        <v>38</v>
      </c>
      <c r="S328" s="41">
        <v>0.5</v>
      </c>
      <c r="T328" s="47">
        <f t="shared" si="99"/>
        <v>0</v>
      </c>
      <c r="U328" s="28">
        <f>D328*T328</f>
        <v>0</v>
      </c>
      <c r="V328" s="48" t="e">
        <f t="shared" si="100"/>
        <v>#DIV/0!</v>
      </c>
      <c r="W328" s="71">
        <v>2.5333333333333333E-2</v>
      </c>
      <c r="X328" s="71">
        <v>25.333333333333332</v>
      </c>
      <c r="Y328" s="37">
        <v>0.24999999999999997</v>
      </c>
      <c r="Z328" s="247"/>
      <c r="AA328" s="247"/>
      <c r="AB328" s="248"/>
      <c r="AC328" s="248"/>
      <c r="AD328" s="248"/>
      <c r="AE328" s="304"/>
      <c r="AF328"/>
      <c r="AG328"/>
      <c r="AH328"/>
      <c r="AI328"/>
      <c r="AJ328"/>
    </row>
    <row r="329" spans="1:39" ht="15.75">
      <c r="A329" s="305" t="s">
        <v>1417</v>
      </c>
      <c r="B329" s="306" t="s">
        <v>2013</v>
      </c>
      <c r="C329" s="306" t="s">
        <v>1555</v>
      </c>
      <c r="D329" s="307">
        <v>1000</v>
      </c>
      <c r="E329" s="307" t="s">
        <v>2</v>
      </c>
      <c r="F329" s="508">
        <v>25</v>
      </c>
      <c r="G329" s="508">
        <v>27</v>
      </c>
      <c r="H329" s="508">
        <v>27</v>
      </c>
      <c r="I329" s="307"/>
      <c r="J329" s="378"/>
      <c r="K329" s="378"/>
      <c r="L329" s="378"/>
      <c r="M329" s="522"/>
      <c r="N329" s="534"/>
      <c r="O329" s="524"/>
      <c r="P329" s="57">
        <v>19</v>
      </c>
      <c r="Q329" s="42">
        <v>3.7999999999999999E-2</v>
      </c>
      <c r="R329" s="27">
        <v>38</v>
      </c>
      <c r="S329" s="41">
        <v>0.5</v>
      </c>
      <c r="T329" s="47">
        <f t="shared" si="99"/>
        <v>0</v>
      </c>
      <c r="U329" s="28">
        <f>D329*T329</f>
        <v>0</v>
      </c>
      <c r="V329" s="48" t="e">
        <f t="shared" si="100"/>
        <v>#DIV/0!</v>
      </c>
      <c r="W329" s="71">
        <v>2.5333333333333333E-2</v>
      </c>
      <c r="X329" s="71">
        <v>25.333333333333332</v>
      </c>
      <c r="Y329" s="37">
        <v>0.24999999999999997</v>
      </c>
      <c r="Z329" s="247"/>
      <c r="AA329" s="247"/>
      <c r="AB329" s="248"/>
      <c r="AC329" s="248"/>
      <c r="AD329" s="248"/>
      <c r="AE329" s="304"/>
      <c r="AF329"/>
      <c r="AG329"/>
      <c r="AH329"/>
      <c r="AI329"/>
      <c r="AJ329"/>
    </row>
    <row r="330" spans="1:39" ht="15.75">
      <c r="A330" s="305" t="s">
        <v>1417</v>
      </c>
      <c r="B330" s="308" t="s">
        <v>2014</v>
      </c>
      <c r="C330" s="308" t="s">
        <v>1556</v>
      </c>
      <c r="D330" s="309">
        <v>100</v>
      </c>
      <c r="E330" s="309" t="s">
        <v>2</v>
      </c>
      <c r="F330" s="508">
        <v>25</v>
      </c>
      <c r="G330" s="508">
        <v>27</v>
      </c>
      <c r="H330" s="508">
        <v>27</v>
      </c>
      <c r="I330" s="309">
        <v>40</v>
      </c>
      <c r="J330" s="378"/>
      <c r="K330" s="378"/>
      <c r="L330" s="378"/>
      <c r="M330" s="522"/>
      <c r="N330" s="534"/>
      <c r="O330" s="524"/>
      <c r="P330" s="57">
        <v>37</v>
      </c>
      <c r="Q330" s="42">
        <v>0.74</v>
      </c>
      <c r="R330" s="27">
        <v>74</v>
      </c>
      <c r="S330" s="41">
        <v>0.5</v>
      </c>
      <c r="T330" s="47">
        <f t="shared" si="99"/>
        <v>0</v>
      </c>
      <c r="U330" s="28">
        <f>D330*T330</f>
        <v>0</v>
      </c>
      <c r="V330" s="48" t="e">
        <f t="shared" si="100"/>
        <v>#DIV/0!</v>
      </c>
      <c r="W330" s="71">
        <f>O330/(1-Y330)</f>
        <v>0</v>
      </c>
      <c r="X330" s="71">
        <f>D330*W330</f>
        <v>0</v>
      </c>
      <c r="Y330" s="37">
        <v>0.35</v>
      </c>
      <c r="Z330" s="239"/>
      <c r="AA330" s="239"/>
      <c r="AB330" s="240"/>
      <c r="AC330" s="240"/>
      <c r="AD330" s="240"/>
      <c r="AE330" s="241">
        <v>0.95833333333333326</v>
      </c>
      <c r="AF330" s="241">
        <f>D330*AE330</f>
        <v>95.833333333333329</v>
      </c>
      <c r="AG330" s="236">
        <f>(AE330-O330)/AE330</f>
        <v>1</v>
      </c>
      <c r="AH330" s="242"/>
      <c r="AI330" s="242"/>
      <c r="AJ330" s="242"/>
      <c r="AK330" s="242"/>
      <c r="AL330" s="242"/>
      <c r="AM330" s="242"/>
    </row>
    <row r="331" spans="1:39" ht="15.75">
      <c r="A331" s="305" t="s">
        <v>1417</v>
      </c>
      <c r="B331" s="308" t="s">
        <v>2015</v>
      </c>
      <c r="C331" s="308" t="s">
        <v>1557</v>
      </c>
      <c r="D331" s="309">
        <v>50</v>
      </c>
      <c r="E331" s="309" t="s">
        <v>2</v>
      </c>
      <c r="F331" s="508">
        <v>25</v>
      </c>
      <c r="G331" s="508">
        <v>27</v>
      </c>
      <c r="H331" s="508">
        <v>27</v>
      </c>
      <c r="I331" s="309">
        <v>40</v>
      </c>
      <c r="J331" s="378"/>
      <c r="K331" s="378"/>
      <c r="L331" s="378"/>
      <c r="M331" s="522"/>
      <c r="N331" s="534"/>
      <c r="O331" s="524"/>
      <c r="P331" s="57">
        <v>21.5</v>
      </c>
      <c r="Q331" s="42">
        <v>0.86</v>
      </c>
      <c r="R331" s="27">
        <v>43</v>
      </c>
      <c r="S331" s="41">
        <v>0.5</v>
      </c>
      <c r="T331" s="47">
        <f t="shared" si="99"/>
        <v>0</v>
      </c>
      <c r="U331" s="28">
        <f>D331*T331</f>
        <v>0</v>
      </c>
      <c r="V331" s="48" t="e">
        <f t="shared" si="100"/>
        <v>#DIV/0!</v>
      </c>
      <c r="W331" s="71">
        <f>O331/(1-Y331)</f>
        <v>0</v>
      </c>
      <c r="X331" s="71">
        <f>D331*W331</f>
        <v>0</v>
      </c>
      <c r="Y331" s="37">
        <v>0.35</v>
      </c>
      <c r="Z331" s="239"/>
      <c r="AA331" s="239"/>
      <c r="AB331" s="240"/>
      <c r="AC331" s="240"/>
      <c r="AD331" s="240"/>
      <c r="AE331" s="241">
        <v>0.95833333333333326</v>
      </c>
      <c r="AF331" s="241">
        <f>D331*AE331</f>
        <v>47.916666666666664</v>
      </c>
      <c r="AG331" s="236">
        <f>(AE331-O331)/AE331</f>
        <v>1</v>
      </c>
      <c r="AH331" s="242"/>
      <c r="AI331" s="242"/>
      <c r="AJ331" s="242"/>
      <c r="AK331" s="242"/>
      <c r="AL331" s="242"/>
      <c r="AM331" s="242"/>
    </row>
    <row r="332" spans="1:39" ht="15.75">
      <c r="A332" s="305" t="s">
        <v>1417</v>
      </c>
      <c r="B332" s="308" t="s">
        <v>2016</v>
      </c>
      <c r="C332" s="308" t="s">
        <v>1558</v>
      </c>
      <c r="D332" s="309">
        <v>100</v>
      </c>
      <c r="E332" s="309" t="s">
        <v>2</v>
      </c>
      <c r="F332" s="508">
        <v>25</v>
      </c>
      <c r="G332" s="508">
        <v>27</v>
      </c>
      <c r="H332" s="508">
        <v>27</v>
      </c>
      <c r="I332" s="309">
        <v>40</v>
      </c>
      <c r="J332" s="378"/>
      <c r="K332" s="378"/>
      <c r="L332" s="378"/>
      <c r="M332" s="522"/>
      <c r="N332" s="534"/>
      <c r="O332" s="524"/>
      <c r="P332" s="57">
        <v>36</v>
      </c>
      <c r="Q332" s="42">
        <v>0.72</v>
      </c>
      <c r="R332" s="27">
        <v>72</v>
      </c>
      <c r="S332" s="41">
        <v>0.5</v>
      </c>
      <c r="T332" s="47">
        <f t="shared" si="99"/>
        <v>0</v>
      </c>
      <c r="U332" s="28">
        <f>D332*T332</f>
        <v>0</v>
      </c>
      <c r="V332" s="48" t="e">
        <f t="shared" si="100"/>
        <v>#DIV/0!</v>
      </c>
      <c r="W332" s="71">
        <v>0.48</v>
      </c>
      <c r="X332" s="71">
        <v>48</v>
      </c>
      <c r="Y332" s="37">
        <v>0.25</v>
      </c>
      <c r="Z332" s="239"/>
      <c r="AA332" s="239"/>
      <c r="AB332" s="240"/>
      <c r="AC332" s="240"/>
      <c r="AD332" s="240"/>
      <c r="AE332" s="241">
        <v>0.95833333333333326</v>
      </c>
      <c r="AF332" s="241">
        <f>D332*AE332</f>
        <v>95.833333333333329</v>
      </c>
      <c r="AG332" s="236">
        <f>(AE332-O332)/AE332</f>
        <v>1</v>
      </c>
      <c r="AH332" s="242"/>
      <c r="AI332" s="242"/>
      <c r="AJ332" s="242"/>
      <c r="AK332" s="242"/>
      <c r="AL332" s="242"/>
      <c r="AM332" s="242"/>
    </row>
    <row r="333" spans="1:39" ht="15.75">
      <c r="A333" s="305" t="s">
        <v>1417</v>
      </c>
      <c r="B333" s="308" t="s">
        <v>2149</v>
      </c>
      <c r="C333" s="308" t="s">
        <v>2153</v>
      </c>
      <c r="D333" s="309">
        <v>200</v>
      </c>
      <c r="E333" s="309" t="s">
        <v>2</v>
      </c>
      <c r="F333" s="508">
        <v>25</v>
      </c>
      <c r="G333" s="508">
        <v>27</v>
      </c>
      <c r="H333" s="508">
        <v>27</v>
      </c>
      <c r="I333" s="309"/>
      <c r="J333" s="378"/>
      <c r="K333" s="378"/>
      <c r="L333" s="378"/>
      <c r="M333" s="522"/>
      <c r="N333" s="534"/>
      <c r="O333" s="524"/>
      <c r="P333" s="57"/>
      <c r="Q333" s="42">
        <v>0.3</v>
      </c>
      <c r="R333" s="27">
        <v>60</v>
      </c>
      <c r="S333" s="41"/>
      <c r="T333" s="47"/>
      <c r="U333" s="28"/>
      <c r="V333" s="48"/>
      <c r="W333" s="71"/>
      <c r="X333" s="71"/>
      <c r="Y333" s="37"/>
      <c r="Z333" s="239"/>
      <c r="AA333" s="239"/>
      <c r="AB333" s="240"/>
      <c r="AC333" s="240"/>
      <c r="AD333" s="240"/>
      <c r="AE333" s="241"/>
      <c r="AF333" s="241"/>
      <c r="AG333" s="236"/>
      <c r="AH333" s="242"/>
      <c r="AI333" s="242"/>
      <c r="AJ333" s="242"/>
      <c r="AK333" s="242"/>
      <c r="AL333" s="242"/>
      <c r="AM333" s="242"/>
    </row>
    <row r="334" spans="1:39" ht="15.75">
      <c r="A334" s="305" t="s">
        <v>1417</v>
      </c>
      <c r="B334" s="308" t="s">
        <v>2150</v>
      </c>
      <c r="C334" s="308" t="s">
        <v>2154</v>
      </c>
      <c r="D334" s="309">
        <v>200</v>
      </c>
      <c r="E334" s="309" t="s">
        <v>2</v>
      </c>
      <c r="F334" s="508">
        <v>25</v>
      </c>
      <c r="G334" s="508">
        <v>27</v>
      </c>
      <c r="H334" s="508">
        <v>27</v>
      </c>
      <c r="I334" s="309"/>
      <c r="J334" s="378"/>
      <c r="K334" s="378"/>
      <c r="L334" s="378"/>
      <c r="M334" s="522"/>
      <c r="N334" s="534"/>
      <c r="O334" s="524"/>
      <c r="P334" s="57"/>
      <c r="Q334" s="42">
        <v>0.3</v>
      </c>
      <c r="R334" s="27">
        <v>60</v>
      </c>
      <c r="S334" s="41"/>
      <c r="T334" s="47"/>
      <c r="U334" s="28"/>
      <c r="V334" s="48"/>
      <c r="W334" s="71"/>
      <c r="X334" s="71"/>
      <c r="Y334" s="37"/>
      <c r="Z334" s="239"/>
      <c r="AA334" s="239"/>
      <c r="AB334" s="240"/>
      <c r="AC334" s="240"/>
      <c r="AD334" s="240"/>
      <c r="AE334" s="241"/>
      <c r="AF334" s="241"/>
      <c r="AG334" s="236"/>
      <c r="AH334" s="242"/>
      <c r="AI334" s="242"/>
      <c r="AJ334" s="242"/>
      <c r="AK334" s="242"/>
      <c r="AL334" s="242"/>
      <c r="AM334" s="242"/>
    </row>
    <row r="335" spans="1:39" ht="15.75">
      <c r="A335" s="305" t="s">
        <v>1417</v>
      </c>
      <c r="B335" s="308" t="s">
        <v>2151</v>
      </c>
      <c r="C335" s="308" t="s">
        <v>2155</v>
      </c>
      <c r="D335" s="309">
        <v>200</v>
      </c>
      <c r="E335" s="309" t="s">
        <v>2</v>
      </c>
      <c r="F335" s="508">
        <v>25</v>
      </c>
      <c r="G335" s="508">
        <v>27</v>
      </c>
      <c r="H335" s="508">
        <v>27</v>
      </c>
      <c r="I335" s="309"/>
      <c r="J335" s="378"/>
      <c r="K335" s="378"/>
      <c r="L335" s="378"/>
      <c r="M335" s="522"/>
      <c r="N335" s="534"/>
      <c r="O335" s="524"/>
      <c r="P335" s="57"/>
      <c r="Q335" s="42">
        <v>0.3</v>
      </c>
      <c r="R335" s="27">
        <v>60</v>
      </c>
      <c r="S335" s="41"/>
      <c r="T335" s="47"/>
      <c r="U335" s="28"/>
      <c r="V335" s="48"/>
      <c r="W335" s="71"/>
      <c r="X335" s="71"/>
      <c r="Y335" s="37"/>
      <c r="Z335" s="239"/>
      <c r="AA335" s="239"/>
      <c r="AB335" s="240"/>
      <c r="AC335" s="240"/>
      <c r="AD335" s="240"/>
      <c r="AE335" s="241"/>
      <c r="AF335" s="241"/>
      <c r="AG335" s="236"/>
      <c r="AH335" s="242"/>
      <c r="AI335" s="242"/>
      <c r="AJ335" s="242"/>
      <c r="AK335" s="242"/>
      <c r="AL335" s="242"/>
      <c r="AM335" s="242"/>
    </row>
    <row r="336" spans="1:39" ht="15.75">
      <c r="A336" s="305" t="s">
        <v>1417</v>
      </c>
      <c r="B336" s="308" t="s">
        <v>2152</v>
      </c>
      <c r="C336" s="308" t="s">
        <v>2156</v>
      </c>
      <c r="D336" s="309">
        <v>200</v>
      </c>
      <c r="E336" s="309" t="s">
        <v>2</v>
      </c>
      <c r="F336" s="508">
        <v>25</v>
      </c>
      <c r="G336" s="508">
        <v>27</v>
      </c>
      <c r="H336" s="508">
        <v>27</v>
      </c>
      <c r="I336" s="309"/>
      <c r="J336" s="378"/>
      <c r="K336" s="378"/>
      <c r="L336" s="378"/>
      <c r="M336" s="522"/>
      <c r="N336" s="534"/>
      <c r="O336" s="524"/>
      <c r="P336" s="57"/>
      <c r="Q336" s="42">
        <v>0.3</v>
      </c>
      <c r="R336" s="27">
        <v>60</v>
      </c>
      <c r="S336" s="41"/>
      <c r="T336" s="47"/>
      <c r="U336" s="28"/>
      <c r="V336" s="48"/>
      <c r="W336" s="71"/>
      <c r="X336" s="71"/>
      <c r="Y336" s="37"/>
      <c r="Z336" s="239"/>
      <c r="AA336" s="239"/>
      <c r="AB336" s="240"/>
      <c r="AC336" s="240"/>
      <c r="AD336" s="240"/>
      <c r="AE336" s="241"/>
      <c r="AF336" s="241"/>
      <c r="AG336" s="236"/>
      <c r="AH336" s="242"/>
      <c r="AI336" s="242"/>
      <c r="AJ336" s="242"/>
      <c r="AK336" s="242"/>
      <c r="AL336" s="242"/>
      <c r="AM336" s="242"/>
    </row>
    <row r="337" spans="1:39" ht="15.75">
      <c r="A337" s="305" t="s">
        <v>1417</v>
      </c>
      <c r="B337" s="455" t="s">
        <v>2158</v>
      </c>
      <c r="C337" s="455" t="s">
        <v>2159</v>
      </c>
      <c r="D337" s="378">
        <v>200</v>
      </c>
      <c r="E337" s="378" t="s">
        <v>2</v>
      </c>
      <c r="F337" s="509"/>
      <c r="G337" s="509"/>
      <c r="H337" s="509"/>
      <c r="I337" s="378"/>
      <c r="J337" s="378"/>
      <c r="K337" s="378"/>
      <c r="L337" s="378"/>
      <c r="M337" s="522"/>
      <c r="N337" s="534"/>
      <c r="O337" s="524"/>
      <c r="P337" s="57"/>
      <c r="Q337" s="42"/>
      <c r="R337" s="27"/>
      <c r="S337" s="41"/>
      <c r="T337" s="47"/>
      <c r="U337" s="28"/>
      <c r="V337" s="48"/>
      <c r="W337" s="71"/>
      <c r="X337" s="71"/>
      <c r="Y337" s="37"/>
      <c r="Z337" s="456"/>
      <c r="AA337" s="456"/>
      <c r="AB337" s="457"/>
      <c r="AC337" s="457"/>
      <c r="AD337" s="457"/>
      <c r="AE337" s="458"/>
      <c r="AF337" s="458"/>
      <c r="AG337" s="459"/>
      <c r="AH337" s="460"/>
      <c r="AI337" s="460"/>
      <c r="AJ337" s="460"/>
      <c r="AK337" s="460"/>
      <c r="AL337" s="460"/>
      <c r="AM337" s="460"/>
    </row>
    <row r="338" spans="1:39" ht="15.75">
      <c r="A338" s="305" t="s">
        <v>1417</v>
      </c>
      <c r="B338" s="306" t="s">
        <v>2017</v>
      </c>
      <c r="C338" s="306" t="s">
        <v>1559</v>
      </c>
      <c r="D338" s="307">
        <v>400</v>
      </c>
      <c r="E338" s="307" t="s">
        <v>2</v>
      </c>
      <c r="F338" s="509"/>
      <c r="G338" s="509"/>
      <c r="H338" s="509"/>
      <c r="I338" s="307"/>
      <c r="J338" s="378"/>
      <c r="K338" s="378"/>
      <c r="L338" s="378"/>
      <c r="M338" s="522"/>
      <c r="N338" s="534"/>
      <c r="O338" s="524"/>
      <c r="P338" s="57">
        <v>28.799999999999997</v>
      </c>
      <c r="Q338" s="42">
        <v>0.14399999999999999</v>
      </c>
      <c r="R338" s="27">
        <v>57.599999999999994</v>
      </c>
      <c r="S338" s="41">
        <v>0.5</v>
      </c>
      <c r="T338" s="47">
        <f t="shared" si="99"/>
        <v>0</v>
      </c>
      <c r="U338" s="28">
        <f t="shared" ref="U338:U350" si="110">D338*T338</f>
        <v>0</v>
      </c>
      <c r="V338" s="48" t="e">
        <f t="shared" si="100"/>
        <v>#DIV/0!</v>
      </c>
      <c r="W338" s="71">
        <v>9.6000000000000002E-2</v>
      </c>
      <c r="X338" s="71">
        <v>38.4</v>
      </c>
      <c r="Y338" s="37">
        <v>0.25000000000000006</v>
      </c>
      <c r="Z338" s="247"/>
      <c r="AA338" s="247" t="s">
        <v>1526</v>
      </c>
      <c r="AB338" s="248"/>
      <c r="AC338" s="248"/>
      <c r="AD338" s="248"/>
      <c r="AF338"/>
      <c r="AG338"/>
      <c r="AH338"/>
      <c r="AI338"/>
      <c r="AJ338"/>
    </row>
    <row r="339" spans="1:39" ht="15.75">
      <c r="A339" s="305" t="s">
        <v>1417</v>
      </c>
      <c r="B339" s="306" t="s">
        <v>2018</v>
      </c>
      <c r="C339" s="306" t="s">
        <v>1560</v>
      </c>
      <c r="D339" s="307">
        <v>400</v>
      </c>
      <c r="E339" s="307" t="s">
        <v>2</v>
      </c>
      <c r="F339" s="509"/>
      <c r="G339" s="509"/>
      <c r="H339" s="509"/>
      <c r="I339" s="307"/>
      <c r="J339" s="378"/>
      <c r="K339" s="378"/>
      <c r="L339" s="378"/>
      <c r="M339" s="522"/>
      <c r="N339" s="534"/>
      <c r="O339" s="524"/>
      <c r="P339" s="57">
        <v>43.2</v>
      </c>
      <c r="Q339" s="42">
        <v>0.21600000000000003</v>
      </c>
      <c r="R339" s="27">
        <v>86.4</v>
      </c>
      <c r="S339" s="41">
        <v>0.5</v>
      </c>
      <c r="T339" s="47">
        <f t="shared" si="99"/>
        <v>0</v>
      </c>
      <c r="U339" s="28">
        <f t="shared" si="110"/>
        <v>0</v>
      </c>
      <c r="V339" s="48" t="e">
        <f t="shared" si="100"/>
        <v>#DIV/0!</v>
      </c>
      <c r="W339" s="71">
        <v>0.14400000000000002</v>
      </c>
      <c r="X339" s="71">
        <v>57.6</v>
      </c>
      <c r="Y339" s="37">
        <v>0.24999999999999997</v>
      </c>
      <c r="Z339" s="247"/>
      <c r="AA339" s="247" t="s">
        <v>1527</v>
      </c>
      <c r="AB339" s="248"/>
      <c r="AC339" s="248"/>
      <c r="AD339" s="248"/>
      <c r="AF339"/>
      <c r="AG339"/>
      <c r="AH339"/>
      <c r="AI339"/>
      <c r="AJ339"/>
    </row>
    <row r="340" spans="1:39" ht="15.75">
      <c r="A340" s="305" t="s">
        <v>1417</v>
      </c>
      <c r="B340" s="306" t="s">
        <v>2019</v>
      </c>
      <c r="C340" s="306" t="s">
        <v>1561</v>
      </c>
      <c r="D340" s="307">
        <v>100</v>
      </c>
      <c r="E340" s="307" t="s">
        <v>2</v>
      </c>
      <c r="F340" s="509"/>
      <c r="G340" s="509"/>
      <c r="H340" s="509"/>
      <c r="I340" s="307"/>
      <c r="J340" s="378"/>
      <c r="K340" s="378"/>
      <c r="L340" s="378"/>
      <c r="M340" s="522"/>
      <c r="N340" s="534"/>
      <c r="O340" s="524"/>
      <c r="P340" s="57">
        <f>O340*D340</f>
        <v>0</v>
      </c>
      <c r="Q340" s="42">
        <v>0.9</v>
      </c>
      <c r="R340" s="27">
        <v>90</v>
      </c>
      <c r="S340" s="41">
        <v>0.5</v>
      </c>
      <c r="T340" s="47">
        <f t="shared" si="99"/>
        <v>0</v>
      </c>
      <c r="U340" s="28">
        <f t="shared" si="110"/>
        <v>0</v>
      </c>
      <c r="V340" s="48" t="e">
        <f t="shared" si="100"/>
        <v>#DIV/0!</v>
      </c>
      <c r="W340" s="71">
        <f>O340/(1-Y340)</f>
        <v>0</v>
      </c>
      <c r="X340" s="71">
        <f>W340*D340</f>
        <v>0</v>
      </c>
      <c r="Y340" s="37">
        <v>0.25</v>
      </c>
      <c r="Z340" s="247"/>
      <c r="AA340" s="247" t="s">
        <v>1528</v>
      </c>
      <c r="AB340" s="248"/>
      <c r="AC340" s="248"/>
      <c r="AD340" s="248"/>
      <c r="AF340"/>
      <c r="AG340"/>
      <c r="AH340"/>
      <c r="AI340"/>
      <c r="AJ340"/>
    </row>
    <row r="341" spans="1:39" ht="15.75">
      <c r="A341" s="305" t="s">
        <v>1417</v>
      </c>
      <c r="B341" s="306" t="s">
        <v>2020</v>
      </c>
      <c r="C341" s="306" t="s">
        <v>1562</v>
      </c>
      <c r="D341" s="307">
        <v>60</v>
      </c>
      <c r="E341" s="307" t="s">
        <v>2</v>
      </c>
      <c r="F341" s="509"/>
      <c r="G341" s="509"/>
      <c r="H341" s="509"/>
      <c r="I341" s="307"/>
      <c r="J341" s="378"/>
      <c r="K341" s="378"/>
      <c r="L341" s="378"/>
      <c r="M341" s="522"/>
      <c r="N341" s="534"/>
      <c r="O341" s="524"/>
      <c r="P341" s="57">
        <v>33</v>
      </c>
      <c r="Q341" s="42">
        <v>1.1000000000000001</v>
      </c>
      <c r="R341" s="27">
        <v>66</v>
      </c>
      <c r="S341" s="41">
        <v>0.5</v>
      </c>
      <c r="T341" s="47">
        <f t="shared" si="99"/>
        <v>0</v>
      </c>
      <c r="U341" s="28">
        <f t="shared" si="110"/>
        <v>0</v>
      </c>
      <c r="V341" s="48" t="e">
        <f t="shared" si="100"/>
        <v>#DIV/0!</v>
      </c>
      <c r="W341" s="71">
        <f>P341/(1-Y341)</f>
        <v>44</v>
      </c>
      <c r="X341" s="71">
        <v>44</v>
      </c>
      <c r="Y341" s="37">
        <v>0.25</v>
      </c>
      <c r="Z341" s="247"/>
      <c r="AA341" s="247" t="s">
        <v>1529</v>
      </c>
      <c r="AB341" s="248"/>
      <c r="AC341" s="248"/>
      <c r="AD341" s="248"/>
      <c r="AF341"/>
      <c r="AG341"/>
      <c r="AH341"/>
      <c r="AI341"/>
      <c r="AJ341"/>
    </row>
    <row r="342" spans="1:39" ht="15.75">
      <c r="A342" s="305" t="s">
        <v>1417</v>
      </c>
      <c r="B342" s="306" t="s">
        <v>1418</v>
      </c>
      <c r="C342" s="306" t="s">
        <v>1421</v>
      </c>
      <c r="D342" s="307">
        <v>50</v>
      </c>
      <c r="E342" s="307" t="s">
        <v>2</v>
      </c>
      <c r="F342" s="509"/>
      <c r="G342" s="509"/>
      <c r="H342" s="509"/>
      <c r="I342" s="307">
        <v>63</v>
      </c>
      <c r="J342" s="378"/>
      <c r="K342" s="378"/>
      <c r="L342" s="378"/>
      <c r="M342" s="522"/>
      <c r="N342" s="534"/>
      <c r="O342" s="524"/>
      <c r="P342" s="57">
        <v>37.5</v>
      </c>
      <c r="Q342" s="42">
        <v>1.84</v>
      </c>
      <c r="R342" s="27">
        <v>92</v>
      </c>
      <c r="S342" s="41">
        <v>0.59239130434782605</v>
      </c>
      <c r="T342" s="47">
        <f t="shared" si="99"/>
        <v>0</v>
      </c>
      <c r="U342" s="28">
        <f t="shared" si="110"/>
        <v>0</v>
      </c>
      <c r="V342" s="48" t="e">
        <f t="shared" si="100"/>
        <v>#DIV/0!</v>
      </c>
      <c r="W342" s="71">
        <v>1.1499999999999999</v>
      </c>
      <c r="X342" s="71">
        <v>57.5</v>
      </c>
      <c r="Y342" s="37">
        <v>0.34782608695652167</v>
      </c>
      <c r="Z342" s="247"/>
      <c r="AA342" s="247"/>
      <c r="AB342" s="248"/>
      <c r="AC342" s="248"/>
      <c r="AD342" s="240"/>
      <c r="AE342" s="241">
        <v>0.95833333333333326</v>
      </c>
      <c r="AF342" s="241">
        <f>D342*AE342</f>
        <v>47.916666666666664</v>
      </c>
      <c r="AG342" s="236">
        <f>(AE342-O342)/AE342</f>
        <v>1</v>
      </c>
      <c r="AH342" s="242"/>
      <c r="AI342" s="242"/>
      <c r="AJ342" s="242"/>
      <c r="AK342" s="242"/>
      <c r="AL342" s="242"/>
      <c r="AM342" s="242"/>
    </row>
    <row r="343" spans="1:39" ht="15.75">
      <c r="A343" s="305" t="s">
        <v>1417</v>
      </c>
      <c r="B343" s="306" t="s">
        <v>1420</v>
      </c>
      <c r="C343" s="306" t="s">
        <v>1422</v>
      </c>
      <c r="D343" s="307">
        <v>50</v>
      </c>
      <c r="E343" s="307" t="s">
        <v>2</v>
      </c>
      <c r="F343" s="508">
        <v>25</v>
      </c>
      <c r="G343" s="508">
        <v>27</v>
      </c>
      <c r="H343" s="508">
        <v>27</v>
      </c>
      <c r="I343" s="307">
        <v>63</v>
      </c>
      <c r="J343" s="378"/>
      <c r="K343" s="378"/>
      <c r="L343" s="378"/>
      <c r="M343" s="522"/>
      <c r="N343" s="534"/>
      <c r="O343" s="524"/>
      <c r="P343" s="57">
        <v>37.5</v>
      </c>
      <c r="Q343" s="42">
        <v>1.84</v>
      </c>
      <c r="R343" s="27">
        <v>92</v>
      </c>
      <c r="S343" s="41">
        <v>0.59239130434782605</v>
      </c>
      <c r="T343" s="47">
        <f t="shared" si="99"/>
        <v>0</v>
      </c>
      <c r="U343" s="28">
        <f t="shared" si="110"/>
        <v>0</v>
      </c>
      <c r="V343" s="48" t="e">
        <f t="shared" si="100"/>
        <v>#DIV/0!</v>
      </c>
      <c r="W343" s="71">
        <v>1.1499999999999999</v>
      </c>
      <c r="X343" s="71">
        <v>57.5</v>
      </c>
      <c r="Y343" s="37">
        <v>0.34782608695652167</v>
      </c>
      <c r="Z343" s="247"/>
      <c r="AA343" s="247"/>
      <c r="AB343" s="248"/>
      <c r="AC343" s="248"/>
      <c r="AD343" s="244"/>
      <c r="AE343" s="245">
        <v>0.95833333333333326</v>
      </c>
      <c r="AF343" s="245">
        <f>D343*AE343</f>
        <v>47.916666666666664</v>
      </c>
      <c r="AG343" s="237">
        <f>(AE343-O343)/AE343</f>
        <v>1</v>
      </c>
      <c r="AH343" s="246"/>
      <c r="AI343" s="246"/>
      <c r="AJ343" s="246"/>
      <c r="AK343" s="246"/>
      <c r="AL343" s="246"/>
      <c r="AM343" s="246"/>
    </row>
    <row r="344" spans="1:39" ht="15.75">
      <c r="A344" s="305" t="s">
        <v>1417</v>
      </c>
      <c r="B344" s="306" t="s">
        <v>2021</v>
      </c>
      <c r="C344" s="306" t="s">
        <v>1530</v>
      </c>
      <c r="D344" s="307">
        <v>50</v>
      </c>
      <c r="E344" s="307" t="s">
        <v>2</v>
      </c>
      <c r="F344" s="508">
        <v>25</v>
      </c>
      <c r="G344" s="508">
        <v>27</v>
      </c>
      <c r="H344" s="508">
        <v>27</v>
      </c>
      <c r="I344" s="307">
        <v>63</v>
      </c>
      <c r="J344" s="378"/>
      <c r="K344" s="378"/>
      <c r="L344" s="378"/>
      <c r="M344" s="522"/>
      <c r="N344" s="534"/>
      <c r="O344" s="524"/>
      <c r="P344" s="57">
        <v>37.5</v>
      </c>
      <c r="Q344" s="42">
        <v>1.84</v>
      </c>
      <c r="R344" s="27">
        <v>92</v>
      </c>
      <c r="S344" s="41">
        <v>0.59239130434782605</v>
      </c>
      <c r="T344" s="47">
        <f t="shared" si="99"/>
        <v>0</v>
      </c>
      <c r="U344" s="28">
        <f t="shared" si="110"/>
        <v>0</v>
      </c>
      <c r="V344" s="48" t="e">
        <f t="shared" si="100"/>
        <v>#DIV/0!</v>
      </c>
      <c r="W344" s="71">
        <v>1.1499999999999999</v>
      </c>
      <c r="X344" s="71">
        <v>57.5</v>
      </c>
      <c r="Y344" s="37">
        <v>0.34782608695652167</v>
      </c>
      <c r="Z344" s="247"/>
      <c r="AA344" s="247"/>
      <c r="AB344" s="248"/>
      <c r="AC344" s="248"/>
      <c r="AD344" s="244"/>
      <c r="AE344" s="245"/>
      <c r="AF344" s="245"/>
      <c r="AG344" s="237"/>
      <c r="AH344" s="246"/>
      <c r="AI344" s="246"/>
      <c r="AJ344" s="246"/>
      <c r="AK344" s="246"/>
      <c r="AL344" s="246"/>
      <c r="AM344" s="246"/>
    </row>
    <row r="345" spans="1:39" ht="15.75">
      <c r="A345" s="305" t="s">
        <v>1417</v>
      </c>
      <c r="B345" s="306" t="s">
        <v>1423</v>
      </c>
      <c r="C345" s="306" t="s">
        <v>1424</v>
      </c>
      <c r="D345" s="307">
        <v>50</v>
      </c>
      <c r="E345" s="307" t="s">
        <v>2</v>
      </c>
      <c r="F345" s="508">
        <v>25</v>
      </c>
      <c r="G345" s="508">
        <v>27</v>
      </c>
      <c r="H345" s="508">
        <v>27</v>
      </c>
      <c r="I345" s="307">
        <v>63</v>
      </c>
      <c r="J345" s="378"/>
      <c r="K345" s="378"/>
      <c r="L345" s="378"/>
      <c r="M345" s="522"/>
      <c r="N345" s="534"/>
      <c r="O345" s="524"/>
      <c r="P345" s="57">
        <v>40</v>
      </c>
      <c r="Q345" s="42">
        <v>1.9</v>
      </c>
      <c r="R345" s="27">
        <v>95</v>
      </c>
      <c r="S345" s="41">
        <v>0.57894736842105254</v>
      </c>
      <c r="T345" s="47">
        <f t="shared" si="99"/>
        <v>0</v>
      </c>
      <c r="U345" s="28">
        <f t="shared" si="110"/>
        <v>0</v>
      </c>
      <c r="V345" s="48" t="e">
        <f t="shared" si="100"/>
        <v>#DIV/0!</v>
      </c>
      <c r="W345" s="71">
        <v>1.23</v>
      </c>
      <c r="X345" s="71">
        <v>61.5</v>
      </c>
      <c r="Y345" s="37">
        <v>0.34959349593495931</v>
      </c>
      <c r="Z345" s="247"/>
      <c r="AA345" s="247"/>
      <c r="AB345" s="248"/>
      <c r="AC345" s="248"/>
      <c r="AD345" s="244"/>
      <c r="AE345" s="245">
        <v>1.0249999999999999</v>
      </c>
      <c r="AF345" s="245">
        <f>D345*AE345</f>
        <v>51.249999999999993</v>
      </c>
      <c r="AG345" s="237">
        <f>(AE345-O345)/AE345</f>
        <v>1</v>
      </c>
      <c r="AH345" s="246"/>
      <c r="AI345" s="246"/>
      <c r="AJ345" s="246"/>
      <c r="AK345" s="246"/>
      <c r="AL345" s="246"/>
      <c r="AM345" s="246"/>
    </row>
    <row r="346" spans="1:39" ht="15.75">
      <c r="A346" s="305" t="s">
        <v>1417</v>
      </c>
      <c r="B346" s="306" t="s">
        <v>2022</v>
      </c>
      <c r="C346" s="306" t="s">
        <v>1519</v>
      </c>
      <c r="D346" s="307">
        <v>50</v>
      </c>
      <c r="E346" s="307" t="s">
        <v>2</v>
      </c>
      <c r="F346" s="509"/>
      <c r="G346" s="509"/>
      <c r="H346" s="509"/>
      <c r="I346" s="307">
        <v>63</v>
      </c>
      <c r="J346" s="378"/>
      <c r="K346" s="378"/>
      <c r="L346" s="378"/>
      <c r="M346" s="522"/>
      <c r="N346" s="534"/>
      <c r="O346" s="524"/>
      <c r="P346" s="57">
        <v>40</v>
      </c>
      <c r="Q346" s="42">
        <v>1.9</v>
      </c>
      <c r="R346" s="27">
        <v>95</v>
      </c>
      <c r="S346" s="41">
        <v>0.57894736842105254</v>
      </c>
      <c r="T346" s="47">
        <f t="shared" si="99"/>
        <v>0</v>
      </c>
      <c r="U346" s="28">
        <f t="shared" si="110"/>
        <v>0</v>
      </c>
      <c r="V346" s="48" t="e">
        <f t="shared" si="100"/>
        <v>#DIV/0!</v>
      </c>
      <c r="W346" s="71">
        <v>1.23</v>
      </c>
      <c r="X346" s="71">
        <v>61.5</v>
      </c>
      <c r="Y346" s="37">
        <v>0.34959349593495931</v>
      </c>
      <c r="Z346" s="247"/>
      <c r="AA346" s="247"/>
      <c r="AB346" s="248"/>
      <c r="AC346" s="248"/>
      <c r="AD346" s="244"/>
      <c r="AE346" s="245">
        <v>1.0249999999999999</v>
      </c>
      <c r="AF346" s="245">
        <f>D346*AE346</f>
        <v>51.249999999999993</v>
      </c>
      <c r="AG346" s="237">
        <f>(AE346-O346)/AE346</f>
        <v>1</v>
      </c>
      <c r="AH346" s="246"/>
      <c r="AI346" s="246"/>
      <c r="AJ346" s="246"/>
      <c r="AK346" s="246"/>
      <c r="AL346" s="246"/>
      <c r="AM346" s="246"/>
    </row>
    <row r="347" spans="1:39" ht="15.75">
      <c r="A347" s="305" t="s">
        <v>1417</v>
      </c>
      <c r="B347" s="306" t="s">
        <v>2023</v>
      </c>
      <c r="C347" s="306" t="s">
        <v>1444</v>
      </c>
      <c r="D347" s="307">
        <v>90</v>
      </c>
      <c r="E347" s="307" t="s">
        <v>2</v>
      </c>
      <c r="F347" s="509"/>
      <c r="G347" s="509"/>
      <c r="H347" s="509"/>
      <c r="I347" s="307">
        <v>32</v>
      </c>
      <c r="J347" s="378"/>
      <c r="K347" s="378"/>
      <c r="L347" s="378"/>
      <c r="M347" s="522"/>
      <c r="N347" s="534"/>
      <c r="O347" s="524"/>
      <c r="P347" s="57">
        <v>47.52</v>
      </c>
      <c r="Q347" s="42">
        <v>1.056</v>
      </c>
      <c r="R347" s="27">
        <v>95.04</v>
      </c>
      <c r="S347" s="41">
        <v>0.5</v>
      </c>
      <c r="T347" s="47">
        <f t="shared" si="99"/>
        <v>0</v>
      </c>
      <c r="U347" s="28">
        <f t="shared" si="110"/>
        <v>0</v>
      </c>
      <c r="V347" s="48" t="e">
        <f t="shared" si="100"/>
        <v>#DIV/0!</v>
      </c>
      <c r="W347" s="71">
        <v>0.82</v>
      </c>
      <c r="X347" s="71">
        <v>73.8</v>
      </c>
      <c r="Y347" s="37">
        <v>0.35</v>
      </c>
      <c r="Z347" s="247"/>
      <c r="AA347" s="247"/>
      <c r="AB347" s="248"/>
      <c r="AC347" s="248"/>
      <c r="AD347" s="265"/>
      <c r="AE347" s="266"/>
      <c r="AF347" s="266"/>
      <c r="AG347" s="263"/>
      <c r="AH347" s="267"/>
      <c r="AI347" s="267"/>
      <c r="AJ347" s="267"/>
      <c r="AK347" s="267"/>
      <c r="AL347" s="267"/>
      <c r="AM347" s="267"/>
    </row>
    <row r="348" spans="1:39" ht="15.75">
      <c r="A348" s="305" t="s">
        <v>1417</v>
      </c>
      <c r="B348" s="306" t="s">
        <v>2024</v>
      </c>
      <c r="C348" s="306" t="s">
        <v>1445</v>
      </c>
      <c r="D348" s="307">
        <v>90</v>
      </c>
      <c r="E348" s="307" t="s">
        <v>2</v>
      </c>
      <c r="F348" s="509"/>
      <c r="G348" s="509"/>
      <c r="H348" s="509"/>
      <c r="I348" s="307">
        <v>32</v>
      </c>
      <c r="J348" s="378"/>
      <c r="K348" s="378"/>
      <c r="L348" s="378"/>
      <c r="M348" s="522"/>
      <c r="N348" s="534"/>
      <c r="O348" s="524"/>
      <c r="P348" s="57">
        <v>47.52</v>
      </c>
      <c r="Q348" s="42">
        <v>1.056</v>
      </c>
      <c r="R348" s="27">
        <v>95.04</v>
      </c>
      <c r="S348" s="41">
        <v>0.5</v>
      </c>
      <c r="T348" s="47">
        <f t="shared" si="99"/>
        <v>0</v>
      </c>
      <c r="U348" s="28">
        <f t="shared" si="110"/>
        <v>0</v>
      </c>
      <c r="V348" s="48" t="e">
        <f t="shared" si="100"/>
        <v>#DIV/0!</v>
      </c>
      <c r="W348" s="71">
        <v>0.82</v>
      </c>
      <c r="X348" s="71">
        <v>73.8</v>
      </c>
      <c r="Y348" s="37">
        <v>0.35</v>
      </c>
      <c r="Z348" s="247"/>
      <c r="AA348" s="247"/>
      <c r="AB348" s="248"/>
      <c r="AC348" s="248"/>
      <c r="AD348" s="265"/>
      <c r="AE348" s="266"/>
      <c r="AF348" s="266"/>
      <c r="AG348" s="263"/>
      <c r="AH348" s="267"/>
      <c r="AI348" s="267"/>
      <c r="AJ348" s="267"/>
      <c r="AK348" s="267"/>
      <c r="AL348" s="267"/>
      <c r="AM348" s="267"/>
    </row>
    <row r="349" spans="1:39" ht="15.75">
      <c r="A349" s="305" t="s">
        <v>1417</v>
      </c>
      <c r="B349" s="306" t="s">
        <v>2025</v>
      </c>
      <c r="C349" s="306" t="s">
        <v>1563</v>
      </c>
      <c r="D349" s="307">
        <v>60</v>
      </c>
      <c r="E349" s="307" t="s">
        <v>2</v>
      </c>
      <c r="F349" s="509"/>
      <c r="G349" s="509"/>
      <c r="H349" s="509"/>
      <c r="I349" s="307"/>
      <c r="J349" s="378"/>
      <c r="K349" s="378"/>
      <c r="L349" s="378"/>
      <c r="M349" s="522"/>
      <c r="N349" s="534"/>
      <c r="O349" s="524"/>
      <c r="P349" s="57">
        <v>33</v>
      </c>
      <c r="Q349" s="42">
        <v>1.1000000000000001</v>
      </c>
      <c r="R349" s="27">
        <v>66</v>
      </c>
      <c r="S349" s="41">
        <v>0.5</v>
      </c>
      <c r="T349" s="47">
        <f t="shared" si="99"/>
        <v>0</v>
      </c>
      <c r="U349" s="28">
        <f t="shared" si="110"/>
        <v>0</v>
      </c>
      <c r="V349" s="48" t="e">
        <f t="shared" si="100"/>
        <v>#DIV/0!</v>
      </c>
      <c r="W349" s="71">
        <v>2.5000000000000001E-2</v>
      </c>
      <c r="X349" s="71">
        <v>44</v>
      </c>
      <c r="Y349" s="37">
        <v>0.25</v>
      </c>
      <c r="Z349" s="247"/>
      <c r="AA349" s="247" t="s">
        <v>1531</v>
      </c>
      <c r="AB349" s="248"/>
      <c r="AC349" s="248"/>
      <c r="AE349" s="304"/>
      <c r="AF349"/>
      <c r="AG349"/>
      <c r="AH349"/>
      <c r="AI349"/>
      <c r="AJ349"/>
    </row>
    <row r="350" spans="1:39" ht="15.75">
      <c r="A350" s="305" t="s">
        <v>1417</v>
      </c>
      <c r="B350" s="306" t="s">
        <v>2026</v>
      </c>
      <c r="C350" s="306" t="s">
        <v>1564</v>
      </c>
      <c r="D350" s="307">
        <v>60</v>
      </c>
      <c r="E350" s="307" t="s">
        <v>2</v>
      </c>
      <c r="F350" s="509"/>
      <c r="G350" s="509"/>
      <c r="H350" s="509"/>
      <c r="I350" s="307"/>
      <c r="J350" s="378"/>
      <c r="K350" s="378"/>
      <c r="L350" s="378"/>
      <c r="M350" s="522"/>
      <c r="N350" s="534"/>
      <c r="O350" s="524"/>
      <c r="P350" s="57">
        <v>30</v>
      </c>
      <c r="Q350" s="42">
        <v>1</v>
      </c>
      <c r="R350" s="27">
        <v>60</v>
      </c>
      <c r="S350" s="41">
        <v>0.5</v>
      </c>
      <c r="T350" s="47">
        <f t="shared" si="99"/>
        <v>0</v>
      </c>
      <c r="U350" s="28">
        <f t="shared" si="110"/>
        <v>0</v>
      </c>
      <c r="V350" s="48" t="e">
        <f t="shared" si="100"/>
        <v>#DIV/0!</v>
      </c>
      <c r="W350" s="71">
        <v>2.5000000000000001E-2</v>
      </c>
      <c r="X350" s="71">
        <v>40</v>
      </c>
      <c r="Y350" s="37">
        <v>0.25</v>
      </c>
      <c r="Z350" s="247"/>
      <c r="AA350" s="247" t="s">
        <v>1532</v>
      </c>
      <c r="AB350" s="248"/>
      <c r="AC350" s="248"/>
      <c r="AE350" s="304"/>
      <c r="AF350"/>
      <c r="AG350"/>
      <c r="AH350"/>
      <c r="AI350"/>
      <c r="AJ350"/>
    </row>
    <row r="351" spans="1:39" ht="15.75">
      <c r="A351" s="305" t="s">
        <v>1417</v>
      </c>
      <c r="B351" s="306" t="s">
        <v>1425</v>
      </c>
      <c r="C351" s="306" t="s">
        <v>2144</v>
      </c>
      <c r="D351" s="307">
        <v>135</v>
      </c>
      <c r="E351" s="307" t="s">
        <v>2</v>
      </c>
      <c r="F351" s="510">
        <v>55</v>
      </c>
      <c r="G351" s="510">
        <v>27</v>
      </c>
      <c r="H351" s="510">
        <v>35</v>
      </c>
      <c r="I351" s="307">
        <v>48</v>
      </c>
      <c r="J351" s="378"/>
      <c r="K351" s="378"/>
      <c r="L351" s="378"/>
      <c r="M351" s="522"/>
      <c r="N351" s="534"/>
      <c r="O351" s="524"/>
      <c r="P351" s="57">
        <f>O351*135</f>
        <v>0</v>
      </c>
      <c r="Q351" s="42"/>
      <c r="R351" s="27"/>
      <c r="S351" s="41"/>
      <c r="T351" s="47">
        <f>O351/0.8</f>
        <v>0</v>
      </c>
      <c r="U351" s="28">
        <f>T351*D351</f>
        <v>0</v>
      </c>
      <c r="V351" s="48">
        <v>0.2</v>
      </c>
      <c r="W351" s="71">
        <f>O351/0.65</f>
        <v>0</v>
      </c>
      <c r="X351" s="71">
        <f>W351*135</f>
        <v>0</v>
      </c>
      <c r="Y351" s="37">
        <v>0.35</v>
      </c>
      <c r="Z351" s="247"/>
      <c r="AA351" s="247"/>
      <c r="AB351" s="248"/>
      <c r="AC351" s="248"/>
      <c r="AD351" s="248"/>
      <c r="AE351" s="249">
        <v>2.1374999999999997</v>
      </c>
      <c r="AF351" s="249">
        <v>288.56249999999994</v>
      </c>
      <c r="AG351" s="238">
        <v>0.35087719298245595</v>
      </c>
      <c r="AH351" s="250"/>
      <c r="AI351" s="250"/>
      <c r="AJ351" s="250"/>
      <c r="AK351" s="250"/>
      <c r="AL351" s="250"/>
      <c r="AM351" s="250"/>
    </row>
    <row r="352" spans="1:39" ht="15.75">
      <c r="A352" s="305" t="s">
        <v>1417</v>
      </c>
      <c r="B352" s="306" t="s">
        <v>2145</v>
      </c>
      <c r="C352" s="306" t="s">
        <v>2143</v>
      </c>
      <c r="D352" s="307">
        <v>90</v>
      </c>
      <c r="E352" s="307" t="s">
        <v>2</v>
      </c>
      <c r="F352" s="510">
        <v>55</v>
      </c>
      <c r="G352" s="510">
        <v>27</v>
      </c>
      <c r="H352" s="510">
        <v>35</v>
      </c>
      <c r="I352" s="307">
        <v>48</v>
      </c>
      <c r="J352" s="378"/>
      <c r="K352" s="378"/>
      <c r="L352" s="378"/>
      <c r="M352" s="522"/>
      <c r="N352" s="534"/>
      <c r="O352" s="524"/>
      <c r="P352" s="57">
        <f>O352*90</f>
        <v>0</v>
      </c>
      <c r="Q352" s="42"/>
      <c r="R352" s="27"/>
      <c r="S352" s="41"/>
      <c r="T352" s="47">
        <f>O352/0.8</f>
        <v>0</v>
      </c>
      <c r="U352" s="28">
        <f>T352*90</f>
        <v>0</v>
      </c>
      <c r="V352" s="48">
        <v>0.19999999999999996</v>
      </c>
      <c r="W352" s="71">
        <v>0.56999999999999995</v>
      </c>
      <c r="X352" s="71">
        <f>W352*90</f>
        <v>51.3</v>
      </c>
      <c r="Y352" s="37">
        <v>0.34960937499999989</v>
      </c>
      <c r="Z352" s="247"/>
      <c r="AA352" s="247"/>
      <c r="AB352" s="248"/>
      <c r="AC352" s="248"/>
      <c r="AD352" s="303"/>
      <c r="AE352" s="249"/>
      <c r="AF352" s="249"/>
      <c r="AG352" s="238"/>
      <c r="AH352" s="250"/>
      <c r="AI352" s="250"/>
      <c r="AJ352" s="250"/>
      <c r="AK352" s="250"/>
      <c r="AL352" s="250"/>
      <c r="AM352" s="250"/>
    </row>
    <row r="353" spans="1:39" ht="15.75">
      <c r="A353" s="305" t="s">
        <v>1417</v>
      </c>
      <c r="B353" s="306" t="s">
        <v>2027</v>
      </c>
      <c r="C353" s="306" t="s">
        <v>1428</v>
      </c>
      <c r="D353" s="307">
        <v>90</v>
      </c>
      <c r="E353" s="307" t="s">
        <v>2</v>
      </c>
      <c r="F353" s="509"/>
      <c r="G353" s="509"/>
      <c r="H353" s="509"/>
      <c r="I353" s="307">
        <v>32</v>
      </c>
      <c r="J353" s="378"/>
      <c r="K353" s="378"/>
      <c r="L353" s="378"/>
      <c r="M353" s="522"/>
      <c r="N353" s="534"/>
      <c r="O353" s="524"/>
      <c r="P353" s="57">
        <v>105.3</v>
      </c>
      <c r="Q353" s="42"/>
      <c r="R353" s="27"/>
      <c r="S353" s="41"/>
      <c r="T353" s="47">
        <f t="shared" si="99"/>
        <v>0</v>
      </c>
      <c r="U353" s="28">
        <f t="shared" ref="U353:U359" si="111">D353*T353</f>
        <v>0</v>
      </c>
      <c r="V353" s="48" t="e">
        <f t="shared" si="100"/>
        <v>#DIV/0!</v>
      </c>
      <c r="W353" s="71">
        <v>1.95</v>
      </c>
      <c r="X353" s="71">
        <v>175.5</v>
      </c>
      <c r="Y353" s="37">
        <v>0.4</v>
      </c>
      <c r="Z353" s="247"/>
      <c r="AA353" s="247"/>
      <c r="AB353" s="248"/>
      <c r="AC353" s="248"/>
      <c r="AD353" s="303"/>
      <c r="AE353" s="249">
        <v>2.1374999999999997</v>
      </c>
      <c r="AF353" s="249">
        <f>D353*AE353</f>
        <v>192.37499999999997</v>
      </c>
      <c r="AG353" s="238">
        <f>(AE353-O353)/AE353</f>
        <v>1</v>
      </c>
      <c r="AH353" s="250"/>
      <c r="AI353" s="250"/>
      <c r="AJ353" s="250"/>
      <c r="AK353" s="250"/>
      <c r="AL353" s="250"/>
      <c r="AM353" s="250"/>
    </row>
    <row r="354" spans="1:39" ht="15.75">
      <c r="A354" s="305" t="s">
        <v>1417</v>
      </c>
      <c r="B354" s="306" t="s">
        <v>2028</v>
      </c>
      <c r="C354" s="306" t="s">
        <v>1565</v>
      </c>
      <c r="D354" s="307">
        <v>300</v>
      </c>
      <c r="E354" s="307" t="s">
        <v>2</v>
      </c>
      <c r="F354" s="510">
        <v>55</v>
      </c>
      <c r="G354" s="510">
        <v>27</v>
      </c>
      <c r="H354" s="510">
        <v>35</v>
      </c>
      <c r="I354" s="307"/>
      <c r="J354" s="378"/>
      <c r="K354" s="378"/>
      <c r="L354" s="378"/>
      <c r="M354" s="522"/>
      <c r="N354" s="534"/>
      <c r="O354" s="524"/>
      <c r="P354" s="57">
        <v>14.52</v>
      </c>
      <c r="Q354" s="42">
        <v>9.6799999999999997E-2</v>
      </c>
      <c r="R354" s="27">
        <v>29.04</v>
      </c>
      <c r="S354" s="41">
        <v>0.5</v>
      </c>
      <c r="T354" s="47">
        <f t="shared" si="99"/>
        <v>0</v>
      </c>
      <c r="U354" s="28">
        <f t="shared" si="111"/>
        <v>0</v>
      </c>
      <c r="V354" s="48" t="e">
        <f t="shared" si="100"/>
        <v>#DIV/0!</v>
      </c>
      <c r="W354" s="71">
        <v>6.4533333333333331E-2</v>
      </c>
      <c r="X354" s="71">
        <v>19.36</v>
      </c>
      <c r="Y354" s="37">
        <v>0.25</v>
      </c>
      <c r="Z354" s="247"/>
      <c r="AA354" s="247" t="s">
        <v>1520</v>
      </c>
      <c r="AB354" s="248"/>
      <c r="AC354" s="248"/>
      <c r="AE354" s="304"/>
      <c r="AF354"/>
      <c r="AG354"/>
      <c r="AH354"/>
      <c r="AI354"/>
      <c r="AJ354"/>
    </row>
    <row r="355" spans="1:39" ht="15.75">
      <c r="A355" s="305" t="s">
        <v>1417</v>
      </c>
      <c r="B355" s="306" t="s">
        <v>2029</v>
      </c>
      <c r="C355" s="306" t="s">
        <v>1566</v>
      </c>
      <c r="D355" s="307">
        <v>300</v>
      </c>
      <c r="E355" s="307" t="s">
        <v>2</v>
      </c>
      <c r="F355" s="509"/>
      <c r="G355" s="509"/>
      <c r="H355" s="509"/>
      <c r="I355" s="307"/>
      <c r="J355" s="378"/>
      <c r="K355" s="378"/>
      <c r="L355" s="378"/>
      <c r="M355" s="522"/>
      <c r="N355" s="534"/>
      <c r="O355" s="524"/>
      <c r="P355" s="57">
        <v>14.52</v>
      </c>
      <c r="Q355" s="42">
        <v>9.6799999999999997E-2</v>
      </c>
      <c r="R355" s="27">
        <v>29.04</v>
      </c>
      <c r="S355" s="41">
        <v>0.5</v>
      </c>
      <c r="T355" s="47">
        <f t="shared" si="99"/>
        <v>0</v>
      </c>
      <c r="U355" s="28">
        <f t="shared" si="111"/>
        <v>0</v>
      </c>
      <c r="V355" s="48" t="e">
        <f t="shared" si="100"/>
        <v>#DIV/0!</v>
      </c>
      <c r="W355" s="71">
        <v>6.4533333333333331E-2</v>
      </c>
      <c r="X355" s="71">
        <v>19.36</v>
      </c>
      <c r="Y355" s="37">
        <v>0.25</v>
      </c>
      <c r="Z355" s="247"/>
      <c r="AA355" s="247" t="s">
        <v>1521</v>
      </c>
      <c r="AB355" s="248"/>
      <c r="AC355" s="248"/>
      <c r="AE355" s="304"/>
      <c r="AF355"/>
      <c r="AG355"/>
      <c r="AH355"/>
      <c r="AI355"/>
      <c r="AJ355"/>
    </row>
    <row r="356" spans="1:39" ht="15.75">
      <c r="A356" s="305" t="s">
        <v>1417</v>
      </c>
      <c r="B356" s="306" t="s">
        <v>2030</v>
      </c>
      <c r="C356" s="306" t="s">
        <v>1567</v>
      </c>
      <c r="D356" s="307">
        <v>300</v>
      </c>
      <c r="E356" s="307" t="s">
        <v>2</v>
      </c>
      <c r="F356" s="509"/>
      <c r="G356" s="509"/>
      <c r="H356" s="509"/>
      <c r="I356" s="307"/>
      <c r="J356" s="378"/>
      <c r="K356" s="378"/>
      <c r="L356" s="378"/>
      <c r="M356" s="522"/>
      <c r="N356" s="534"/>
      <c r="O356" s="524"/>
      <c r="P356" s="57">
        <v>15.120000000000001</v>
      </c>
      <c r="Q356" s="42">
        <v>0.1008</v>
      </c>
      <c r="R356" s="27">
        <v>30.240000000000002</v>
      </c>
      <c r="S356" s="41">
        <v>0.5</v>
      </c>
      <c r="T356" s="47">
        <f t="shared" si="99"/>
        <v>0</v>
      </c>
      <c r="U356" s="28">
        <f t="shared" si="111"/>
        <v>0</v>
      </c>
      <c r="V356" s="48" t="e">
        <f t="shared" si="100"/>
        <v>#DIV/0!</v>
      </c>
      <c r="W356" s="71">
        <v>6.7199999999999996E-2</v>
      </c>
      <c r="X356" s="71">
        <v>20.16</v>
      </c>
      <c r="Y356" s="37">
        <v>0.24999999999999994</v>
      </c>
      <c r="Z356" s="247"/>
      <c r="AA356" s="247" t="s">
        <v>1522</v>
      </c>
      <c r="AB356" s="248"/>
      <c r="AC356" s="248"/>
      <c r="AE356" s="304"/>
      <c r="AF356"/>
      <c r="AG356"/>
      <c r="AH356"/>
      <c r="AI356"/>
      <c r="AJ356"/>
    </row>
    <row r="357" spans="1:39" ht="15.75">
      <c r="A357" s="305" t="s">
        <v>1417</v>
      </c>
      <c r="B357" s="306" t="s">
        <v>2031</v>
      </c>
      <c r="C357" s="306" t="s">
        <v>1568</v>
      </c>
      <c r="D357" s="307">
        <v>300</v>
      </c>
      <c r="E357" s="307" t="s">
        <v>2</v>
      </c>
      <c r="F357" s="509"/>
      <c r="G357" s="509"/>
      <c r="H357" s="509"/>
      <c r="I357" s="307"/>
      <c r="J357" s="378"/>
      <c r="K357" s="378"/>
      <c r="L357" s="378"/>
      <c r="M357" s="522"/>
      <c r="N357" s="534"/>
      <c r="O357" s="524"/>
      <c r="P357" s="57">
        <v>16.2</v>
      </c>
      <c r="Q357" s="42">
        <v>0.108</v>
      </c>
      <c r="R357" s="27">
        <v>32.4</v>
      </c>
      <c r="S357" s="41">
        <v>0.5</v>
      </c>
      <c r="T357" s="47">
        <f t="shared" si="99"/>
        <v>0</v>
      </c>
      <c r="U357" s="28">
        <f t="shared" si="111"/>
        <v>0</v>
      </c>
      <c r="V357" s="48" t="e">
        <f t="shared" si="100"/>
        <v>#DIV/0!</v>
      </c>
      <c r="W357" s="71">
        <v>7.1999999999999995E-2</v>
      </c>
      <c r="X357" s="71">
        <v>21.599999999999998</v>
      </c>
      <c r="Y357" s="37">
        <v>0.24999999999999997</v>
      </c>
      <c r="Z357" s="247"/>
      <c r="AA357" s="247" t="s">
        <v>1523</v>
      </c>
      <c r="AB357" s="248"/>
      <c r="AC357" s="248"/>
      <c r="AE357" s="304"/>
      <c r="AF357"/>
      <c r="AG357"/>
      <c r="AH357"/>
      <c r="AI357"/>
      <c r="AJ357"/>
    </row>
    <row r="358" spans="1:39" ht="15.75">
      <c r="A358" s="305" t="s">
        <v>1417</v>
      </c>
      <c r="B358" s="306" t="s">
        <v>2032</v>
      </c>
      <c r="C358" s="306" t="s">
        <v>1569</v>
      </c>
      <c r="D358" s="307">
        <v>300</v>
      </c>
      <c r="E358" s="307" t="s">
        <v>2</v>
      </c>
      <c r="F358" s="509"/>
      <c r="G358" s="509"/>
      <c r="H358" s="509"/>
      <c r="I358" s="307"/>
      <c r="J358" s="378"/>
      <c r="K358" s="378"/>
      <c r="L358" s="378"/>
      <c r="M358" s="522"/>
      <c r="N358" s="534"/>
      <c r="O358" s="524"/>
      <c r="P358" s="57">
        <v>18</v>
      </c>
      <c r="Q358" s="42">
        <v>0.12</v>
      </c>
      <c r="R358" s="27">
        <v>36</v>
      </c>
      <c r="S358" s="41">
        <v>0.5</v>
      </c>
      <c r="T358" s="47">
        <f t="shared" si="99"/>
        <v>0</v>
      </c>
      <c r="U358" s="28">
        <f t="shared" si="111"/>
        <v>0</v>
      </c>
      <c r="V358" s="48" t="e">
        <f t="shared" si="100"/>
        <v>#DIV/0!</v>
      </c>
      <c r="W358" s="71">
        <v>0.08</v>
      </c>
      <c r="X358" s="71">
        <v>24</v>
      </c>
      <c r="Y358" s="37">
        <v>0.25</v>
      </c>
      <c r="Z358" s="247"/>
      <c r="AA358" s="247" t="s">
        <v>1524</v>
      </c>
      <c r="AB358" s="248"/>
      <c r="AC358" s="248"/>
      <c r="AE358" s="304"/>
      <c r="AF358"/>
      <c r="AG358"/>
      <c r="AH358"/>
      <c r="AI358"/>
      <c r="AJ358"/>
    </row>
    <row r="359" spans="1:39" ht="16.5" thickBot="1">
      <c r="A359" s="305" t="s">
        <v>1417</v>
      </c>
      <c r="B359" s="306" t="s">
        <v>2033</v>
      </c>
      <c r="C359" s="306" t="s">
        <v>1569</v>
      </c>
      <c r="D359" s="307">
        <v>300</v>
      </c>
      <c r="E359" s="307" t="s">
        <v>2</v>
      </c>
      <c r="F359" s="509"/>
      <c r="G359" s="509"/>
      <c r="H359" s="509"/>
      <c r="I359" s="307"/>
      <c r="J359" s="379"/>
      <c r="K359" s="379"/>
      <c r="L359" s="379"/>
      <c r="M359" s="522"/>
      <c r="N359" s="534"/>
      <c r="O359" s="524"/>
      <c r="P359" s="58">
        <v>20.399999999999999</v>
      </c>
      <c r="Q359" s="44">
        <v>0.13599999999999998</v>
      </c>
      <c r="R359" s="81">
        <v>40.799999999999997</v>
      </c>
      <c r="S359" s="43">
        <v>0.5</v>
      </c>
      <c r="T359" s="47">
        <f t="shared" si="99"/>
        <v>0</v>
      </c>
      <c r="U359" s="28">
        <f t="shared" si="111"/>
        <v>0</v>
      </c>
      <c r="V359" s="48" t="e">
        <f t="shared" si="100"/>
        <v>#DIV/0!</v>
      </c>
      <c r="W359" s="72">
        <v>9.0666666666666659E-2</v>
      </c>
      <c r="X359" s="72">
        <v>27.2</v>
      </c>
      <c r="Y359" s="38">
        <v>0.25000000000000006</v>
      </c>
      <c r="Z359" s="247"/>
      <c r="AA359" s="247" t="s">
        <v>1525</v>
      </c>
      <c r="AB359" s="248"/>
      <c r="AC359" s="248"/>
      <c r="AE359" s="304"/>
      <c r="AF359"/>
      <c r="AG359"/>
      <c r="AH359"/>
      <c r="AI359"/>
      <c r="AJ359"/>
    </row>
    <row r="360" spans="1:39" ht="15.75">
      <c r="A360" s="440" t="s">
        <v>2146</v>
      </c>
      <c r="B360" s="440" t="s">
        <v>2137</v>
      </c>
      <c r="C360" s="453" t="s">
        <v>2132</v>
      </c>
      <c r="D360" s="441"/>
      <c r="E360" s="441"/>
      <c r="F360" s="509"/>
      <c r="G360" s="509"/>
      <c r="H360" s="509"/>
      <c r="I360" s="441"/>
      <c r="J360" s="441"/>
      <c r="K360" s="441"/>
      <c r="L360" s="441"/>
      <c r="M360" s="522"/>
      <c r="N360" s="534"/>
      <c r="O360" s="524"/>
      <c r="P360" s="442"/>
      <c r="Q360" s="443"/>
      <c r="R360" s="444"/>
      <c r="S360" s="445"/>
      <c r="T360" s="446"/>
      <c r="U360" s="447"/>
      <c r="V360" s="448"/>
      <c r="W360" s="449"/>
      <c r="X360" s="449"/>
      <c r="Y360" s="450"/>
      <c r="Z360" s="451"/>
      <c r="AA360" s="451"/>
      <c r="AB360" s="452"/>
      <c r="AC360" s="452"/>
      <c r="AE360" s="304"/>
      <c r="AF360"/>
      <c r="AG360"/>
      <c r="AH360"/>
      <c r="AI360"/>
      <c r="AJ360"/>
    </row>
    <row r="361" spans="1:39" ht="15.75">
      <c r="A361" s="440" t="s">
        <v>2146</v>
      </c>
      <c r="B361" s="440" t="s">
        <v>2135</v>
      </c>
      <c r="C361" s="454" t="s">
        <v>2133</v>
      </c>
      <c r="D361" s="441"/>
      <c r="E361" s="441"/>
      <c r="F361" s="510"/>
      <c r="G361" s="510"/>
      <c r="H361" s="510"/>
      <c r="I361" s="441"/>
      <c r="J361" s="441"/>
      <c r="K361" s="441"/>
      <c r="L361" s="441"/>
      <c r="M361" s="522"/>
      <c r="N361" s="534"/>
      <c r="O361" s="524"/>
      <c r="P361" s="442"/>
      <c r="Q361" s="443"/>
      <c r="R361" s="444"/>
      <c r="S361" s="445"/>
      <c r="T361" s="446"/>
      <c r="U361" s="447"/>
      <c r="V361" s="448"/>
      <c r="W361" s="449"/>
      <c r="X361" s="449"/>
      <c r="Y361" s="450"/>
      <c r="Z361" s="451"/>
      <c r="AA361" s="451"/>
      <c r="AB361" s="452"/>
      <c r="AC361" s="452"/>
      <c r="AE361" s="304"/>
      <c r="AF361"/>
      <c r="AG361"/>
      <c r="AH361"/>
      <c r="AI361"/>
      <c r="AJ361"/>
    </row>
    <row r="362" spans="1:39" ht="15.75">
      <c r="A362" s="440" t="s">
        <v>2146</v>
      </c>
      <c r="B362" s="440" t="s">
        <v>2136</v>
      </c>
      <c r="C362" s="454" t="s">
        <v>2134</v>
      </c>
      <c r="D362" s="441"/>
      <c r="E362" s="441"/>
      <c r="F362" s="510"/>
      <c r="G362" s="510"/>
      <c r="H362" s="510"/>
      <c r="I362" s="441"/>
      <c r="J362" s="441"/>
      <c r="K362" s="441"/>
      <c r="L362" s="441"/>
      <c r="M362" s="522"/>
      <c r="N362" s="534"/>
      <c r="O362" s="524"/>
      <c r="P362" s="442"/>
      <c r="Q362" s="443"/>
      <c r="R362" s="444"/>
      <c r="S362" s="445"/>
      <c r="T362" s="446"/>
      <c r="U362" s="447"/>
      <c r="V362" s="448"/>
      <c r="W362" s="449"/>
      <c r="X362" s="449"/>
      <c r="Y362" s="450"/>
      <c r="Z362" s="451"/>
      <c r="AA362" s="451"/>
      <c r="AB362" s="452"/>
      <c r="AC362" s="452"/>
      <c r="AE362" s="304"/>
      <c r="AF362"/>
      <c r="AG362"/>
      <c r="AH362"/>
      <c r="AI362"/>
      <c r="AJ362"/>
    </row>
    <row r="363" spans="1:39" ht="15.75">
      <c r="A363" s="440"/>
      <c r="B363" s="440"/>
      <c r="C363" s="440"/>
      <c r="D363" s="441"/>
      <c r="E363" s="441"/>
      <c r="F363" s="510">
        <v>38</v>
      </c>
      <c r="G363" s="510">
        <v>36</v>
      </c>
      <c r="H363" s="510">
        <v>25</v>
      </c>
      <c r="I363" s="441"/>
      <c r="J363" s="441"/>
      <c r="K363" s="441"/>
      <c r="L363" s="441"/>
      <c r="M363" s="522"/>
      <c r="N363" s="534"/>
      <c r="O363" s="524"/>
      <c r="P363" s="442"/>
      <c r="Q363" s="443"/>
      <c r="R363" s="444"/>
      <c r="S363" s="445"/>
      <c r="T363" s="446"/>
      <c r="U363" s="447"/>
      <c r="V363" s="448"/>
      <c r="W363" s="449"/>
      <c r="X363" s="449"/>
      <c r="Y363" s="450"/>
      <c r="Z363" s="451"/>
      <c r="AA363" s="451"/>
      <c r="AB363" s="452"/>
      <c r="AC363" s="452"/>
      <c r="AE363" s="304"/>
      <c r="AF363"/>
      <c r="AG363"/>
      <c r="AH363"/>
      <c r="AI363"/>
      <c r="AJ363"/>
    </row>
    <row r="364" spans="1:39" ht="15.75">
      <c r="A364" s="440"/>
      <c r="B364" s="440"/>
      <c r="C364" s="440"/>
      <c r="D364" s="441"/>
      <c r="E364" s="441"/>
      <c r="F364" s="510">
        <v>38</v>
      </c>
      <c r="G364" s="510">
        <v>36</v>
      </c>
      <c r="H364" s="510">
        <v>25</v>
      </c>
      <c r="I364" s="441"/>
      <c r="J364" s="441"/>
      <c r="K364" s="441"/>
      <c r="L364" s="441"/>
      <c r="M364" s="522"/>
      <c r="N364" s="534"/>
      <c r="O364" s="524"/>
      <c r="P364" s="442"/>
      <c r="Q364" s="443"/>
      <c r="R364" s="444"/>
      <c r="S364" s="445"/>
      <c r="T364" s="446"/>
      <c r="U364" s="447"/>
      <c r="V364" s="448"/>
      <c r="W364" s="449"/>
      <c r="X364" s="449"/>
      <c r="Y364" s="450"/>
      <c r="Z364" s="451"/>
      <c r="AA364" s="451"/>
      <c r="AB364" s="452"/>
      <c r="AC364" s="452"/>
      <c r="AE364" s="304"/>
      <c r="AF364"/>
      <c r="AG364"/>
      <c r="AH364"/>
      <c r="AI364"/>
      <c r="AJ364"/>
    </row>
    <row r="365" spans="1:39" ht="15.75">
      <c r="A365" s="440"/>
      <c r="B365" s="440"/>
      <c r="C365" s="440"/>
      <c r="D365" s="441"/>
      <c r="E365" s="441"/>
      <c r="F365" s="509"/>
      <c r="G365" s="509"/>
      <c r="H365" s="509"/>
      <c r="I365" s="441"/>
      <c r="J365" s="441"/>
      <c r="K365" s="441"/>
      <c r="L365" s="441"/>
      <c r="M365" s="522"/>
      <c r="N365" s="534"/>
      <c r="O365" s="524"/>
      <c r="P365" s="442"/>
      <c r="Q365" s="443"/>
      <c r="R365" s="444"/>
      <c r="S365" s="445"/>
      <c r="T365" s="446"/>
      <c r="U365" s="447"/>
      <c r="V365" s="448"/>
      <c r="W365" s="449"/>
      <c r="X365" s="449"/>
      <c r="Y365" s="450"/>
      <c r="Z365" s="451"/>
      <c r="AA365" s="451"/>
      <c r="AB365" s="452"/>
      <c r="AC365" s="452"/>
      <c r="AE365" s="304"/>
      <c r="AF365"/>
      <c r="AG365"/>
      <c r="AH365"/>
      <c r="AI365"/>
      <c r="AJ365"/>
    </row>
    <row r="366" spans="1:39" ht="15.75">
      <c r="A366" s="440"/>
      <c r="B366" s="440"/>
      <c r="C366" s="440"/>
      <c r="D366" s="441"/>
      <c r="E366" s="441"/>
      <c r="F366" s="510">
        <v>38</v>
      </c>
      <c r="G366" s="510">
        <v>36</v>
      </c>
      <c r="H366" s="510">
        <v>25</v>
      </c>
      <c r="I366" s="441"/>
      <c r="J366" s="441"/>
      <c r="K366" s="441"/>
      <c r="L366" s="441"/>
      <c r="M366" s="522"/>
      <c r="N366" s="534"/>
      <c r="O366" s="524"/>
      <c r="P366" s="442"/>
      <c r="Q366" s="443"/>
      <c r="R366" s="444"/>
      <c r="S366" s="445"/>
      <c r="T366" s="446"/>
      <c r="U366" s="447"/>
      <c r="V366" s="448"/>
      <c r="W366" s="449"/>
      <c r="X366" s="449"/>
      <c r="Y366" s="450"/>
      <c r="Z366" s="451"/>
      <c r="AA366" s="451"/>
      <c r="AB366" s="452"/>
      <c r="AC366" s="452"/>
      <c r="AE366" s="304"/>
      <c r="AF366"/>
      <c r="AG366"/>
      <c r="AH366"/>
      <c r="AI366"/>
      <c r="AJ366"/>
    </row>
    <row r="367" spans="1:39" ht="15.75">
      <c r="A367" s="440"/>
      <c r="B367" s="440"/>
      <c r="C367" s="440"/>
      <c r="D367" s="441"/>
      <c r="E367" s="441"/>
      <c r="F367" s="510">
        <v>38</v>
      </c>
      <c r="G367" s="510">
        <v>36</v>
      </c>
      <c r="H367" s="510">
        <v>25</v>
      </c>
      <c r="I367" s="441"/>
      <c r="J367" s="441"/>
      <c r="K367" s="441"/>
      <c r="L367" s="441"/>
      <c r="M367" s="522"/>
      <c r="N367" s="534"/>
      <c r="O367" s="524"/>
      <c r="P367" s="442"/>
      <c r="Q367" s="443"/>
      <c r="R367" s="444"/>
      <c r="S367" s="445"/>
      <c r="T367" s="446"/>
      <c r="U367" s="447"/>
      <c r="V367" s="448"/>
      <c r="W367" s="449"/>
      <c r="X367" s="449"/>
      <c r="Y367" s="450"/>
      <c r="Z367" s="451"/>
      <c r="AA367" s="451"/>
      <c r="AB367" s="452"/>
      <c r="AC367" s="452"/>
      <c r="AE367" s="304"/>
      <c r="AF367"/>
      <c r="AG367"/>
      <c r="AH367"/>
      <c r="AI367"/>
      <c r="AJ367"/>
    </row>
    <row r="368" spans="1:39" ht="15.75">
      <c r="A368" s="440"/>
      <c r="B368" s="440"/>
      <c r="C368" s="440"/>
      <c r="D368" s="441"/>
      <c r="E368" s="441"/>
      <c r="F368" s="509"/>
      <c r="G368" s="509"/>
      <c r="H368" s="509"/>
      <c r="I368" s="441"/>
      <c r="J368" s="441"/>
      <c r="K368" s="441"/>
      <c r="L368" s="441"/>
      <c r="M368" s="522"/>
      <c r="N368" s="534"/>
      <c r="O368" s="524"/>
      <c r="P368" s="442"/>
      <c r="Q368" s="443"/>
      <c r="R368" s="444"/>
      <c r="S368" s="445"/>
      <c r="T368" s="446"/>
      <c r="U368" s="447"/>
      <c r="V368" s="448"/>
      <c r="W368" s="449"/>
      <c r="X368" s="449"/>
      <c r="Y368" s="450"/>
      <c r="Z368" s="451"/>
      <c r="AA368" s="451"/>
      <c r="AB368" s="452"/>
      <c r="AC368" s="452"/>
      <c r="AE368" s="304"/>
      <c r="AF368"/>
      <c r="AG368"/>
      <c r="AH368"/>
      <c r="AI368"/>
      <c r="AJ368"/>
    </row>
    <row r="369" spans="1:42" ht="15.75">
      <c r="F369" s="509"/>
      <c r="G369" s="509"/>
      <c r="H369" s="509"/>
      <c r="M369" s="522"/>
      <c r="N369" s="534"/>
      <c r="O369" s="524"/>
      <c r="P369" s="15"/>
      <c r="T369" s="60"/>
      <c r="U369" s="15"/>
      <c r="V369" s="60"/>
      <c r="X369" s="15"/>
      <c r="Y369" s="3"/>
      <c r="AD369" s="60"/>
      <c r="AE369" s="60"/>
      <c r="AG369" s="15"/>
      <c r="AI369"/>
      <c r="AJ369"/>
    </row>
    <row r="370" spans="1:42" ht="15.75">
      <c r="A370" s="313" t="s">
        <v>1144</v>
      </c>
      <c r="B370" s="313" t="s">
        <v>1695</v>
      </c>
      <c r="C370" s="314" t="s">
        <v>1433</v>
      </c>
      <c r="D370" s="315">
        <v>8</v>
      </c>
      <c r="E370" s="315" t="s">
        <v>2</v>
      </c>
      <c r="F370" s="509"/>
      <c r="G370" s="509"/>
      <c r="H370" s="509"/>
      <c r="I370" s="315">
        <v>24</v>
      </c>
      <c r="J370" s="380"/>
      <c r="K370" s="496"/>
      <c r="L370" s="496"/>
      <c r="M370" s="522"/>
      <c r="N370" s="534"/>
      <c r="O370" s="524"/>
      <c r="P370" s="57">
        <f t="shared" ref="P370:P379" si="112">D370*O370</f>
        <v>0</v>
      </c>
      <c r="Q370" s="253"/>
      <c r="R370" s="254"/>
      <c r="S370" s="255"/>
      <c r="T370" s="256"/>
      <c r="U370" s="257"/>
      <c r="V370" s="258"/>
      <c r="W370" s="259">
        <v>4.7562666666666633</v>
      </c>
      <c r="X370" s="259">
        <f t="shared" ref="X370:X379" si="113">+W370*D370</f>
        <v>38.050133333333306</v>
      </c>
      <c r="Y370" s="260">
        <f t="shared" ref="Y370:Y379" si="114">(W370-O370)/W370</f>
        <v>1</v>
      </c>
      <c r="Z370" s="261"/>
      <c r="AA370" s="261"/>
      <c r="AB370" s="261"/>
      <c r="AC370" s="261"/>
      <c r="AD370" s="10"/>
      <c r="AE370" s="10"/>
      <c r="AF370" s="183"/>
      <c r="AG370" s="183"/>
      <c r="AH370" s="184"/>
      <c r="AI370" s="184"/>
      <c r="AJ370" s="184"/>
      <c r="AK370" s="10"/>
      <c r="AL370" s="183"/>
      <c r="AM370" s="183"/>
      <c r="AN370" s="10"/>
      <c r="AO370" s="187"/>
      <c r="AP370" s="187"/>
    </row>
    <row r="371" spans="1:42" ht="15.75" customHeight="1">
      <c r="A371" s="313" t="s">
        <v>1144</v>
      </c>
      <c r="B371" s="313" t="s">
        <v>1696</v>
      </c>
      <c r="C371" s="314" t="s">
        <v>1434</v>
      </c>
      <c r="D371" s="315">
        <v>10</v>
      </c>
      <c r="E371" s="315" t="s">
        <v>2</v>
      </c>
      <c r="F371" s="509"/>
      <c r="G371" s="509"/>
      <c r="H371" s="509"/>
      <c r="I371" s="315">
        <v>24</v>
      </c>
      <c r="J371" s="381"/>
      <c r="K371" s="381"/>
      <c r="L371" s="381"/>
      <c r="M371" s="522"/>
      <c r="N371" s="534"/>
      <c r="O371" s="524"/>
      <c r="P371" s="57">
        <f t="shared" si="112"/>
        <v>0</v>
      </c>
      <c r="Q371" s="42"/>
      <c r="R371" s="27"/>
      <c r="S371" s="41"/>
      <c r="T371" s="47"/>
      <c r="U371" s="28"/>
      <c r="V371" s="48"/>
      <c r="W371" s="71">
        <v>9.5208345098039242</v>
      </c>
      <c r="X371" s="71">
        <f t="shared" si="113"/>
        <v>95.208345098039246</v>
      </c>
      <c r="Y371" s="37">
        <f t="shared" si="114"/>
        <v>1</v>
      </c>
      <c r="Z371" s="78"/>
      <c r="AA371" s="78"/>
      <c r="AB371" s="78"/>
      <c r="AC371" s="78"/>
      <c r="AD371" s="10"/>
      <c r="AE371" s="10"/>
      <c r="AF371" s="183"/>
      <c r="AG371" s="183"/>
      <c r="AH371" s="184"/>
      <c r="AI371" s="184"/>
      <c r="AJ371" s="184"/>
      <c r="AK371" s="10"/>
      <c r="AL371" s="183"/>
      <c r="AM371" s="183"/>
      <c r="AN371" s="10"/>
      <c r="AO371" s="10"/>
      <c r="AP371" s="187"/>
    </row>
    <row r="372" spans="1:42" ht="15.75">
      <c r="A372" s="313" t="s">
        <v>1144</v>
      </c>
      <c r="B372" s="313" t="s">
        <v>1697</v>
      </c>
      <c r="C372" s="314" t="s">
        <v>1435</v>
      </c>
      <c r="D372" s="315">
        <v>6</v>
      </c>
      <c r="E372" s="315" t="s">
        <v>2</v>
      </c>
      <c r="F372" s="509"/>
      <c r="G372" s="509"/>
      <c r="H372" s="509"/>
      <c r="I372" s="315">
        <v>24</v>
      </c>
      <c r="J372" s="381"/>
      <c r="K372" s="381"/>
      <c r="L372" s="381"/>
      <c r="M372" s="522"/>
      <c r="N372" s="534"/>
      <c r="O372" s="524"/>
      <c r="P372" s="57">
        <f t="shared" si="112"/>
        <v>0</v>
      </c>
      <c r="Q372" s="42"/>
      <c r="R372" s="27"/>
      <c r="S372" s="41"/>
      <c r="T372" s="47"/>
      <c r="U372" s="28"/>
      <c r="V372" s="48"/>
      <c r="W372" s="71">
        <v>12.455146666666668</v>
      </c>
      <c r="X372" s="71">
        <f t="shared" si="113"/>
        <v>74.730880000000013</v>
      </c>
      <c r="Y372" s="37">
        <f t="shared" si="114"/>
        <v>1</v>
      </c>
      <c r="Z372" s="78"/>
      <c r="AA372" s="78"/>
      <c r="AB372" s="78"/>
      <c r="AC372" s="78"/>
      <c r="AD372" s="10"/>
      <c r="AE372" s="10"/>
      <c r="AF372" s="183"/>
      <c r="AG372" s="183"/>
      <c r="AH372" s="262"/>
      <c r="AI372" s="183"/>
      <c r="AJ372" s="184"/>
      <c r="AK372" s="10"/>
      <c r="AL372" s="183"/>
      <c r="AM372" s="183"/>
      <c r="AN372" s="10"/>
      <c r="AO372" s="10"/>
      <c r="AP372" s="187"/>
    </row>
    <row r="373" spans="1:42" ht="15.75">
      <c r="A373" s="313" t="s">
        <v>1144</v>
      </c>
      <c r="B373" s="313" t="s">
        <v>1698</v>
      </c>
      <c r="C373" s="314" t="s">
        <v>1436</v>
      </c>
      <c r="D373" s="315">
        <v>18</v>
      </c>
      <c r="E373" s="315" t="s">
        <v>2</v>
      </c>
      <c r="F373" s="509"/>
      <c r="G373" s="509"/>
      <c r="H373" s="509"/>
      <c r="I373" s="315">
        <v>24</v>
      </c>
      <c r="J373" s="381"/>
      <c r="K373" s="381"/>
      <c r="L373" s="381"/>
      <c r="M373" s="522"/>
      <c r="N373" s="534"/>
      <c r="O373" s="524"/>
      <c r="P373" s="57">
        <f t="shared" si="112"/>
        <v>0</v>
      </c>
      <c r="Q373" s="42"/>
      <c r="R373" s="27"/>
      <c r="S373" s="41"/>
      <c r="T373" s="47"/>
      <c r="U373" s="28"/>
      <c r="V373" s="48"/>
      <c r="W373" s="71">
        <v>7.3695999999999993</v>
      </c>
      <c r="X373" s="71">
        <f t="shared" si="113"/>
        <v>132.65279999999998</v>
      </c>
      <c r="Y373" s="37">
        <f t="shared" si="114"/>
        <v>1</v>
      </c>
      <c r="Z373" s="78"/>
      <c r="AA373" s="78"/>
      <c r="AB373" s="78"/>
      <c r="AC373" s="78"/>
      <c r="AD373" s="10"/>
      <c r="AE373" s="10"/>
      <c r="AF373" s="183"/>
      <c r="AG373" s="183"/>
      <c r="AH373" s="184"/>
      <c r="AI373" s="184"/>
      <c r="AJ373" s="184"/>
      <c r="AK373" s="187"/>
      <c r="AL373" s="183"/>
      <c r="AM373" s="183"/>
      <c r="AN373" s="10"/>
      <c r="AO373" s="10"/>
      <c r="AP373" s="10"/>
    </row>
    <row r="374" spans="1:42" ht="15.75">
      <c r="A374" s="313" t="s">
        <v>1144</v>
      </c>
      <c r="B374" s="313" t="s">
        <v>1699</v>
      </c>
      <c r="C374" s="314" t="s">
        <v>1437</v>
      </c>
      <c r="D374" s="315">
        <v>8</v>
      </c>
      <c r="E374" s="315" t="s">
        <v>2</v>
      </c>
      <c r="F374" s="521">
        <v>36</v>
      </c>
      <c r="G374" s="521">
        <v>26</v>
      </c>
      <c r="H374" s="521">
        <v>32</v>
      </c>
      <c r="I374" s="315">
        <v>24</v>
      </c>
      <c r="J374" s="381"/>
      <c r="K374" s="381"/>
      <c r="L374" s="381"/>
      <c r="M374" s="522"/>
      <c r="N374" s="534"/>
      <c r="O374" s="524"/>
      <c r="P374" s="57">
        <f t="shared" si="112"/>
        <v>0</v>
      </c>
      <c r="Q374" s="42"/>
      <c r="R374" s="27"/>
      <c r="S374" s="41"/>
      <c r="T374" s="47"/>
      <c r="U374" s="28"/>
      <c r="V374" s="48"/>
      <c r="W374" s="71">
        <v>12.034400000000003</v>
      </c>
      <c r="X374" s="71">
        <f t="shared" si="113"/>
        <v>96.275200000000027</v>
      </c>
      <c r="Y374" s="37">
        <f t="shared" si="114"/>
        <v>1</v>
      </c>
      <c r="Z374" s="78"/>
      <c r="AA374" s="78"/>
      <c r="AB374" s="78"/>
      <c r="AC374" s="78"/>
      <c r="AD374" s="10"/>
      <c r="AE374" s="10"/>
      <c r="AF374" s="183"/>
      <c r="AG374" s="183"/>
      <c r="AH374" s="184"/>
      <c r="AI374" s="184"/>
      <c r="AJ374" s="184"/>
      <c r="AK374" s="10"/>
      <c r="AL374" s="183"/>
      <c r="AM374" s="183"/>
      <c r="AN374" s="10"/>
      <c r="AO374" s="187"/>
      <c r="AP374" s="187"/>
    </row>
    <row r="375" spans="1:42" ht="15.75" customHeight="1">
      <c r="A375" s="313" t="s">
        <v>1144</v>
      </c>
      <c r="B375" s="313" t="s">
        <v>1700</v>
      </c>
      <c r="C375" s="314" t="s">
        <v>1438</v>
      </c>
      <c r="D375" s="315">
        <v>10</v>
      </c>
      <c r="E375" s="315" t="s">
        <v>2</v>
      </c>
      <c r="F375" s="521">
        <v>36</v>
      </c>
      <c r="G375" s="521">
        <v>26</v>
      </c>
      <c r="H375" s="521">
        <v>32</v>
      </c>
      <c r="I375" s="315">
        <v>24</v>
      </c>
      <c r="J375" s="381"/>
      <c r="K375" s="381"/>
      <c r="L375" s="381"/>
      <c r="M375" s="522"/>
      <c r="N375" s="534"/>
      <c r="O375" s="524"/>
      <c r="P375" s="57">
        <f t="shared" si="112"/>
        <v>0</v>
      </c>
      <c r="Q375" s="42"/>
      <c r="R375" s="27"/>
      <c r="S375" s="41"/>
      <c r="T375" s="47"/>
      <c r="U375" s="28"/>
      <c r="V375" s="48"/>
      <c r="W375" s="71">
        <v>6.1073599999999999</v>
      </c>
      <c r="X375" s="71">
        <f t="shared" si="113"/>
        <v>61.073599999999999</v>
      </c>
      <c r="Y375" s="37">
        <f t="shared" si="114"/>
        <v>1</v>
      </c>
      <c r="Z375" s="78"/>
      <c r="AA375" s="78"/>
      <c r="AB375" s="78"/>
      <c r="AC375" s="78"/>
      <c r="AD375" s="10"/>
      <c r="AE375" s="10"/>
      <c r="AF375" s="183"/>
      <c r="AG375" s="183"/>
      <c r="AH375" s="184"/>
      <c r="AI375" s="184"/>
      <c r="AJ375" s="184"/>
      <c r="AK375" s="10"/>
      <c r="AL375" s="183"/>
      <c r="AM375" s="183"/>
      <c r="AN375" s="10"/>
      <c r="AO375" s="10"/>
      <c r="AP375" s="187"/>
    </row>
    <row r="376" spans="1:42" ht="15.75">
      <c r="A376" s="313" t="s">
        <v>1144</v>
      </c>
      <c r="B376" s="313" t="s">
        <v>1701</v>
      </c>
      <c r="C376" s="314" t="s">
        <v>1439</v>
      </c>
      <c r="D376" s="315">
        <v>24</v>
      </c>
      <c r="E376" s="315" t="s">
        <v>2</v>
      </c>
      <c r="F376" s="509"/>
      <c r="G376" s="509"/>
      <c r="H376" s="509"/>
      <c r="I376" s="315">
        <v>24</v>
      </c>
      <c r="J376" s="381"/>
      <c r="K376" s="381"/>
      <c r="L376" s="381"/>
      <c r="M376" s="522"/>
      <c r="N376" s="534"/>
      <c r="O376" s="524"/>
      <c r="P376" s="57">
        <f t="shared" si="112"/>
        <v>0</v>
      </c>
      <c r="Q376" s="42"/>
      <c r="R376" s="27"/>
      <c r="S376" s="41"/>
      <c r="T376" s="47"/>
      <c r="U376" s="28"/>
      <c r="V376" s="48"/>
      <c r="W376" s="71">
        <v>5.0463466666666674</v>
      </c>
      <c r="X376" s="71">
        <f t="shared" si="113"/>
        <v>121.11232000000001</v>
      </c>
      <c r="Y376" s="37">
        <f t="shared" si="114"/>
        <v>1</v>
      </c>
      <c r="Z376" s="78"/>
      <c r="AA376" s="78"/>
      <c r="AB376" s="78"/>
      <c r="AC376" s="78"/>
      <c r="AD376" s="10"/>
      <c r="AE376" s="10"/>
      <c r="AF376" s="183"/>
      <c r="AG376" s="183"/>
      <c r="AH376" s="262"/>
      <c r="AI376" s="183"/>
      <c r="AJ376" s="184"/>
      <c r="AK376" s="10"/>
      <c r="AL376" s="183"/>
      <c r="AM376" s="183"/>
      <c r="AN376" s="10"/>
      <c r="AO376" s="10"/>
      <c r="AP376" s="187"/>
    </row>
    <row r="377" spans="1:42" ht="15.75">
      <c r="A377" s="313" t="s">
        <v>1144</v>
      </c>
      <c r="B377" s="313" t="s">
        <v>1702</v>
      </c>
      <c r="C377" s="314" t="s">
        <v>1440</v>
      </c>
      <c r="D377" s="315">
        <v>6</v>
      </c>
      <c r="E377" s="315" t="s">
        <v>2</v>
      </c>
      <c r="F377" s="509"/>
      <c r="G377" s="509"/>
      <c r="H377" s="509"/>
      <c r="I377" s="315">
        <v>24</v>
      </c>
      <c r="J377" s="381"/>
      <c r="K377" s="381"/>
      <c r="L377" s="381"/>
      <c r="M377" s="522"/>
      <c r="N377" s="534"/>
      <c r="O377" s="524"/>
      <c r="P377" s="57">
        <f t="shared" si="112"/>
        <v>0</v>
      </c>
      <c r="Q377" s="42"/>
      <c r="R377" s="27"/>
      <c r="S377" s="41"/>
      <c r="T377" s="47"/>
      <c r="U377" s="28"/>
      <c r="V377" s="48"/>
      <c r="W377" s="71">
        <v>11.556160000000004</v>
      </c>
      <c r="X377" s="71">
        <f t="shared" si="113"/>
        <v>69.336960000000019</v>
      </c>
      <c r="Y377" s="37">
        <f t="shared" si="114"/>
        <v>1</v>
      </c>
      <c r="Z377" s="78"/>
      <c r="AA377" s="78"/>
      <c r="AB377" s="78"/>
      <c r="AC377" s="78"/>
      <c r="AD377" s="10"/>
      <c r="AE377" s="10"/>
      <c r="AF377" s="183"/>
      <c r="AG377" s="183"/>
      <c r="AH377" s="184"/>
      <c r="AI377" s="184"/>
      <c r="AJ377" s="184"/>
      <c r="AK377" s="187"/>
      <c r="AL377" s="183"/>
      <c r="AM377" s="183"/>
      <c r="AN377" s="10"/>
      <c r="AO377" s="10"/>
      <c r="AP377" s="10"/>
    </row>
    <row r="378" spans="1:42" ht="15.75">
      <c r="A378" s="313" t="s">
        <v>1144</v>
      </c>
      <c r="B378" s="313" t="s">
        <v>1703</v>
      </c>
      <c r="C378" s="314" t="s">
        <v>2161</v>
      </c>
      <c r="D378" s="315">
        <v>30</v>
      </c>
      <c r="E378" s="315" t="s">
        <v>2</v>
      </c>
      <c r="F378" s="509"/>
      <c r="G378" s="509"/>
      <c r="H378" s="509"/>
      <c r="I378" s="315">
        <v>24</v>
      </c>
      <c r="J378" s="382"/>
      <c r="K378" s="382"/>
      <c r="L378" s="382"/>
      <c r="M378" s="522"/>
      <c r="N378" s="534"/>
      <c r="O378" s="524"/>
      <c r="P378" s="58">
        <f t="shared" si="112"/>
        <v>0</v>
      </c>
      <c r="Q378" s="44"/>
      <c r="R378" s="81"/>
      <c r="S378" s="43"/>
      <c r="T378" s="49"/>
      <c r="U378" s="30"/>
      <c r="V378" s="50"/>
      <c r="W378" s="72">
        <v>4.1813333333333329</v>
      </c>
      <c r="X378" s="72">
        <f t="shared" si="113"/>
        <v>125.43999999999998</v>
      </c>
      <c r="Y378" s="38">
        <f t="shared" si="114"/>
        <v>1</v>
      </c>
      <c r="Z378" s="78"/>
      <c r="AA378" s="78"/>
      <c r="AB378" s="78"/>
      <c r="AC378" s="78"/>
      <c r="AD378" s="10"/>
      <c r="AE378" s="10"/>
      <c r="AF378" s="183"/>
      <c r="AG378" s="183"/>
      <c r="AH378" s="184"/>
      <c r="AI378" s="184"/>
      <c r="AJ378" s="184"/>
      <c r="AK378" s="10"/>
      <c r="AL378" s="183"/>
      <c r="AM378" s="183"/>
      <c r="AN378" s="10"/>
      <c r="AO378" s="187"/>
      <c r="AP378" s="187"/>
    </row>
    <row r="379" spans="1:42" ht="15.75">
      <c r="A379" s="487" t="s">
        <v>1144</v>
      </c>
      <c r="B379" s="487" t="s">
        <v>2160</v>
      </c>
      <c r="C379" s="314" t="s">
        <v>2162</v>
      </c>
      <c r="D379" s="488">
        <v>25</v>
      </c>
      <c r="E379" s="488"/>
      <c r="F379" s="509"/>
      <c r="G379" s="509"/>
      <c r="H379" s="509"/>
      <c r="I379" s="488"/>
      <c r="J379" s="488"/>
      <c r="K379" s="488"/>
      <c r="L379" s="488"/>
      <c r="M379" s="522"/>
      <c r="N379" s="534"/>
      <c r="O379" s="524"/>
      <c r="P379" s="442">
        <f t="shared" si="112"/>
        <v>0</v>
      </c>
      <c r="Q379" s="443"/>
      <c r="R379" s="444"/>
      <c r="S379" s="445"/>
      <c r="T379" s="446"/>
      <c r="U379" s="447"/>
      <c r="V379" s="448"/>
      <c r="W379" s="296">
        <v>4.82</v>
      </c>
      <c r="X379" s="449">
        <f t="shared" si="113"/>
        <v>120.5</v>
      </c>
      <c r="Y379" s="38">
        <f t="shared" si="114"/>
        <v>1</v>
      </c>
      <c r="Z379" s="183"/>
      <c r="AA379" s="183"/>
      <c r="AB379" s="183"/>
      <c r="AC379" s="183"/>
      <c r="AD379" s="10"/>
      <c r="AE379" s="10"/>
      <c r="AF379" s="183"/>
      <c r="AG379" s="183"/>
      <c r="AH379" s="184"/>
      <c r="AI379" s="184"/>
      <c r="AJ379" s="184"/>
      <c r="AK379" s="10"/>
      <c r="AL379" s="183"/>
      <c r="AM379" s="183"/>
      <c r="AN379" s="10"/>
      <c r="AO379" s="187"/>
      <c r="AP379" s="187"/>
    </row>
    <row r="380" spans="1:42" ht="15.75">
      <c r="F380" s="509"/>
      <c r="G380" s="509"/>
      <c r="H380" s="509"/>
      <c r="M380" s="522"/>
      <c r="N380" s="534"/>
      <c r="O380" s="524"/>
      <c r="P380" s="15"/>
      <c r="T380" s="60"/>
      <c r="U380" s="15"/>
      <c r="V380" s="60"/>
      <c r="X380" s="15"/>
      <c r="Y380" s="3"/>
      <c r="AD380" s="60"/>
      <c r="AE380" s="60"/>
      <c r="AG380" s="15"/>
      <c r="AI380"/>
      <c r="AJ380"/>
    </row>
    <row r="381" spans="1:42" ht="15.75">
      <c r="F381" s="509"/>
      <c r="G381" s="509"/>
      <c r="H381" s="509"/>
      <c r="M381" s="522"/>
      <c r="N381" s="534"/>
      <c r="O381" s="524"/>
    </row>
    <row r="382" spans="1:42" ht="15.75">
      <c r="A382" s="349" t="s">
        <v>1619</v>
      </c>
      <c r="B382" s="349" t="s">
        <v>2034</v>
      </c>
      <c r="C382" s="349" t="s">
        <v>1621</v>
      </c>
      <c r="D382" s="350">
        <v>40</v>
      </c>
      <c r="E382" s="350" t="s">
        <v>2</v>
      </c>
      <c r="F382" s="509"/>
      <c r="G382" s="509"/>
      <c r="H382" s="509"/>
      <c r="I382" s="350">
        <v>24</v>
      </c>
      <c r="J382" s="350"/>
      <c r="K382" s="492"/>
      <c r="L382" s="492"/>
      <c r="M382" s="522"/>
      <c r="N382" s="534"/>
      <c r="O382" s="524"/>
      <c r="P382" s="338">
        <f>+O382*D382</f>
        <v>0</v>
      </c>
      <c r="Q382" s="339"/>
      <c r="R382" s="340"/>
      <c r="S382" s="341"/>
      <c r="T382" s="342"/>
      <c r="U382" s="343"/>
      <c r="V382" s="344"/>
      <c r="W382" s="345">
        <f>+X382/D382</f>
        <v>3.75</v>
      </c>
      <c r="X382" s="345">
        <v>150</v>
      </c>
      <c r="Y382" s="346">
        <f>+(X382-P382)/X382</f>
        <v>1</v>
      </c>
      <c r="Z382" s="347"/>
      <c r="AA382" s="347"/>
      <c r="AB382" s="347"/>
      <c r="AC382" s="347"/>
      <c r="AD382" s="10"/>
      <c r="AE382" s="10"/>
      <c r="AF382" s="183"/>
      <c r="AG382" s="183"/>
      <c r="AH382" s="184"/>
      <c r="AI382" s="184"/>
      <c r="AJ382" s="184"/>
      <c r="AK382" s="10"/>
      <c r="AL382" s="183"/>
      <c r="AM382" s="183"/>
      <c r="AN382" s="10"/>
      <c r="AO382" s="187"/>
      <c r="AP382" s="187"/>
    </row>
    <row r="383" spans="1:42" ht="15.75">
      <c r="D383" s="348"/>
      <c r="E383" s="348"/>
      <c r="F383" s="509"/>
      <c r="G383" s="509"/>
      <c r="H383" s="509"/>
      <c r="I383" s="348"/>
      <c r="J383" s="348"/>
      <c r="K383" s="348"/>
      <c r="L383" s="348"/>
      <c r="M383" s="522"/>
      <c r="N383" s="534"/>
      <c r="O383" s="524"/>
      <c r="P383" s="15"/>
      <c r="T383" s="60"/>
      <c r="U383" s="15"/>
      <c r="V383" s="60"/>
      <c r="X383" s="15"/>
      <c r="Y383" s="3"/>
      <c r="AD383" s="60"/>
      <c r="AE383" s="60"/>
      <c r="AG383" s="15"/>
      <c r="AI383"/>
      <c r="AJ383"/>
    </row>
    <row r="384" spans="1:42" ht="15.75">
      <c r="A384" s="351" t="s">
        <v>1622</v>
      </c>
      <c r="B384" s="351" t="s">
        <v>2035</v>
      </c>
      <c r="C384" s="351" t="s">
        <v>1620</v>
      </c>
      <c r="D384" s="352">
        <v>50</v>
      </c>
      <c r="E384" s="352" t="s">
        <v>2</v>
      </c>
      <c r="F384" s="509"/>
      <c r="G384" s="509"/>
      <c r="H384" s="509"/>
      <c r="I384" s="352">
        <v>24</v>
      </c>
      <c r="J384" s="352"/>
      <c r="K384" s="493"/>
      <c r="L384" s="493"/>
      <c r="M384" s="522"/>
      <c r="N384" s="534"/>
      <c r="O384" s="524"/>
      <c r="P384" s="338">
        <f>+O384*D384</f>
        <v>0</v>
      </c>
      <c r="Q384" s="339"/>
      <c r="R384" s="340"/>
      <c r="S384" s="341"/>
      <c r="T384" s="342"/>
      <c r="U384" s="343"/>
      <c r="V384" s="344"/>
      <c r="W384" s="345">
        <f>+X384/D384</f>
        <v>1.23</v>
      </c>
      <c r="X384" s="345">
        <v>61.5</v>
      </c>
      <c r="Y384" s="346">
        <f>+(X384-P384)/X384</f>
        <v>1</v>
      </c>
      <c r="Z384" s="347"/>
      <c r="AA384" s="347"/>
      <c r="AB384" s="347"/>
      <c r="AC384" s="347"/>
      <c r="AD384" s="10"/>
      <c r="AE384" s="10"/>
      <c r="AF384" s="183"/>
      <c r="AG384" s="183"/>
      <c r="AH384" s="184"/>
      <c r="AI384" s="184"/>
      <c r="AJ384" s="184"/>
      <c r="AK384" s="10"/>
      <c r="AL384" s="183"/>
      <c r="AM384" s="183"/>
      <c r="AN384" s="10"/>
      <c r="AO384" s="187"/>
      <c r="AP384" s="187"/>
    </row>
    <row r="385" spans="1:42" ht="15.75">
      <c r="F385" s="509"/>
      <c r="G385" s="509"/>
      <c r="H385" s="509"/>
      <c r="M385" s="522"/>
      <c r="N385" s="534"/>
      <c r="O385" s="524"/>
      <c r="P385" s="15"/>
      <c r="T385" s="60"/>
      <c r="U385" s="15"/>
      <c r="V385" s="60"/>
      <c r="X385" s="15"/>
      <c r="Y385" s="3"/>
      <c r="AD385" s="60"/>
      <c r="AE385" s="60"/>
      <c r="AG385" s="15"/>
      <c r="AI385"/>
      <c r="AJ385"/>
    </row>
    <row r="386" spans="1:42" ht="15.75">
      <c r="F386" s="509"/>
      <c r="G386" s="509"/>
      <c r="H386" s="509"/>
      <c r="M386" s="522"/>
      <c r="N386" s="534"/>
      <c r="O386" s="524"/>
      <c r="P386" s="15"/>
      <c r="T386" s="60"/>
      <c r="U386" s="15"/>
      <c r="V386" s="60"/>
      <c r="X386" s="15"/>
      <c r="Y386" s="3"/>
      <c r="AD386" s="60"/>
      <c r="AE386" s="60"/>
      <c r="AG386" s="15"/>
      <c r="AI386"/>
      <c r="AJ386"/>
    </row>
    <row r="387" spans="1:42" ht="15.75">
      <c r="A387" s="316" t="s">
        <v>1498</v>
      </c>
      <c r="B387" s="317" t="s">
        <v>2036</v>
      </c>
      <c r="C387" s="318" t="s">
        <v>1504</v>
      </c>
      <c r="D387" s="299">
        <v>200</v>
      </c>
      <c r="E387" s="300" t="s">
        <v>2</v>
      </c>
      <c r="F387" s="510">
        <v>50</v>
      </c>
      <c r="G387" s="510">
        <v>37</v>
      </c>
      <c r="H387" s="510">
        <v>62</v>
      </c>
      <c r="I387" s="300">
        <v>24</v>
      </c>
      <c r="J387" s="383"/>
      <c r="K387" s="494"/>
      <c r="L387" s="494"/>
      <c r="M387" s="522">
        <v>1.3229411764705881</v>
      </c>
      <c r="N387" s="534"/>
      <c r="O387" s="524">
        <v>1.3229411764705881</v>
      </c>
      <c r="P387" s="289">
        <f t="shared" ref="P387:P410" si="115">D387*O387</f>
        <v>264.58823529411762</v>
      </c>
      <c r="Q387" s="290">
        <v>0.27777777777777779</v>
      </c>
      <c r="R387" s="291">
        <v>55.555555555555557</v>
      </c>
      <c r="S387" s="292">
        <v>0.1</v>
      </c>
      <c r="T387" s="293">
        <v>0.3125</v>
      </c>
      <c r="U387" s="294">
        <v>62.5</v>
      </c>
      <c r="V387" s="295">
        <v>0.2</v>
      </c>
      <c r="W387" s="296">
        <f t="shared" ref="W387:W410" si="116">X387/D387</f>
        <v>2.0352941176470587</v>
      </c>
      <c r="X387" s="296">
        <f>P387/(1-Y388)</f>
        <v>407.05882352941171</v>
      </c>
      <c r="Y387" s="297">
        <v>0.35</v>
      </c>
      <c r="Z387" s="298"/>
      <c r="AA387" s="298"/>
      <c r="AB387" s="298"/>
      <c r="AC387" s="298"/>
      <c r="AD387" s="10" t="str">
        <f>+""</f>
        <v/>
      </c>
      <c r="AE387" s="10"/>
      <c r="AF387" s="183"/>
      <c r="AG387" s="183"/>
      <c r="AH387" s="184"/>
      <c r="AI387" s="184"/>
      <c r="AJ387" s="184"/>
      <c r="AK387" s="10"/>
      <c r="AL387" s="183"/>
      <c r="AM387" s="183"/>
      <c r="AN387" s="10"/>
      <c r="AO387" s="187"/>
      <c r="AP387" s="187"/>
    </row>
    <row r="388" spans="1:42" ht="15.75">
      <c r="A388" s="316" t="s">
        <v>1498</v>
      </c>
      <c r="B388" s="317" t="s">
        <v>1499</v>
      </c>
      <c r="C388" s="318" t="s">
        <v>1505</v>
      </c>
      <c r="D388" s="299">
        <v>1500</v>
      </c>
      <c r="E388" s="300" t="s">
        <v>2</v>
      </c>
      <c r="F388" s="510">
        <v>70</v>
      </c>
      <c r="G388" s="510">
        <v>37</v>
      </c>
      <c r="H388" s="510">
        <v>47</v>
      </c>
      <c r="I388" s="300">
        <v>24</v>
      </c>
      <c r="J388" s="383"/>
      <c r="K388" s="494"/>
      <c r="L388" s="494"/>
      <c r="M388" s="522">
        <v>4.5499000000000001</v>
      </c>
      <c r="N388" s="534"/>
      <c r="O388" s="524">
        <v>4.5499000000000001</v>
      </c>
      <c r="P388" s="289">
        <f t="shared" si="115"/>
        <v>6824.85</v>
      </c>
      <c r="Q388" s="290">
        <v>8.8888888888888892E-2</v>
      </c>
      <c r="R388" s="291">
        <v>133.33333333333334</v>
      </c>
      <c r="S388" s="292">
        <v>0.1</v>
      </c>
      <c r="T388" s="293">
        <v>9.9999999999999992E-2</v>
      </c>
      <c r="U388" s="294">
        <v>150</v>
      </c>
      <c r="V388" s="295">
        <v>0.2</v>
      </c>
      <c r="W388" s="296">
        <f t="shared" si="116"/>
        <v>6.9998461538461534</v>
      </c>
      <c r="X388" s="296">
        <f t="shared" ref="X388:X409" si="117">P388/(1-Y389)</f>
        <v>10499.76923076923</v>
      </c>
      <c r="Y388" s="297">
        <v>0.35</v>
      </c>
      <c r="Z388" s="298"/>
      <c r="AA388" s="298"/>
      <c r="AB388" s="298"/>
      <c r="AC388" s="298"/>
      <c r="AD388" s="10"/>
      <c r="AE388" s="10"/>
      <c r="AF388" s="183"/>
      <c r="AG388" s="183"/>
      <c r="AH388" s="184"/>
      <c r="AI388" s="184"/>
      <c r="AJ388" s="184"/>
      <c r="AK388" s="10"/>
      <c r="AL388" s="183"/>
      <c r="AM388" s="183"/>
      <c r="AN388" s="10"/>
      <c r="AO388" s="187"/>
      <c r="AP388" s="187"/>
    </row>
    <row r="389" spans="1:42" ht="15.75">
      <c r="A389" s="316" t="s">
        <v>1498</v>
      </c>
      <c r="B389" s="317" t="s">
        <v>1500</v>
      </c>
      <c r="C389" s="318" t="s">
        <v>1506</v>
      </c>
      <c r="D389" s="299">
        <v>135</v>
      </c>
      <c r="E389" s="300" t="s">
        <v>2</v>
      </c>
      <c r="F389" s="509"/>
      <c r="G389" s="509"/>
      <c r="H389" s="509"/>
      <c r="I389" s="300">
        <v>24</v>
      </c>
      <c r="J389" s="383"/>
      <c r="K389" s="494"/>
      <c r="L389" s="494"/>
      <c r="M389" s="522"/>
      <c r="N389" s="534"/>
      <c r="O389" s="524"/>
      <c r="P389" s="289">
        <f t="shared" si="115"/>
        <v>0</v>
      </c>
      <c r="Q389" s="290">
        <v>0.41111111111111109</v>
      </c>
      <c r="R389" s="291">
        <v>55.5</v>
      </c>
      <c r="S389" s="292">
        <v>0.1</v>
      </c>
      <c r="T389" s="293">
        <v>0.46249999999999997</v>
      </c>
      <c r="U389" s="294">
        <v>62.437499999999993</v>
      </c>
      <c r="V389" s="295">
        <v>0.2</v>
      </c>
      <c r="W389" s="296">
        <f t="shared" si="116"/>
        <v>0</v>
      </c>
      <c r="X389" s="296">
        <f t="shared" si="117"/>
        <v>0</v>
      </c>
      <c r="Y389" s="297">
        <v>0.35</v>
      </c>
      <c r="Z389" s="298"/>
      <c r="AA389" s="298"/>
      <c r="AB389" s="298"/>
      <c r="AC389" s="298"/>
      <c r="AD389" s="10"/>
      <c r="AE389" s="10"/>
      <c r="AF389" s="183"/>
      <c r="AG389" s="183"/>
      <c r="AH389" s="184"/>
      <c r="AI389" s="184"/>
      <c r="AJ389" s="184"/>
      <c r="AK389" s="10"/>
      <c r="AL389" s="183"/>
      <c r="AM389" s="183"/>
      <c r="AN389" s="10"/>
      <c r="AO389" s="187"/>
      <c r="AP389" s="187"/>
    </row>
    <row r="390" spans="1:42" ht="15.75">
      <c r="A390" s="316" t="s">
        <v>1498</v>
      </c>
      <c r="B390" s="317" t="s">
        <v>1501</v>
      </c>
      <c r="C390" s="318" t="s">
        <v>1507</v>
      </c>
      <c r="D390" s="299">
        <v>100</v>
      </c>
      <c r="E390" s="300" t="s">
        <v>2</v>
      </c>
      <c r="F390" s="509"/>
      <c r="G390" s="509"/>
      <c r="H390" s="509"/>
      <c r="I390" s="300">
        <v>24</v>
      </c>
      <c r="J390" s="383"/>
      <c r="K390" s="494"/>
      <c r="L390" s="494"/>
      <c r="M390" s="522"/>
      <c r="N390" s="534"/>
      <c r="O390" s="524"/>
      <c r="P390" s="289">
        <f t="shared" si="115"/>
        <v>0</v>
      </c>
      <c r="Q390" s="290">
        <v>0.5444444444444444</v>
      </c>
      <c r="R390" s="291">
        <v>54.444444444444443</v>
      </c>
      <c r="S390" s="292">
        <v>0.1</v>
      </c>
      <c r="T390" s="293">
        <v>0.61249999999999993</v>
      </c>
      <c r="U390" s="294">
        <v>61.249999999999993</v>
      </c>
      <c r="V390" s="295">
        <v>0.2</v>
      </c>
      <c r="W390" s="296">
        <f t="shared" si="116"/>
        <v>0</v>
      </c>
      <c r="X390" s="296">
        <f t="shared" si="117"/>
        <v>0</v>
      </c>
      <c r="Y390" s="297">
        <v>0.35</v>
      </c>
      <c r="Z390" s="298"/>
      <c r="AA390" s="298"/>
      <c r="AB390" s="298"/>
      <c r="AC390" s="298"/>
      <c r="AD390" s="10"/>
      <c r="AE390" s="10"/>
      <c r="AF390" s="183"/>
      <c r="AG390" s="183"/>
      <c r="AH390" s="184"/>
      <c r="AI390" s="184"/>
      <c r="AJ390" s="184"/>
      <c r="AK390" s="10"/>
      <c r="AL390" s="183"/>
      <c r="AM390" s="183"/>
      <c r="AN390" s="10"/>
      <c r="AO390" s="187"/>
      <c r="AP390" s="187"/>
    </row>
    <row r="391" spans="1:42" ht="15.75">
      <c r="A391" s="316" t="s">
        <v>1498</v>
      </c>
      <c r="B391" s="317" t="s">
        <v>1502</v>
      </c>
      <c r="C391" s="318" t="s">
        <v>1508</v>
      </c>
      <c r="D391" s="299">
        <v>250</v>
      </c>
      <c r="E391" s="300" t="s">
        <v>2</v>
      </c>
      <c r="F391" s="510">
        <v>55</v>
      </c>
      <c r="G391" s="510">
        <v>37</v>
      </c>
      <c r="H391" s="510">
        <v>59</v>
      </c>
      <c r="I391" s="300">
        <v>24</v>
      </c>
      <c r="J391" s="383"/>
      <c r="K391" s="494"/>
      <c r="L391" s="494"/>
      <c r="M391" s="522">
        <v>5.3638000000000003</v>
      </c>
      <c r="N391" s="534"/>
      <c r="O391" s="524">
        <v>5.3638000000000003</v>
      </c>
      <c r="P391" s="289">
        <f t="shared" si="115"/>
        <v>1340.95</v>
      </c>
      <c r="Q391" s="290">
        <v>1.1444444444444444</v>
      </c>
      <c r="R391" s="291">
        <v>286.11111111111109</v>
      </c>
      <c r="S391" s="292">
        <v>0.1</v>
      </c>
      <c r="T391" s="293">
        <v>1.2874999999999999</v>
      </c>
      <c r="U391" s="294">
        <v>321.87499999999994</v>
      </c>
      <c r="V391" s="295">
        <v>0.2</v>
      </c>
      <c r="W391" s="296">
        <f t="shared" si="116"/>
        <v>8.2520000000000007</v>
      </c>
      <c r="X391" s="296">
        <f t="shared" si="117"/>
        <v>2063</v>
      </c>
      <c r="Y391" s="297">
        <v>0.35</v>
      </c>
      <c r="Z391" s="298"/>
      <c r="AA391" s="298"/>
      <c r="AB391" s="298"/>
      <c r="AC391" s="298"/>
      <c r="AD391" s="10"/>
      <c r="AE391" s="10"/>
      <c r="AF391" s="183"/>
      <c r="AG391" s="183"/>
      <c r="AH391" s="184"/>
      <c r="AI391" s="184"/>
      <c r="AJ391" s="184"/>
      <c r="AK391" s="10"/>
      <c r="AL391" s="183"/>
      <c r="AM391" s="183"/>
      <c r="AN391" s="10"/>
      <c r="AO391" s="187"/>
      <c r="AP391" s="187"/>
    </row>
    <row r="392" spans="1:42" ht="15.75">
      <c r="A392" s="316" t="s">
        <v>1498</v>
      </c>
      <c r="B392" s="317" t="s">
        <v>2037</v>
      </c>
      <c r="C392" s="318" t="s">
        <v>1509</v>
      </c>
      <c r="D392" s="299">
        <v>250</v>
      </c>
      <c r="E392" s="300" t="s">
        <v>2</v>
      </c>
      <c r="F392" s="510">
        <v>56</v>
      </c>
      <c r="G392" s="510">
        <v>40</v>
      </c>
      <c r="H392" s="510">
        <v>55</v>
      </c>
      <c r="I392" s="300">
        <v>24</v>
      </c>
      <c r="J392" s="383"/>
      <c r="K392" s="494"/>
      <c r="L392" s="494"/>
      <c r="M392" s="522">
        <v>4.9340000000000002</v>
      </c>
      <c r="N392" s="534"/>
      <c r="O392" s="524">
        <v>4.9340000000000002</v>
      </c>
      <c r="P392" s="289">
        <f t="shared" si="115"/>
        <v>1233.5</v>
      </c>
      <c r="Q392" s="290">
        <v>0.11111111111111112</v>
      </c>
      <c r="R392" s="291">
        <v>27.777777777777779</v>
      </c>
      <c r="S392" s="292">
        <v>0.1</v>
      </c>
      <c r="T392" s="293">
        <v>0.125</v>
      </c>
      <c r="U392" s="294">
        <v>31.25</v>
      </c>
      <c r="V392" s="295">
        <v>0.2</v>
      </c>
      <c r="W392" s="296">
        <f t="shared" si="116"/>
        <v>7.5907692307692303</v>
      </c>
      <c r="X392" s="296">
        <f t="shared" si="117"/>
        <v>1897.6923076923076</v>
      </c>
      <c r="Y392" s="297">
        <v>0.35</v>
      </c>
      <c r="Z392" s="298"/>
      <c r="AA392" s="298"/>
      <c r="AB392" s="298"/>
      <c r="AC392" s="298"/>
      <c r="AD392" s="10"/>
      <c r="AE392" s="10"/>
      <c r="AF392" s="183"/>
      <c r="AG392" s="183"/>
      <c r="AH392" s="184"/>
      <c r="AI392" s="184"/>
      <c r="AJ392" s="184"/>
      <c r="AK392" s="10"/>
      <c r="AL392" s="183"/>
      <c r="AM392" s="183"/>
      <c r="AN392" s="10"/>
      <c r="AO392" s="187"/>
      <c r="AP392" s="187"/>
    </row>
    <row r="393" spans="1:42" ht="15.75">
      <c r="A393" s="316" t="s">
        <v>1498</v>
      </c>
      <c r="B393" s="317" t="s">
        <v>2038</v>
      </c>
      <c r="C393" s="318" t="s">
        <v>1510</v>
      </c>
      <c r="D393" s="299">
        <v>300</v>
      </c>
      <c r="E393" s="300" t="s">
        <v>2</v>
      </c>
      <c r="F393" s="510">
        <v>67</v>
      </c>
      <c r="G393" s="510">
        <v>55</v>
      </c>
      <c r="H393" s="510">
        <v>29</v>
      </c>
      <c r="I393" s="300">
        <v>24</v>
      </c>
      <c r="J393" s="383"/>
      <c r="K393" s="494"/>
      <c r="L393" s="494"/>
      <c r="M393" s="522">
        <v>7.8391000000000002</v>
      </c>
      <c r="N393" s="534"/>
      <c r="O393" s="524">
        <v>7.8391000000000002</v>
      </c>
      <c r="P393" s="289">
        <f t="shared" si="115"/>
        <v>2351.73</v>
      </c>
      <c r="Q393" s="290">
        <v>9.9999999999999992E-2</v>
      </c>
      <c r="R393" s="291">
        <v>29.999999999999996</v>
      </c>
      <c r="S393" s="292">
        <v>0.1</v>
      </c>
      <c r="T393" s="293">
        <v>0.11249999999999999</v>
      </c>
      <c r="U393" s="294">
        <v>33.75</v>
      </c>
      <c r="V393" s="295">
        <v>0.2</v>
      </c>
      <c r="W393" s="296">
        <f t="shared" si="116"/>
        <v>12.060153846153845</v>
      </c>
      <c r="X393" s="296">
        <f t="shared" si="117"/>
        <v>3618.0461538461536</v>
      </c>
      <c r="Y393" s="297">
        <v>0.35</v>
      </c>
      <c r="Z393" s="298"/>
      <c r="AA393" s="298"/>
      <c r="AB393" s="298"/>
      <c r="AC393" s="298"/>
      <c r="AD393" s="10"/>
      <c r="AE393" s="10"/>
      <c r="AF393" s="183"/>
      <c r="AG393" s="183"/>
      <c r="AH393" s="184"/>
      <c r="AI393" s="184"/>
      <c r="AJ393" s="184"/>
      <c r="AK393" s="10"/>
      <c r="AL393" s="183"/>
      <c r="AM393" s="183"/>
      <c r="AN393" s="10"/>
      <c r="AO393" s="187"/>
      <c r="AP393" s="187"/>
    </row>
    <row r="394" spans="1:42" ht="15.75">
      <c r="A394" s="316" t="s">
        <v>1498</v>
      </c>
      <c r="B394" s="317" t="s">
        <v>1503</v>
      </c>
      <c r="C394" s="318" t="s">
        <v>1512</v>
      </c>
      <c r="D394" s="299">
        <v>520</v>
      </c>
      <c r="E394" s="300" t="s">
        <v>2</v>
      </c>
      <c r="F394" s="509"/>
      <c r="G394" s="509"/>
      <c r="H394" s="509"/>
      <c r="I394" s="300">
        <v>24</v>
      </c>
      <c r="J394" s="383"/>
      <c r="K394" s="494"/>
      <c r="L394" s="494"/>
      <c r="M394" s="522">
        <v>7.6935000000000002</v>
      </c>
      <c r="N394" s="534"/>
      <c r="O394" s="524">
        <v>7.6935000000000002</v>
      </c>
      <c r="P394" s="289">
        <f t="shared" si="115"/>
        <v>4000.62</v>
      </c>
      <c r="Q394" s="290">
        <v>0.19999999999999998</v>
      </c>
      <c r="R394" s="291">
        <v>103.99999999999999</v>
      </c>
      <c r="S394" s="292">
        <v>0.1</v>
      </c>
      <c r="T394" s="293">
        <v>0.22499999999999998</v>
      </c>
      <c r="U394" s="294">
        <v>116.99999999999999</v>
      </c>
      <c r="V394" s="295">
        <v>0.2</v>
      </c>
      <c r="W394" s="296">
        <f t="shared" si="116"/>
        <v>11.836153846153845</v>
      </c>
      <c r="X394" s="296">
        <f t="shared" si="117"/>
        <v>6154.7999999999993</v>
      </c>
      <c r="Y394" s="297">
        <v>0.35</v>
      </c>
      <c r="Z394" s="298"/>
      <c r="AA394" s="298"/>
      <c r="AB394" s="298"/>
      <c r="AC394" s="298"/>
      <c r="AD394" s="10"/>
      <c r="AE394" s="10"/>
      <c r="AF394" s="183"/>
      <c r="AG394" s="183"/>
      <c r="AH394" s="184"/>
      <c r="AI394" s="184"/>
      <c r="AJ394" s="184"/>
      <c r="AK394" s="10"/>
      <c r="AL394" s="183"/>
      <c r="AM394" s="183"/>
      <c r="AN394" s="10"/>
      <c r="AO394" s="187"/>
      <c r="AP394" s="187"/>
    </row>
    <row r="395" spans="1:42" ht="15.75">
      <c r="A395" s="316" t="s">
        <v>1498</v>
      </c>
      <c r="B395" s="317" t="s">
        <v>2039</v>
      </c>
      <c r="C395" s="318" t="s">
        <v>1513</v>
      </c>
      <c r="D395" s="299">
        <v>520</v>
      </c>
      <c r="E395" s="300" t="s">
        <v>2</v>
      </c>
      <c r="F395" s="510">
        <v>52</v>
      </c>
      <c r="G395" s="510">
        <v>39</v>
      </c>
      <c r="H395" s="510">
        <v>59</v>
      </c>
      <c r="I395" s="300">
        <v>24</v>
      </c>
      <c r="J395" s="383"/>
      <c r="K395" s="494"/>
      <c r="L395" s="494"/>
      <c r="M395" s="522">
        <v>5.8715999999999999</v>
      </c>
      <c r="N395" s="534"/>
      <c r="O395" s="524">
        <v>5.8715999999999999</v>
      </c>
      <c r="P395" s="289">
        <f t="shared" si="115"/>
        <v>3053.232</v>
      </c>
      <c r="Q395" s="290">
        <v>0.19999999999999998</v>
      </c>
      <c r="R395" s="291">
        <v>103.99999999999999</v>
      </c>
      <c r="S395" s="292">
        <v>0.1</v>
      </c>
      <c r="T395" s="293">
        <v>0.22499999999999998</v>
      </c>
      <c r="U395" s="294">
        <v>116.99999999999999</v>
      </c>
      <c r="V395" s="295">
        <v>0.2</v>
      </c>
      <c r="W395" s="296">
        <f t="shared" si="116"/>
        <v>9.0332307692307694</v>
      </c>
      <c r="X395" s="296">
        <f t="shared" si="117"/>
        <v>4697.28</v>
      </c>
      <c r="Y395" s="297">
        <v>0.35</v>
      </c>
      <c r="Z395" s="298"/>
      <c r="AA395" s="298"/>
      <c r="AB395" s="298"/>
      <c r="AC395" s="298"/>
      <c r="AD395" s="10"/>
      <c r="AE395" s="10"/>
      <c r="AF395" s="183"/>
      <c r="AG395" s="183"/>
      <c r="AH395" s="184"/>
      <c r="AI395" s="184"/>
      <c r="AJ395" s="184"/>
      <c r="AK395" s="10"/>
      <c r="AL395" s="183"/>
      <c r="AM395" s="183"/>
      <c r="AN395" s="10"/>
      <c r="AO395" s="187"/>
      <c r="AP395" s="187"/>
    </row>
    <row r="396" spans="1:42" ht="15.75">
      <c r="A396" s="316" t="s">
        <v>1498</v>
      </c>
      <c r="B396" s="317" t="s">
        <v>1511</v>
      </c>
      <c r="C396" s="318" t="s">
        <v>1514</v>
      </c>
      <c r="D396" s="299">
        <v>520</v>
      </c>
      <c r="E396" s="300" t="s">
        <v>2</v>
      </c>
      <c r="F396" s="521">
        <v>52</v>
      </c>
      <c r="G396" s="521">
        <v>39</v>
      </c>
      <c r="H396" s="521">
        <v>36</v>
      </c>
      <c r="I396" s="300">
        <v>24</v>
      </c>
      <c r="J396" s="383"/>
      <c r="K396" s="494"/>
      <c r="L396" s="494"/>
      <c r="M396" s="522">
        <v>3.4249000000000001</v>
      </c>
      <c r="N396" s="535"/>
      <c r="O396" s="525">
        <v>3.4249000000000001</v>
      </c>
      <c r="P396" s="289">
        <f t="shared" si="115"/>
        <v>1780.9480000000001</v>
      </c>
      <c r="Q396" s="290">
        <v>0.19999999999999998</v>
      </c>
      <c r="R396" s="291">
        <v>103.99999999999999</v>
      </c>
      <c r="S396" s="292">
        <v>0.1</v>
      </c>
      <c r="T396" s="293">
        <v>0.22499999999999998</v>
      </c>
      <c r="U396" s="294">
        <v>116.99999999999999</v>
      </c>
      <c r="V396" s="295">
        <v>0.2</v>
      </c>
      <c r="W396" s="296">
        <f t="shared" si="116"/>
        <v>5.2690769230769234</v>
      </c>
      <c r="X396" s="296">
        <f t="shared" si="117"/>
        <v>2739.92</v>
      </c>
      <c r="Y396" s="297">
        <v>0.35</v>
      </c>
      <c r="Z396" s="298"/>
      <c r="AA396" s="298"/>
      <c r="AB396" s="298"/>
      <c r="AC396" s="298"/>
      <c r="AD396" s="10"/>
      <c r="AE396" s="10"/>
      <c r="AF396" s="183"/>
      <c r="AG396" s="183"/>
      <c r="AH396" s="184"/>
      <c r="AI396" s="184"/>
      <c r="AJ396" s="184"/>
      <c r="AK396" s="10"/>
      <c r="AL396" s="183"/>
      <c r="AM396" s="183"/>
      <c r="AN396" s="10"/>
      <c r="AO396" s="187"/>
      <c r="AP396" s="187"/>
    </row>
    <row r="397" spans="1:42" ht="15.75">
      <c r="A397" s="316" t="s">
        <v>1498</v>
      </c>
      <c r="B397" s="317" t="s">
        <v>1573</v>
      </c>
      <c r="C397" s="318" t="s">
        <v>1517</v>
      </c>
      <c r="D397" s="299">
        <v>300</v>
      </c>
      <c r="E397" s="300" t="s">
        <v>2</v>
      </c>
      <c r="F397" s="521">
        <v>55</v>
      </c>
      <c r="G397" s="521">
        <v>40</v>
      </c>
      <c r="H397" s="521">
        <v>52</v>
      </c>
      <c r="I397" s="300">
        <v>24</v>
      </c>
      <c r="J397" s="383"/>
      <c r="K397" s="494"/>
      <c r="L397" s="494"/>
      <c r="M397" s="522">
        <v>5.1772999999999998</v>
      </c>
      <c r="N397" s="535"/>
      <c r="O397" s="525">
        <v>5.1772999999999998</v>
      </c>
      <c r="P397" s="289">
        <f t="shared" si="115"/>
        <v>1553.1899999999998</v>
      </c>
      <c r="Q397" s="290">
        <v>0.55555555555555558</v>
      </c>
      <c r="R397" s="291">
        <v>166.66666666666669</v>
      </c>
      <c r="S397" s="292">
        <v>0.1</v>
      </c>
      <c r="T397" s="293">
        <v>0.625</v>
      </c>
      <c r="U397" s="294">
        <v>187.5</v>
      </c>
      <c r="V397" s="295">
        <v>0.2</v>
      </c>
      <c r="W397" s="296">
        <f t="shared" si="116"/>
        <v>7.9650769230769223</v>
      </c>
      <c r="X397" s="296">
        <f t="shared" si="117"/>
        <v>2389.5230769230766</v>
      </c>
      <c r="Y397" s="297">
        <v>0.35</v>
      </c>
      <c r="Z397" s="298"/>
      <c r="AA397" s="298"/>
      <c r="AB397" s="298"/>
      <c r="AC397" s="298"/>
      <c r="AD397" s="10"/>
      <c r="AE397" s="10"/>
      <c r="AF397" s="183"/>
      <c r="AG397" s="183"/>
      <c r="AH397" s="184"/>
      <c r="AI397" s="184"/>
      <c r="AJ397" s="184"/>
      <c r="AK397" s="10"/>
      <c r="AL397" s="183"/>
      <c r="AM397" s="183"/>
      <c r="AN397" s="10"/>
      <c r="AO397" s="187"/>
      <c r="AP397" s="187"/>
    </row>
    <row r="398" spans="1:42" ht="15.75">
      <c r="A398" s="316" t="s">
        <v>1498</v>
      </c>
      <c r="B398" s="317" t="s">
        <v>2040</v>
      </c>
      <c r="C398" s="318" t="s">
        <v>1516</v>
      </c>
      <c r="D398" s="299">
        <v>300</v>
      </c>
      <c r="E398" s="300" t="s">
        <v>2</v>
      </c>
      <c r="F398" s="521">
        <v>52</v>
      </c>
      <c r="G398" s="521">
        <v>39</v>
      </c>
      <c r="H398" s="521">
        <v>27</v>
      </c>
      <c r="I398" s="300">
        <v>24</v>
      </c>
      <c r="J398" s="383"/>
      <c r="K398" s="494"/>
      <c r="L398" s="494"/>
      <c r="M398" s="522">
        <v>4.7702</v>
      </c>
      <c r="N398" s="535"/>
      <c r="O398" s="525">
        <v>4.7702</v>
      </c>
      <c r="P398" s="289">
        <f t="shared" si="115"/>
        <v>1431.06</v>
      </c>
      <c r="Q398" s="290">
        <v>0.55555555555555558</v>
      </c>
      <c r="R398" s="291">
        <v>166.66666666666669</v>
      </c>
      <c r="S398" s="292">
        <v>0.1</v>
      </c>
      <c r="T398" s="293">
        <v>0.625</v>
      </c>
      <c r="U398" s="294">
        <v>187.5</v>
      </c>
      <c r="V398" s="295">
        <v>0.2</v>
      </c>
      <c r="W398" s="296">
        <f t="shared" si="116"/>
        <v>7.3387692307692305</v>
      </c>
      <c r="X398" s="296">
        <f t="shared" si="117"/>
        <v>2201.6307692307691</v>
      </c>
      <c r="Y398" s="297">
        <v>0.35</v>
      </c>
      <c r="Z398" s="298"/>
      <c r="AA398" s="298"/>
      <c r="AB398" s="298"/>
      <c r="AC398" s="298"/>
      <c r="AD398" s="10"/>
      <c r="AE398" s="10"/>
      <c r="AF398" s="183"/>
      <c r="AG398" s="183"/>
      <c r="AH398" s="184"/>
      <c r="AI398" s="184"/>
      <c r="AJ398" s="184"/>
      <c r="AK398" s="10"/>
      <c r="AL398" s="183"/>
      <c r="AM398" s="183"/>
      <c r="AN398" s="10"/>
      <c r="AO398" s="187"/>
      <c r="AP398" s="187"/>
    </row>
    <row r="399" spans="1:42" ht="15.75">
      <c r="A399" s="316" t="s">
        <v>1498</v>
      </c>
      <c r="B399" s="317" t="s">
        <v>2041</v>
      </c>
      <c r="C399" s="318" t="s">
        <v>1518</v>
      </c>
      <c r="D399" s="299">
        <v>220</v>
      </c>
      <c r="E399" s="300" t="s">
        <v>2</v>
      </c>
      <c r="F399" s="521">
        <v>62</v>
      </c>
      <c r="G399" s="521">
        <v>40</v>
      </c>
      <c r="H399" s="521">
        <v>38</v>
      </c>
      <c r="I399" s="300">
        <v>24</v>
      </c>
      <c r="J399" s="383"/>
      <c r="K399" s="494"/>
      <c r="L399" s="494"/>
      <c r="M399" s="522">
        <v>8.3640000000000008</v>
      </c>
      <c r="N399" s="534"/>
      <c r="O399" s="524">
        <v>8.3640000000000008</v>
      </c>
      <c r="P399" s="289">
        <f t="shared" si="115"/>
        <v>1840.0800000000002</v>
      </c>
      <c r="Q399" s="290">
        <v>0.88888888888888895</v>
      </c>
      <c r="R399" s="291">
        <v>195.55555555555557</v>
      </c>
      <c r="S399" s="292">
        <v>0.1</v>
      </c>
      <c r="T399" s="293">
        <v>1</v>
      </c>
      <c r="U399" s="294">
        <v>220</v>
      </c>
      <c r="V399" s="295">
        <v>0.2</v>
      </c>
      <c r="W399" s="296">
        <f t="shared" si="116"/>
        <v>12.867692307692309</v>
      </c>
      <c r="X399" s="296">
        <f t="shared" si="117"/>
        <v>2830.8923076923079</v>
      </c>
      <c r="Y399" s="297">
        <v>0.35</v>
      </c>
      <c r="Z399" s="298"/>
      <c r="AA399" s="298"/>
      <c r="AB399" s="298"/>
      <c r="AC399" s="298"/>
      <c r="AD399" s="10"/>
      <c r="AE399" s="10"/>
      <c r="AF399" s="183"/>
      <c r="AG399" s="183"/>
      <c r="AH399" s="184"/>
      <c r="AI399" s="184"/>
      <c r="AJ399" s="184"/>
      <c r="AK399" s="10"/>
      <c r="AL399" s="183"/>
      <c r="AM399" s="183"/>
      <c r="AN399" s="10"/>
      <c r="AO399" s="187"/>
      <c r="AP399" s="187"/>
    </row>
    <row r="400" spans="1:42" ht="15.75">
      <c r="A400" s="316" t="s">
        <v>1498</v>
      </c>
      <c r="B400" s="317" t="s">
        <v>1716</v>
      </c>
      <c r="C400" s="318" t="s">
        <v>1515</v>
      </c>
      <c r="D400" s="300">
        <v>380</v>
      </c>
      <c r="E400" s="300" t="s">
        <v>2</v>
      </c>
      <c r="F400" s="509"/>
      <c r="G400" s="509"/>
      <c r="H400" s="509"/>
      <c r="I400" s="300">
        <v>24</v>
      </c>
      <c r="J400" s="383"/>
      <c r="K400" s="494"/>
      <c r="L400" s="494"/>
      <c r="M400" s="522"/>
      <c r="N400" s="534"/>
      <c r="O400" s="524"/>
      <c r="P400" s="289">
        <f t="shared" si="115"/>
        <v>0</v>
      </c>
      <c r="Q400" s="290">
        <v>0.26666666666666666</v>
      </c>
      <c r="R400" s="291">
        <v>101.33333333333333</v>
      </c>
      <c r="S400" s="292">
        <v>0.1</v>
      </c>
      <c r="T400" s="293">
        <v>0.3</v>
      </c>
      <c r="U400" s="294">
        <v>114</v>
      </c>
      <c r="V400" s="295">
        <v>0.2</v>
      </c>
      <c r="W400" s="296">
        <f t="shared" si="116"/>
        <v>0</v>
      </c>
      <c r="X400" s="296">
        <f t="shared" si="117"/>
        <v>0</v>
      </c>
      <c r="Y400" s="297">
        <v>0.35</v>
      </c>
      <c r="Z400" s="298"/>
      <c r="AA400" s="298"/>
      <c r="AB400" s="298"/>
      <c r="AC400" s="298"/>
      <c r="AD400" s="10"/>
      <c r="AE400" s="10"/>
      <c r="AF400" s="183"/>
      <c r="AG400" s="183"/>
      <c r="AH400" s="184"/>
      <c r="AI400" s="184"/>
      <c r="AJ400" s="184"/>
      <c r="AK400" s="10"/>
      <c r="AL400" s="183"/>
      <c r="AM400" s="183"/>
      <c r="AN400" s="10"/>
      <c r="AO400" s="187"/>
      <c r="AP400" s="187"/>
    </row>
    <row r="401" spans="1:42" ht="15.75">
      <c r="A401" s="316" t="s">
        <v>1498</v>
      </c>
      <c r="B401" s="317" t="s">
        <v>1685</v>
      </c>
      <c r="C401" s="318" t="s">
        <v>1609</v>
      </c>
      <c r="D401" s="300">
        <v>600</v>
      </c>
      <c r="E401" s="300" t="s">
        <v>2</v>
      </c>
      <c r="F401" s="510">
        <v>52</v>
      </c>
      <c r="G401" s="510">
        <v>39</v>
      </c>
      <c r="H401" s="510">
        <v>32</v>
      </c>
      <c r="I401" s="300"/>
      <c r="J401" s="383"/>
      <c r="K401" s="494"/>
      <c r="L401" s="494"/>
      <c r="M401" s="522">
        <v>4.7305000000000001</v>
      </c>
      <c r="N401" s="534"/>
      <c r="O401" s="524">
        <v>4.7305000000000001</v>
      </c>
      <c r="P401" s="289">
        <f t="shared" si="115"/>
        <v>2838.3</v>
      </c>
      <c r="Q401" s="290">
        <v>0.13625925925925925</v>
      </c>
      <c r="R401" s="333">
        <v>81.755555555555546</v>
      </c>
      <c r="S401" s="334">
        <v>0.1</v>
      </c>
      <c r="T401" s="293">
        <v>0.15329166666666666</v>
      </c>
      <c r="U401" s="294">
        <v>91.974999999999994</v>
      </c>
      <c r="V401" s="295">
        <v>0.2</v>
      </c>
      <c r="W401" s="296">
        <f t="shared" si="116"/>
        <v>7.2776923076923081</v>
      </c>
      <c r="X401" s="296">
        <f t="shared" si="117"/>
        <v>4366.6153846153848</v>
      </c>
      <c r="Y401" s="297">
        <v>0.35</v>
      </c>
      <c r="Z401" s="183"/>
      <c r="AA401" s="183"/>
      <c r="AB401" s="183"/>
      <c r="AC401" s="183"/>
      <c r="AD401" s="10"/>
      <c r="AE401" s="10"/>
      <c r="AF401" s="183"/>
      <c r="AG401" s="183"/>
      <c r="AH401" s="184"/>
      <c r="AI401" s="184"/>
      <c r="AJ401" s="184"/>
      <c r="AK401" s="10"/>
      <c r="AL401" s="183"/>
      <c r="AM401" s="183"/>
      <c r="AN401" s="10"/>
      <c r="AO401" s="187"/>
      <c r="AP401" s="187"/>
    </row>
    <row r="402" spans="1:42" ht="15.75">
      <c r="A402" s="316" t="s">
        <v>1498</v>
      </c>
      <c r="B402" s="317" t="s">
        <v>1686</v>
      </c>
      <c r="C402" s="318" t="s">
        <v>1628</v>
      </c>
      <c r="D402" s="300">
        <v>600</v>
      </c>
      <c r="E402" s="300" t="s">
        <v>2</v>
      </c>
      <c r="F402" s="510">
        <v>52</v>
      </c>
      <c r="G402" s="510">
        <v>39</v>
      </c>
      <c r="H402" s="510">
        <v>60</v>
      </c>
      <c r="I402" s="300"/>
      <c r="J402" s="383"/>
      <c r="K402" s="494"/>
      <c r="L402" s="494"/>
      <c r="M402" s="522">
        <v>1.1734</v>
      </c>
      <c r="N402" s="534"/>
      <c r="O402" s="524">
        <v>1.1734</v>
      </c>
      <c r="P402" s="289">
        <f t="shared" si="115"/>
        <v>704.04</v>
      </c>
      <c r="Q402" s="290">
        <v>0.1772604166666667</v>
      </c>
      <c r="R402" s="333">
        <v>106.35625000000002</v>
      </c>
      <c r="S402" s="334">
        <v>0.1</v>
      </c>
      <c r="T402" s="293">
        <v>0.19941796875000004</v>
      </c>
      <c r="U402" s="294">
        <v>119.65078125000002</v>
      </c>
      <c r="V402" s="295">
        <v>0.2</v>
      </c>
      <c r="W402" s="296">
        <f t="shared" si="116"/>
        <v>1.805230769230769</v>
      </c>
      <c r="X402" s="296">
        <f t="shared" si="117"/>
        <v>1083.1384615384613</v>
      </c>
      <c r="Y402" s="297">
        <v>0.35</v>
      </c>
      <c r="Z402" s="183"/>
      <c r="AA402" s="183"/>
      <c r="AB402" s="183"/>
      <c r="AC402" s="183"/>
      <c r="AD402" s="10"/>
      <c r="AE402" s="10"/>
      <c r="AF402" s="183"/>
      <c r="AG402" s="183"/>
      <c r="AH402" s="184"/>
      <c r="AI402" s="184"/>
      <c r="AJ402" s="184"/>
      <c r="AK402" s="10"/>
      <c r="AL402" s="183"/>
      <c r="AM402" s="183"/>
      <c r="AN402" s="10"/>
      <c r="AO402" s="187"/>
      <c r="AP402" s="187"/>
    </row>
    <row r="403" spans="1:42" ht="15.75">
      <c r="A403" s="316" t="s">
        <v>1498</v>
      </c>
      <c r="B403" s="317" t="s">
        <v>1687</v>
      </c>
      <c r="C403" s="318" t="s">
        <v>1610</v>
      </c>
      <c r="D403" s="300">
        <v>320</v>
      </c>
      <c r="E403" s="300" t="s">
        <v>2</v>
      </c>
      <c r="F403" s="509"/>
      <c r="G403" s="509"/>
      <c r="H403" s="509"/>
      <c r="I403" s="300"/>
      <c r="J403" s="383"/>
      <c r="K403" s="494"/>
      <c r="L403" s="494"/>
      <c r="M403" s="522"/>
      <c r="N403" s="534"/>
      <c r="O403" s="524"/>
      <c r="P403" s="289">
        <f t="shared" si="115"/>
        <v>0</v>
      </c>
      <c r="Q403" s="290">
        <v>0.19999999999999998</v>
      </c>
      <c r="R403" s="333">
        <v>63.999999999999993</v>
      </c>
      <c r="S403" s="334">
        <v>0.1</v>
      </c>
      <c r="T403" s="293">
        <v>0.22499999999999998</v>
      </c>
      <c r="U403" s="294">
        <v>72</v>
      </c>
      <c r="V403" s="295">
        <v>0.2</v>
      </c>
      <c r="W403" s="296">
        <f t="shared" si="116"/>
        <v>0</v>
      </c>
      <c r="X403" s="296">
        <f t="shared" si="117"/>
        <v>0</v>
      </c>
      <c r="Y403" s="297">
        <v>0.35</v>
      </c>
      <c r="Z403" s="183"/>
      <c r="AA403" s="183"/>
      <c r="AB403" s="183"/>
      <c r="AC403" s="183"/>
      <c r="AD403" s="10"/>
      <c r="AE403" s="10"/>
      <c r="AF403" s="183"/>
      <c r="AG403" s="183"/>
      <c r="AH403" s="184"/>
      <c r="AI403" s="184"/>
      <c r="AJ403" s="184"/>
      <c r="AK403" s="10"/>
      <c r="AL403" s="183"/>
      <c r="AM403" s="183"/>
      <c r="AN403" s="10"/>
      <c r="AO403" s="187"/>
      <c r="AP403" s="187"/>
    </row>
    <row r="404" spans="1:42" ht="15.75">
      <c r="A404" s="316" t="s">
        <v>1498</v>
      </c>
      <c r="B404" s="317" t="s">
        <v>1688</v>
      </c>
      <c r="C404" s="318" t="s">
        <v>1627</v>
      </c>
      <c r="D404" s="300">
        <v>320</v>
      </c>
      <c r="E404" s="300" t="s">
        <v>2</v>
      </c>
      <c r="F404" s="509"/>
      <c r="G404" s="509"/>
      <c r="H404" s="509"/>
      <c r="I404" s="300"/>
      <c r="J404" s="383"/>
      <c r="K404" s="494"/>
      <c r="L404" s="494"/>
      <c r="M404" s="522"/>
      <c r="N404" s="534"/>
      <c r="O404" s="524"/>
      <c r="P404" s="289">
        <f t="shared" si="115"/>
        <v>0</v>
      </c>
      <c r="Q404" s="290">
        <v>0.26961458333333332</v>
      </c>
      <c r="R404" s="333">
        <v>86.276666666666671</v>
      </c>
      <c r="S404" s="334">
        <v>0.1</v>
      </c>
      <c r="T404" s="293">
        <v>0.30331640625</v>
      </c>
      <c r="U404" s="294">
        <v>97.061250000000001</v>
      </c>
      <c r="V404" s="295">
        <v>0.2</v>
      </c>
      <c r="W404" s="296">
        <f t="shared" si="116"/>
        <v>0</v>
      </c>
      <c r="X404" s="296">
        <f t="shared" si="117"/>
        <v>0</v>
      </c>
      <c r="Y404" s="297">
        <v>0.35</v>
      </c>
      <c r="Z404" s="183"/>
      <c r="AA404" s="183"/>
      <c r="AB404" s="183"/>
      <c r="AC404" s="183"/>
      <c r="AD404" s="10"/>
      <c r="AE404" s="10"/>
      <c r="AF404" s="183"/>
      <c r="AG404" s="183"/>
      <c r="AH404" s="184"/>
      <c r="AI404" s="184"/>
      <c r="AJ404" s="184"/>
      <c r="AK404" s="10"/>
      <c r="AL404" s="183"/>
      <c r="AM404" s="183"/>
      <c r="AN404" s="10"/>
      <c r="AO404" s="187"/>
      <c r="AP404" s="187"/>
    </row>
    <row r="405" spans="1:42" ht="15.75">
      <c r="A405" s="316" t="s">
        <v>1498</v>
      </c>
      <c r="B405" s="317" t="s">
        <v>1689</v>
      </c>
      <c r="C405" s="318" t="s">
        <v>1611</v>
      </c>
      <c r="D405" s="300">
        <v>160</v>
      </c>
      <c r="E405" s="300" t="s">
        <v>2</v>
      </c>
      <c r="F405" s="509"/>
      <c r="G405" s="509"/>
      <c r="H405" s="509"/>
      <c r="I405" s="300"/>
      <c r="J405" s="383"/>
      <c r="K405" s="494"/>
      <c r="L405" s="494"/>
      <c r="M405" s="522"/>
      <c r="N405" s="534"/>
      <c r="O405" s="524"/>
      <c r="P405" s="289">
        <f t="shared" si="115"/>
        <v>0</v>
      </c>
      <c r="Q405" s="290">
        <v>0.46438888888888885</v>
      </c>
      <c r="R405" s="333">
        <v>74.302222222222213</v>
      </c>
      <c r="S405" s="334">
        <v>0.1</v>
      </c>
      <c r="T405" s="293">
        <v>0.5224375</v>
      </c>
      <c r="U405" s="294">
        <v>83.59</v>
      </c>
      <c r="V405" s="295">
        <v>0.2</v>
      </c>
      <c r="W405" s="296">
        <f t="shared" si="116"/>
        <v>0</v>
      </c>
      <c r="X405" s="296">
        <f t="shared" si="117"/>
        <v>0</v>
      </c>
      <c r="Y405" s="297">
        <v>0.35</v>
      </c>
      <c r="Z405" s="183"/>
      <c r="AA405" s="183"/>
      <c r="AB405" s="183"/>
      <c r="AC405" s="183"/>
      <c r="AD405" s="10"/>
      <c r="AE405" s="10"/>
      <c r="AF405" s="183"/>
      <c r="AG405" s="183"/>
      <c r="AH405" s="184"/>
      <c r="AI405" s="184"/>
      <c r="AJ405" s="184"/>
      <c r="AK405" s="10"/>
      <c r="AL405" s="183"/>
      <c r="AM405" s="183"/>
      <c r="AN405" s="10"/>
      <c r="AO405" s="187"/>
      <c r="AP405" s="187"/>
    </row>
    <row r="406" spans="1:42" ht="15.75">
      <c r="A406" s="316" t="s">
        <v>1498</v>
      </c>
      <c r="B406" s="317" t="s">
        <v>1690</v>
      </c>
      <c r="C406" s="318" t="s">
        <v>1612</v>
      </c>
      <c r="D406" s="300">
        <v>60</v>
      </c>
      <c r="E406" s="300" t="s">
        <v>2</v>
      </c>
      <c r="F406" s="509"/>
      <c r="G406" s="509"/>
      <c r="H406" s="509"/>
      <c r="I406" s="300"/>
      <c r="J406" s="383"/>
      <c r="K406" s="494"/>
      <c r="L406" s="494"/>
      <c r="M406" s="522"/>
      <c r="N406" s="534"/>
      <c r="O406" s="524"/>
      <c r="P406" s="289">
        <f t="shared" si="115"/>
        <v>0</v>
      </c>
      <c r="Q406" s="290">
        <v>0.93333333333333324</v>
      </c>
      <c r="R406" s="333">
        <v>55.999999999999993</v>
      </c>
      <c r="S406" s="334">
        <v>0.1</v>
      </c>
      <c r="T406" s="293">
        <v>1.0499999999999998</v>
      </c>
      <c r="U406" s="294">
        <v>62.999999999999986</v>
      </c>
      <c r="V406" s="295">
        <v>0.2</v>
      </c>
      <c r="W406" s="296">
        <f t="shared" si="116"/>
        <v>0</v>
      </c>
      <c r="X406" s="296">
        <f t="shared" si="117"/>
        <v>0</v>
      </c>
      <c r="Y406" s="297">
        <v>0.35</v>
      </c>
      <c r="Z406" s="183"/>
      <c r="AA406" s="183"/>
      <c r="AB406" s="183"/>
      <c r="AC406" s="183"/>
      <c r="AD406" s="10"/>
      <c r="AE406" s="10"/>
      <c r="AF406" s="183"/>
      <c r="AG406" s="183"/>
      <c r="AH406" s="184"/>
      <c r="AI406" s="184"/>
      <c r="AJ406" s="184"/>
      <c r="AK406" s="10"/>
      <c r="AL406" s="183"/>
      <c r="AM406" s="183"/>
      <c r="AN406" s="10"/>
      <c r="AO406" s="187"/>
      <c r="AP406" s="187"/>
    </row>
    <row r="407" spans="1:42" ht="15.75">
      <c r="A407" s="316" t="s">
        <v>1498</v>
      </c>
      <c r="B407" s="317" t="s">
        <v>2042</v>
      </c>
      <c r="C407" s="318" t="s">
        <v>1613</v>
      </c>
      <c r="D407" s="300">
        <v>500</v>
      </c>
      <c r="E407" s="300" t="s">
        <v>2</v>
      </c>
      <c r="F407" s="509"/>
      <c r="G407" s="509"/>
      <c r="H407" s="509"/>
      <c r="I407" s="300"/>
      <c r="J407" s="383"/>
      <c r="K407" s="494"/>
      <c r="L407" s="494"/>
      <c r="M407" s="522"/>
      <c r="N407" s="534"/>
      <c r="O407" s="524"/>
      <c r="P407" s="289">
        <f t="shared" si="115"/>
        <v>0</v>
      </c>
      <c r="Q407" s="290">
        <v>0.15555555555555556</v>
      </c>
      <c r="R407" s="333">
        <v>77.777777777777786</v>
      </c>
      <c r="S407" s="334">
        <v>0.1</v>
      </c>
      <c r="T407" s="293">
        <v>0.17500000000000002</v>
      </c>
      <c r="U407" s="294">
        <v>87.500000000000014</v>
      </c>
      <c r="V407" s="295">
        <v>0.2</v>
      </c>
      <c r="W407" s="296">
        <f t="shared" si="116"/>
        <v>0</v>
      </c>
      <c r="X407" s="296">
        <f t="shared" si="117"/>
        <v>0</v>
      </c>
      <c r="Y407" s="297">
        <v>0.35</v>
      </c>
      <c r="Z407" s="183"/>
      <c r="AA407" s="183"/>
      <c r="AB407" s="183"/>
      <c r="AC407" s="183"/>
      <c r="AD407" s="10"/>
      <c r="AE407" s="10"/>
      <c r="AF407" s="183"/>
      <c r="AG407" s="183"/>
      <c r="AH407" s="184"/>
      <c r="AI407" s="184"/>
      <c r="AJ407" s="184"/>
      <c r="AK407" s="10"/>
      <c r="AL407" s="183"/>
      <c r="AM407" s="183"/>
      <c r="AN407" s="10"/>
      <c r="AO407" s="187"/>
      <c r="AP407" s="187"/>
    </row>
    <row r="408" spans="1:42" ht="15.75">
      <c r="A408" s="316" t="s">
        <v>1498</v>
      </c>
      <c r="B408" s="317" t="s">
        <v>1691</v>
      </c>
      <c r="C408" s="318" t="s">
        <v>1614</v>
      </c>
      <c r="D408" s="300">
        <v>340</v>
      </c>
      <c r="E408" s="300" t="s">
        <v>2</v>
      </c>
      <c r="F408" s="509"/>
      <c r="G408" s="509"/>
      <c r="H408" s="509"/>
      <c r="I408" s="300"/>
      <c r="J408" s="383"/>
      <c r="K408" s="494"/>
      <c r="L408" s="494"/>
      <c r="M408" s="522"/>
      <c r="N408" s="534"/>
      <c r="O408" s="524"/>
      <c r="P408" s="289">
        <f t="shared" si="115"/>
        <v>0</v>
      </c>
      <c r="Q408" s="290">
        <v>0.32712418300653595</v>
      </c>
      <c r="R408" s="333">
        <v>111.22222222222223</v>
      </c>
      <c r="S408" s="334">
        <v>0.1</v>
      </c>
      <c r="T408" s="293">
        <v>0.36801470588235297</v>
      </c>
      <c r="U408" s="294">
        <v>125.12500000000001</v>
      </c>
      <c r="V408" s="295">
        <v>0.2</v>
      </c>
      <c r="W408" s="296">
        <f t="shared" si="116"/>
        <v>0</v>
      </c>
      <c r="X408" s="296">
        <f t="shared" si="117"/>
        <v>0</v>
      </c>
      <c r="Y408" s="297">
        <v>0.35</v>
      </c>
      <c r="Z408" s="183"/>
      <c r="AA408" s="183"/>
      <c r="AB408" s="183"/>
      <c r="AC408" s="183"/>
      <c r="AD408" s="10"/>
      <c r="AE408" s="10"/>
      <c r="AF408" s="183"/>
      <c r="AG408" s="183"/>
      <c r="AH408" s="184"/>
      <c r="AI408" s="184"/>
      <c r="AJ408" s="184"/>
      <c r="AK408" s="10"/>
      <c r="AL408" s="183"/>
      <c r="AM408" s="183"/>
      <c r="AN408" s="10"/>
      <c r="AO408" s="187"/>
      <c r="AP408" s="187"/>
    </row>
    <row r="409" spans="1:42" ht="15.75">
      <c r="A409" s="316" t="s">
        <v>1498</v>
      </c>
      <c r="B409" s="317" t="s">
        <v>1692</v>
      </c>
      <c r="C409" s="318" t="s">
        <v>1615</v>
      </c>
      <c r="D409" s="300">
        <v>96</v>
      </c>
      <c r="E409" s="300" t="s">
        <v>2</v>
      </c>
      <c r="F409" s="509"/>
      <c r="G409" s="509"/>
      <c r="H409" s="509"/>
      <c r="I409" s="300"/>
      <c r="J409" s="383"/>
      <c r="K409" s="494"/>
      <c r="L409" s="494"/>
      <c r="M409" s="522"/>
      <c r="N409" s="534"/>
      <c r="O409" s="524"/>
      <c r="P409" s="289">
        <f t="shared" si="115"/>
        <v>0</v>
      </c>
      <c r="Q409" s="290">
        <v>0.83552083333333338</v>
      </c>
      <c r="R409" s="333">
        <v>80.210000000000008</v>
      </c>
      <c r="S409" s="334">
        <v>0.1</v>
      </c>
      <c r="T409" s="293">
        <v>0.93996093750000009</v>
      </c>
      <c r="U409" s="294">
        <v>90.236250000000013</v>
      </c>
      <c r="V409" s="295">
        <v>0.2</v>
      </c>
      <c r="W409" s="296">
        <f t="shared" si="116"/>
        <v>0</v>
      </c>
      <c r="X409" s="296">
        <f t="shared" si="117"/>
        <v>0</v>
      </c>
      <c r="Y409" s="297">
        <v>0.35</v>
      </c>
      <c r="Z409" s="183"/>
      <c r="AA409" s="183"/>
      <c r="AB409" s="183"/>
      <c r="AC409" s="183"/>
      <c r="AD409" s="10"/>
      <c r="AE409" s="10"/>
      <c r="AF409" s="183"/>
      <c r="AG409" s="183"/>
      <c r="AH409" s="184"/>
      <c r="AI409" s="184"/>
      <c r="AJ409" s="184"/>
      <c r="AK409" s="10"/>
      <c r="AL409" s="183"/>
      <c r="AM409" s="183"/>
      <c r="AN409" s="10"/>
      <c r="AO409" s="187"/>
      <c r="AP409" s="187"/>
    </row>
    <row r="410" spans="1:42" ht="15.75">
      <c r="A410" s="360" t="s">
        <v>1498</v>
      </c>
      <c r="B410" s="361" t="s">
        <v>1669</v>
      </c>
      <c r="C410" s="362" t="s">
        <v>1670</v>
      </c>
      <c r="D410" s="363">
        <v>100</v>
      </c>
      <c r="E410" s="363" t="s">
        <v>2</v>
      </c>
      <c r="F410" s="509"/>
      <c r="G410" s="509"/>
      <c r="H410" s="509"/>
      <c r="I410" s="361"/>
      <c r="J410" s="361"/>
      <c r="K410" s="497"/>
      <c r="L410" s="497"/>
      <c r="M410" s="522"/>
      <c r="N410" s="534"/>
      <c r="O410" s="524"/>
      <c r="P410" s="364">
        <f t="shared" si="115"/>
        <v>0</v>
      </c>
      <c r="Q410" s="364">
        <f>R410/D410</f>
        <v>0</v>
      </c>
      <c r="R410" s="364">
        <f>P410/S410</f>
        <v>0</v>
      </c>
      <c r="S410" s="334">
        <v>0.5</v>
      </c>
      <c r="T410" s="364">
        <f>U410/100</f>
        <v>0</v>
      </c>
      <c r="U410" s="364">
        <f>P410/0.75</f>
        <v>0</v>
      </c>
      <c r="V410" s="336">
        <v>0.25</v>
      </c>
      <c r="W410" s="296">
        <f t="shared" si="116"/>
        <v>0</v>
      </c>
      <c r="X410" s="296">
        <f>P410/0.65</f>
        <v>0</v>
      </c>
      <c r="Y410" s="297">
        <v>0.35</v>
      </c>
      <c r="Z410" s="183"/>
      <c r="AA410" s="183"/>
      <c r="AB410" s="183"/>
      <c r="AC410" s="183"/>
      <c r="AD410" s="10"/>
      <c r="AE410" s="10"/>
      <c r="AF410" s="183"/>
      <c r="AG410" s="183"/>
      <c r="AH410" s="184"/>
      <c r="AI410" s="184"/>
      <c r="AJ410" s="184"/>
      <c r="AK410" s="10"/>
      <c r="AL410" s="183"/>
      <c r="AM410" s="183"/>
      <c r="AN410" s="10"/>
      <c r="AO410" s="187"/>
      <c r="AP410" s="187"/>
    </row>
    <row r="411" spans="1:42" ht="15.75">
      <c r="A411" s="365" t="s">
        <v>1498</v>
      </c>
      <c r="B411" s="366" t="s">
        <v>1671</v>
      </c>
      <c r="C411" s="367" t="s">
        <v>1517</v>
      </c>
      <c r="D411" s="368">
        <v>120</v>
      </c>
      <c r="E411" s="369" t="s">
        <v>2</v>
      </c>
      <c r="F411" s="509"/>
      <c r="G411" s="509"/>
      <c r="H411" s="509"/>
      <c r="I411" s="369"/>
      <c r="J411" s="369"/>
      <c r="K411" s="369"/>
      <c r="L411" s="369"/>
      <c r="M411" s="522"/>
      <c r="N411" s="534"/>
      <c r="O411" s="524"/>
      <c r="P411" s="370">
        <v>55.2</v>
      </c>
      <c r="Q411" s="370">
        <f>P411*1.3</f>
        <v>71.760000000000005</v>
      </c>
      <c r="R411" s="370"/>
      <c r="S411" s="334"/>
      <c r="T411" s="370">
        <v>0.57999999999999996</v>
      </c>
      <c r="U411" s="370">
        <v>69</v>
      </c>
      <c r="V411" s="336"/>
      <c r="W411" s="296"/>
      <c r="X411" s="296"/>
      <c r="Y411" s="337"/>
      <c r="Z411" s="183"/>
      <c r="AA411" s="183"/>
      <c r="AB411" s="183"/>
      <c r="AC411" s="183"/>
      <c r="AD411" s="10"/>
      <c r="AE411" s="10"/>
      <c r="AF411" s="183"/>
      <c r="AG411" s="183"/>
      <c r="AH411" s="184"/>
      <c r="AI411" s="184"/>
      <c r="AJ411" s="184"/>
      <c r="AK411" s="10"/>
      <c r="AL411" s="183"/>
      <c r="AM411" s="183"/>
      <c r="AN411" s="10"/>
      <c r="AO411" s="187"/>
      <c r="AP411" s="187"/>
    </row>
    <row r="412" spans="1:42" ht="15.75">
      <c r="A412" s="365" t="s">
        <v>1498</v>
      </c>
      <c r="B412" s="366" t="s">
        <v>2056</v>
      </c>
      <c r="C412" s="367" t="s">
        <v>2063</v>
      </c>
      <c r="D412" s="368">
        <v>600</v>
      </c>
      <c r="E412" s="369" t="s">
        <v>2</v>
      </c>
      <c r="F412" s="509"/>
      <c r="G412" s="509"/>
      <c r="H412" s="509"/>
      <c r="I412" s="369"/>
      <c r="J412" s="369"/>
      <c r="K412" s="369"/>
      <c r="L412" s="369"/>
      <c r="M412" s="522"/>
      <c r="N412" s="534"/>
      <c r="O412" s="524"/>
      <c r="P412" s="370">
        <v>81.62</v>
      </c>
      <c r="Q412" s="370"/>
      <c r="R412" s="370"/>
      <c r="S412" s="431"/>
      <c r="T412" s="370">
        <v>0.18137777777777778</v>
      </c>
      <c r="U412" s="370">
        <v>108.82666666666667</v>
      </c>
      <c r="V412" s="432">
        <v>0.25</v>
      </c>
      <c r="W412" s="345">
        <f t="shared" ref="W412:W421" si="118">X412/D412</f>
        <v>0.2092820512820513</v>
      </c>
      <c r="X412" s="345">
        <f>P412/0.65</f>
        <v>125.56923076923077</v>
      </c>
      <c r="Y412" s="433">
        <v>0.35</v>
      </c>
      <c r="Z412" s="183"/>
      <c r="AA412" s="183"/>
      <c r="AB412" s="183"/>
      <c r="AC412" s="183"/>
      <c r="AD412" s="10"/>
      <c r="AE412" s="10"/>
      <c r="AF412" s="183"/>
      <c r="AG412" s="183"/>
      <c r="AH412" s="184"/>
      <c r="AI412" s="184"/>
      <c r="AJ412" s="184"/>
      <c r="AK412" s="10"/>
      <c r="AL412" s="183"/>
      <c r="AM412" s="183"/>
      <c r="AN412" s="10"/>
      <c r="AO412" s="187"/>
      <c r="AP412" s="187"/>
    </row>
    <row r="413" spans="1:42" ht="15.75">
      <c r="A413" s="365" t="s">
        <v>1498</v>
      </c>
      <c r="B413" s="366" t="s">
        <v>2057</v>
      </c>
      <c r="C413" s="367" t="s">
        <v>2064</v>
      </c>
      <c r="D413" s="368">
        <v>320</v>
      </c>
      <c r="E413" s="369" t="s">
        <v>2</v>
      </c>
      <c r="F413" s="509"/>
      <c r="G413" s="509"/>
      <c r="H413" s="509"/>
      <c r="I413" s="369"/>
      <c r="J413" s="369"/>
      <c r="K413" s="369"/>
      <c r="L413" s="369"/>
      <c r="M413" s="522"/>
      <c r="N413" s="534"/>
      <c r="O413" s="524"/>
      <c r="P413" s="370">
        <v>68.36</v>
      </c>
      <c r="Q413" s="370"/>
      <c r="R413" s="370"/>
      <c r="S413" s="431"/>
      <c r="T413" s="370">
        <v>0.28483333333333333</v>
      </c>
      <c r="U413" s="370">
        <v>91.146666666666661</v>
      </c>
      <c r="V413" s="432">
        <v>0.25</v>
      </c>
      <c r="W413" s="345">
        <f t="shared" si="118"/>
        <v>0.32865384615384613</v>
      </c>
      <c r="X413" s="345">
        <f t="shared" ref="X413:X421" si="119">P413/0.65</f>
        <v>105.16923076923077</v>
      </c>
      <c r="Y413" s="433">
        <v>0.35</v>
      </c>
      <c r="Z413" s="183"/>
      <c r="AA413" s="183"/>
      <c r="AB413" s="183"/>
      <c r="AC413" s="183"/>
      <c r="AD413" s="10"/>
      <c r="AE413" s="10"/>
      <c r="AF413" s="183"/>
      <c r="AG413" s="183"/>
      <c r="AH413" s="184"/>
      <c r="AI413" s="184"/>
      <c r="AJ413" s="184"/>
      <c r="AK413" s="10"/>
      <c r="AL413" s="183"/>
      <c r="AM413" s="183"/>
      <c r="AN413" s="10"/>
      <c r="AO413" s="187"/>
      <c r="AP413" s="187"/>
    </row>
    <row r="414" spans="1:42" ht="15.75">
      <c r="A414" s="365" t="s">
        <v>1498</v>
      </c>
      <c r="B414" s="366" t="s">
        <v>2074</v>
      </c>
      <c r="C414" s="367" t="s">
        <v>2075</v>
      </c>
      <c r="D414" s="368">
        <v>80</v>
      </c>
      <c r="E414" s="369" t="s">
        <v>2</v>
      </c>
      <c r="F414" s="509">
        <v>59</v>
      </c>
      <c r="G414" s="509">
        <v>47</v>
      </c>
      <c r="H414" s="509">
        <v>37</v>
      </c>
      <c r="I414" s="369"/>
      <c r="J414" s="369"/>
      <c r="K414" s="369"/>
      <c r="L414" s="369"/>
      <c r="M414" s="522"/>
      <c r="N414" s="534"/>
      <c r="O414" s="524"/>
      <c r="P414" s="370">
        <v>53.58</v>
      </c>
      <c r="Q414" s="370"/>
      <c r="R414" s="370"/>
      <c r="S414" s="431"/>
      <c r="T414" s="370">
        <v>0.89300000000000002</v>
      </c>
      <c r="U414" s="370">
        <v>71.44</v>
      </c>
      <c r="V414" s="432">
        <v>0.25</v>
      </c>
      <c r="W414" s="345">
        <f t="shared" si="118"/>
        <v>1.0303846153846155</v>
      </c>
      <c r="X414" s="345">
        <f t="shared" si="119"/>
        <v>82.430769230769229</v>
      </c>
      <c r="Y414" s="433">
        <v>0.35</v>
      </c>
      <c r="Z414" s="183"/>
      <c r="AA414" s="183"/>
      <c r="AB414" s="183"/>
      <c r="AC414" s="183"/>
      <c r="AD414" s="10"/>
      <c r="AE414" s="10"/>
      <c r="AF414" s="183"/>
      <c r="AG414" s="183"/>
      <c r="AH414" s="184"/>
      <c r="AI414" s="184"/>
      <c r="AJ414" s="184"/>
      <c r="AK414" s="10"/>
      <c r="AL414" s="183"/>
      <c r="AM414" s="183"/>
      <c r="AN414" s="10"/>
      <c r="AO414" s="187"/>
      <c r="AP414" s="187"/>
    </row>
    <row r="415" spans="1:42" ht="15.75">
      <c r="A415" s="365" t="s">
        <v>1498</v>
      </c>
      <c r="B415" s="366" t="s">
        <v>2058</v>
      </c>
      <c r="C415" s="367" t="s">
        <v>2065</v>
      </c>
      <c r="D415" s="368">
        <v>60</v>
      </c>
      <c r="E415" s="369" t="s">
        <v>2</v>
      </c>
      <c r="F415" s="509"/>
      <c r="G415" s="509"/>
      <c r="H415" s="509"/>
      <c r="I415" s="369"/>
      <c r="J415" s="369"/>
      <c r="K415" s="369"/>
      <c r="L415" s="369"/>
      <c r="M415" s="522"/>
      <c r="N415" s="534"/>
      <c r="O415" s="524"/>
      <c r="P415" s="370">
        <v>57.48</v>
      </c>
      <c r="Q415" s="370"/>
      <c r="R415" s="370"/>
      <c r="S415" s="431"/>
      <c r="T415" s="370">
        <v>1.2773333333333334</v>
      </c>
      <c r="U415" s="370">
        <v>76.64</v>
      </c>
      <c r="V415" s="432">
        <v>0.25</v>
      </c>
      <c r="W415" s="345">
        <f t="shared" si="118"/>
        <v>1.4738461538461538</v>
      </c>
      <c r="X415" s="345">
        <f t="shared" si="119"/>
        <v>88.430769230769229</v>
      </c>
      <c r="Y415" s="433">
        <v>0.35</v>
      </c>
      <c r="Z415" s="183"/>
      <c r="AA415" s="183"/>
      <c r="AB415" s="183"/>
      <c r="AC415" s="183"/>
      <c r="AD415" s="10"/>
      <c r="AE415" s="10"/>
      <c r="AF415" s="183"/>
      <c r="AG415" s="183"/>
      <c r="AH415" s="184"/>
      <c r="AI415" s="184"/>
      <c r="AJ415" s="184"/>
      <c r="AK415" s="10"/>
      <c r="AL415" s="183"/>
      <c r="AM415" s="183"/>
      <c r="AN415" s="10"/>
      <c r="AO415" s="187"/>
      <c r="AP415" s="187"/>
    </row>
    <row r="416" spans="1:42" ht="15.75">
      <c r="A416" s="365" t="s">
        <v>1498</v>
      </c>
      <c r="B416" s="366" t="s">
        <v>2059</v>
      </c>
      <c r="C416" s="367" t="s">
        <v>2066</v>
      </c>
      <c r="D416" s="368">
        <v>40</v>
      </c>
      <c r="E416" s="369" t="s">
        <v>2</v>
      </c>
      <c r="F416" s="520">
        <v>54</v>
      </c>
      <c r="G416" s="509">
        <v>22</v>
      </c>
      <c r="H416" s="509">
        <v>39</v>
      </c>
      <c r="I416" s="369"/>
      <c r="J416" s="369"/>
      <c r="K416" s="369"/>
      <c r="L416" s="369"/>
      <c r="M416" s="522"/>
      <c r="N416" s="534"/>
      <c r="O416" s="524"/>
      <c r="P416" s="370">
        <v>53.12</v>
      </c>
      <c r="Q416" s="370"/>
      <c r="R416" s="370"/>
      <c r="S416" s="431"/>
      <c r="T416" s="370">
        <v>1.7706666666666666</v>
      </c>
      <c r="U416" s="370">
        <v>70.826666666666668</v>
      </c>
      <c r="V416" s="432">
        <v>0.25</v>
      </c>
      <c r="W416" s="345">
        <f t="shared" si="118"/>
        <v>2.043076923076923</v>
      </c>
      <c r="X416" s="345">
        <f t="shared" si="119"/>
        <v>81.723076923076917</v>
      </c>
      <c r="Y416" s="433">
        <v>0.35</v>
      </c>
      <c r="Z416" s="183"/>
      <c r="AA416" s="183"/>
      <c r="AB416" s="183"/>
      <c r="AC416" s="183"/>
      <c r="AD416" s="10"/>
      <c r="AE416" s="10"/>
      <c r="AF416" s="183"/>
      <c r="AG416" s="183"/>
      <c r="AH416" s="184"/>
      <c r="AI416" s="184"/>
      <c r="AJ416" s="184"/>
      <c r="AK416" s="10"/>
      <c r="AL416" s="183"/>
      <c r="AM416" s="183"/>
      <c r="AN416" s="10"/>
      <c r="AO416" s="187"/>
      <c r="AP416" s="187"/>
    </row>
    <row r="417" spans="1:42" ht="15.75">
      <c r="A417" s="365" t="s">
        <v>1498</v>
      </c>
      <c r="B417" s="366" t="s">
        <v>2071</v>
      </c>
      <c r="C417" s="367" t="s">
        <v>2067</v>
      </c>
      <c r="D417" s="368">
        <v>600</v>
      </c>
      <c r="E417" s="369" t="s">
        <v>2</v>
      </c>
      <c r="F417" s="520">
        <v>42</v>
      </c>
      <c r="G417" s="509">
        <v>28</v>
      </c>
      <c r="H417" s="509">
        <v>50</v>
      </c>
      <c r="I417" s="369"/>
      <c r="J417" s="369"/>
      <c r="K417" s="369"/>
      <c r="L417" s="369"/>
      <c r="M417" s="522"/>
      <c r="N417" s="534"/>
      <c r="O417" s="524"/>
      <c r="P417" s="370">
        <v>93.77</v>
      </c>
      <c r="Q417" s="370"/>
      <c r="R417" s="370"/>
      <c r="S417" s="431"/>
      <c r="T417" s="370">
        <v>0.20837777777777777</v>
      </c>
      <c r="U417" s="370">
        <v>125.02666666666666</v>
      </c>
      <c r="V417" s="432">
        <v>0.25</v>
      </c>
      <c r="W417" s="345">
        <f t="shared" si="118"/>
        <v>0.24043589743589744</v>
      </c>
      <c r="X417" s="345">
        <f t="shared" si="119"/>
        <v>144.26153846153846</v>
      </c>
      <c r="Y417" s="433">
        <v>0.35</v>
      </c>
      <c r="Z417" s="183"/>
      <c r="AA417" s="183"/>
      <c r="AB417" s="183"/>
      <c r="AC417" s="183"/>
      <c r="AD417" s="10"/>
      <c r="AE417" s="10"/>
      <c r="AF417" s="183"/>
      <c r="AG417" s="183"/>
      <c r="AH417" s="184"/>
      <c r="AI417" s="184"/>
      <c r="AJ417" s="184"/>
      <c r="AK417" s="10"/>
      <c r="AL417" s="183"/>
      <c r="AM417" s="183"/>
      <c r="AN417" s="10"/>
      <c r="AO417" s="187"/>
      <c r="AP417" s="187"/>
    </row>
    <row r="418" spans="1:42" ht="15.75">
      <c r="A418" s="365" t="s">
        <v>1498</v>
      </c>
      <c r="B418" s="366" t="s">
        <v>2072</v>
      </c>
      <c r="C418" s="367" t="s">
        <v>2073</v>
      </c>
      <c r="D418" s="368">
        <v>160</v>
      </c>
      <c r="E418" s="369" t="s">
        <v>2</v>
      </c>
      <c r="F418" s="520">
        <v>36</v>
      </c>
      <c r="G418" s="509">
        <v>36</v>
      </c>
      <c r="H418" s="509">
        <v>42</v>
      </c>
      <c r="I418" s="369"/>
      <c r="J418" s="369"/>
      <c r="K418" s="369"/>
      <c r="L418" s="369"/>
      <c r="M418" s="522"/>
      <c r="N418" s="534"/>
      <c r="O418" s="524"/>
      <c r="P418" s="370">
        <v>69.98</v>
      </c>
      <c r="Q418" s="370"/>
      <c r="R418" s="370"/>
      <c r="S418" s="431"/>
      <c r="T418" s="370">
        <v>0.58316666666666672</v>
      </c>
      <c r="U418" s="370">
        <v>93.306666666666672</v>
      </c>
      <c r="V418" s="432">
        <v>0.25</v>
      </c>
      <c r="W418" s="345">
        <f t="shared" si="118"/>
        <v>0.67288461538461541</v>
      </c>
      <c r="X418" s="345">
        <f t="shared" si="119"/>
        <v>107.66153846153847</v>
      </c>
      <c r="Y418" s="433">
        <v>0.35</v>
      </c>
      <c r="Z418" s="183"/>
      <c r="AA418" s="183"/>
      <c r="AB418" s="183"/>
      <c r="AC418" s="183"/>
      <c r="AD418" s="10"/>
      <c r="AE418" s="10"/>
      <c r="AF418" s="183"/>
      <c r="AG418" s="183"/>
      <c r="AH418" s="184"/>
      <c r="AI418" s="184"/>
      <c r="AJ418" s="184"/>
      <c r="AK418" s="10"/>
      <c r="AL418" s="183"/>
      <c r="AM418" s="183"/>
      <c r="AN418" s="10"/>
      <c r="AO418" s="187"/>
      <c r="AP418" s="187"/>
    </row>
    <row r="419" spans="1:42" ht="15.75">
      <c r="A419" s="365" t="s">
        <v>1498</v>
      </c>
      <c r="B419" s="366" t="s">
        <v>2060</v>
      </c>
      <c r="C419" s="367" t="s">
        <v>2068</v>
      </c>
      <c r="D419" s="368">
        <v>320</v>
      </c>
      <c r="E419" s="369" t="s">
        <v>2</v>
      </c>
      <c r="F419" s="520">
        <v>38</v>
      </c>
      <c r="G419" s="509">
        <v>38</v>
      </c>
      <c r="H419" s="509">
        <v>44</v>
      </c>
      <c r="I419" s="369"/>
      <c r="J419" s="369"/>
      <c r="K419" s="369"/>
      <c r="L419" s="369"/>
      <c r="M419" s="522"/>
      <c r="N419" s="534"/>
      <c r="O419" s="524"/>
      <c r="P419" s="370">
        <v>77.38</v>
      </c>
      <c r="Q419" s="370"/>
      <c r="R419" s="370"/>
      <c r="S419" s="431"/>
      <c r="T419" s="370">
        <v>0.32241666666666668</v>
      </c>
      <c r="U419" s="370">
        <v>103.17333333333333</v>
      </c>
      <c r="V419" s="432">
        <v>0.25</v>
      </c>
      <c r="W419" s="345">
        <f t="shared" si="118"/>
        <v>0.37201923076923071</v>
      </c>
      <c r="X419" s="345">
        <f t="shared" si="119"/>
        <v>119.04615384615383</v>
      </c>
      <c r="Y419" s="433">
        <v>0.35</v>
      </c>
      <c r="Z419" s="183"/>
      <c r="AA419" s="183"/>
      <c r="AB419" s="183"/>
      <c r="AC419" s="183"/>
      <c r="AD419" s="10"/>
      <c r="AE419" s="10"/>
      <c r="AF419" s="183"/>
      <c r="AG419" s="183"/>
      <c r="AH419" s="184"/>
      <c r="AI419" s="184"/>
      <c r="AJ419" s="184"/>
      <c r="AK419" s="10"/>
      <c r="AL419" s="183"/>
      <c r="AM419" s="183"/>
      <c r="AN419" s="10"/>
      <c r="AO419" s="187"/>
      <c r="AP419" s="187"/>
    </row>
    <row r="420" spans="1:42" ht="15.75">
      <c r="A420" s="365" t="s">
        <v>1498</v>
      </c>
      <c r="B420" s="366" t="s">
        <v>2061</v>
      </c>
      <c r="C420" s="367" t="s">
        <v>2069</v>
      </c>
      <c r="D420" s="368">
        <v>300</v>
      </c>
      <c r="E420" s="369" t="s">
        <v>2</v>
      </c>
      <c r="F420" s="520">
        <v>50</v>
      </c>
      <c r="G420" s="509">
        <v>26</v>
      </c>
      <c r="H420" s="509">
        <v>51</v>
      </c>
      <c r="I420" s="369"/>
      <c r="J420" s="369"/>
      <c r="K420" s="369"/>
      <c r="L420" s="369"/>
      <c r="M420" s="522"/>
      <c r="N420" s="534"/>
      <c r="O420" s="524"/>
      <c r="P420" s="370">
        <v>68.44</v>
      </c>
      <c r="Q420" s="370"/>
      <c r="R420" s="370"/>
      <c r="S420" s="431"/>
      <c r="T420" s="370">
        <v>0.30417777777777777</v>
      </c>
      <c r="U420" s="370">
        <v>91.25333333333333</v>
      </c>
      <c r="V420" s="432">
        <v>0.25</v>
      </c>
      <c r="W420" s="345">
        <f t="shared" si="118"/>
        <v>0.35097435897435897</v>
      </c>
      <c r="X420" s="345">
        <f t="shared" si="119"/>
        <v>105.29230769230769</v>
      </c>
      <c r="Y420" s="433">
        <v>0.35</v>
      </c>
      <c r="Z420" s="183"/>
      <c r="AA420" s="183"/>
      <c r="AB420" s="183"/>
      <c r="AC420" s="183"/>
      <c r="AD420" s="10"/>
      <c r="AE420" s="10"/>
      <c r="AF420" s="183"/>
      <c r="AG420" s="183"/>
      <c r="AH420" s="184"/>
      <c r="AI420" s="184"/>
      <c r="AJ420" s="184"/>
      <c r="AK420" s="10"/>
      <c r="AL420" s="183"/>
      <c r="AM420" s="183"/>
      <c r="AN420" s="10"/>
      <c r="AO420" s="187"/>
      <c r="AP420" s="187"/>
    </row>
    <row r="421" spans="1:42" ht="15.75">
      <c r="A421" s="365" t="s">
        <v>1498</v>
      </c>
      <c r="B421" s="366" t="s">
        <v>2062</v>
      </c>
      <c r="C421" s="367" t="s">
        <v>2070</v>
      </c>
      <c r="D421" s="368">
        <v>160</v>
      </c>
      <c r="E421" s="369" t="s">
        <v>2</v>
      </c>
      <c r="F421" s="520">
        <v>37</v>
      </c>
      <c r="G421" s="509">
        <v>37</v>
      </c>
      <c r="H421" s="509">
        <v>44</v>
      </c>
      <c r="I421" s="369"/>
      <c r="J421" s="369"/>
      <c r="K421" s="369"/>
      <c r="L421" s="369"/>
      <c r="M421" s="522"/>
      <c r="N421" s="534"/>
      <c r="O421" s="524"/>
      <c r="P421" s="370">
        <v>62.46</v>
      </c>
      <c r="Q421" s="370"/>
      <c r="R421" s="370"/>
      <c r="S421" s="431"/>
      <c r="T421" s="370">
        <v>0.52049999999999996</v>
      </c>
      <c r="U421" s="370">
        <v>83.28</v>
      </c>
      <c r="V421" s="432">
        <v>0.25</v>
      </c>
      <c r="W421" s="345">
        <f t="shared" si="118"/>
        <v>0.60057692307692301</v>
      </c>
      <c r="X421" s="345">
        <f t="shared" si="119"/>
        <v>96.092307692307685</v>
      </c>
      <c r="Y421" s="433">
        <v>0.35</v>
      </c>
      <c r="Z421" s="183"/>
      <c r="AA421" s="183"/>
      <c r="AB421" s="183"/>
      <c r="AC421" s="183"/>
      <c r="AD421" s="10"/>
      <c r="AE421" s="10"/>
      <c r="AF421" s="183"/>
      <c r="AG421" s="183"/>
      <c r="AH421" s="184"/>
      <c r="AI421" s="184"/>
      <c r="AJ421" s="184"/>
      <c r="AK421" s="10"/>
      <c r="AL421" s="183"/>
      <c r="AM421" s="183"/>
      <c r="AN421" s="10"/>
      <c r="AO421" s="187"/>
      <c r="AP421" s="187"/>
    </row>
    <row r="422" spans="1:42" ht="15.75">
      <c r="A422" s="365" t="s">
        <v>1498</v>
      </c>
      <c r="B422" s="366"/>
      <c r="C422" s="367"/>
      <c r="D422" s="368"/>
      <c r="E422" s="369"/>
      <c r="F422" s="523"/>
      <c r="G422" s="519"/>
      <c r="H422" s="517"/>
      <c r="I422" s="369"/>
      <c r="J422" s="369"/>
      <c r="K422" s="369"/>
      <c r="L422" s="369"/>
      <c r="M422" s="522"/>
      <c r="N422" s="536"/>
      <c r="O422" s="524"/>
      <c r="P422" s="370"/>
      <c r="Q422" s="370"/>
      <c r="R422" s="370"/>
      <c r="S422" s="431"/>
      <c r="T422" s="370"/>
      <c r="U422" s="370"/>
      <c r="V422" s="432"/>
      <c r="W422" s="345"/>
      <c r="X422" s="345"/>
      <c r="Y422" s="433"/>
      <c r="Z422" s="183"/>
      <c r="AA422" s="183"/>
      <c r="AB422" s="183"/>
      <c r="AC422" s="183"/>
      <c r="AD422" s="10"/>
      <c r="AE422" s="10"/>
      <c r="AF422" s="183"/>
      <c r="AG422" s="183"/>
      <c r="AH422" s="184"/>
      <c r="AI422" s="184"/>
      <c r="AJ422" s="184"/>
      <c r="AK422" s="10"/>
      <c r="AL422" s="183"/>
      <c r="AM422" s="183"/>
      <c r="AN422" s="10"/>
      <c r="AO422" s="187"/>
      <c r="AP422" s="187"/>
    </row>
    <row r="423" spans="1:42" ht="15.75">
      <c r="A423" s="365"/>
      <c r="B423" s="366"/>
      <c r="C423" s="367"/>
      <c r="D423" s="368"/>
      <c r="E423" s="369"/>
      <c r="F423" s="523"/>
      <c r="G423" s="518"/>
      <c r="H423" s="517"/>
      <c r="I423" s="369"/>
      <c r="J423" s="369"/>
      <c r="K423" s="369"/>
      <c r="L423" s="369"/>
      <c r="M423" s="522"/>
      <c r="N423" s="536"/>
      <c r="O423" s="524"/>
      <c r="P423" s="370"/>
      <c r="Q423" s="370"/>
      <c r="R423" s="370"/>
      <c r="S423" s="431"/>
      <c r="T423" s="370"/>
      <c r="U423" s="370"/>
      <c r="V423" s="432"/>
      <c r="W423" s="345"/>
      <c r="X423" s="345"/>
      <c r="Y423" s="433"/>
      <c r="Z423" s="183"/>
      <c r="AA423" s="183"/>
      <c r="AB423" s="183"/>
      <c r="AC423" s="183"/>
      <c r="AD423" s="10"/>
      <c r="AE423" s="10"/>
      <c r="AF423" s="183"/>
      <c r="AG423" s="183"/>
      <c r="AH423" s="184"/>
      <c r="AI423" s="184"/>
      <c r="AJ423" s="184"/>
      <c r="AK423" s="10"/>
      <c r="AL423" s="183"/>
      <c r="AM423" s="183"/>
      <c r="AN423" s="10"/>
      <c r="AO423" s="187"/>
      <c r="AP423" s="187"/>
    </row>
    <row r="424" spans="1:42" ht="15.75">
      <c r="A424" s="316"/>
      <c r="B424" s="317"/>
      <c r="C424" s="318"/>
      <c r="D424" s="300"/>
      <c r="E424" s="300"/>
      <c r="F424" s="513"/>
      <c r="G424" s="513"/>
      <c r="H424" s="513"/>
      <c r="I424" s="300"/>
      <c r="J424" s="383"/>
      <c r="K424" s="494"/>
      <c r="L424" s="494"/>
      <c r="M424" s="522"/>
      <c r="N424" s="536"/>
      <c r="O424" s="524"/>
      <c r="P424" s="289"/>
      <c r="Q424" s="290"/>
      <c r="R424" s="333"/>
      <c r="S424" s="334"/>
      <c r="T424" s="293"/>
      <c r="U424" s="335"/>
      <c r="V424" s="336"/>
      <c r="W424" s="296"/>
      <c r="X424" s="296"/>
      <c r="Y424" s="337"/>
      <c r="Z424" s="183"/>
      <c r="AA424" s="183"/>
      <c r="AB424" s="183"/>
      <c r="AC424" s="183"/>
      <c r="AD424" s="10"/>
      <c r="AE424" s="10"/>
      <c r="AF424" s="183"/>
      <c r="AG424" s="183"/>
      <c r="AH424" s="184"/>
      <c r="AI424" s="184"/>
      <c r="AJ424" s="184"/>
      <c r="AK424" s="10"/>
      <c r="AL424" s="183"/>
      <c r="AM424" s="183"/>
      <c r="AN424" s="10"/>
      <c r="AO424" s="187"/>
      <c r="AP424" s="187"/>
    </row>
    <row r="425" spans="1:42" ht="15.75">
      <c r="D425"/>
      <c r="E425"/>
      <c r="F425" s="512"/>
      <c r="G425" s="511"/>
      <c r="H425" s="512"/>
      <c r="I425"/>
      <c r="J425"/>
      <c r="K425"/>
      <c r="L425"/>
      <c r="M425" s="522"/>
      <c r="N425" s="537"/>
      <c r="O425" s="526"/>
      <c r="P425"/>
      <c r="Q425"/>
      <c r="R425"/>
      <c r="S425"/>
      <c r="T425"/>
      <c r="U425"/>
      <c r="V425"/>
      <c r="W425"/>
      <c r="X425"/>
      <c r="Y425"/>
      <c r="Z425"/>
      <c r="AA425"/>
      <c r="AB425"/>
      <c r="AC425"/>
      <c r="AF425"/>
      <c r="AG425"/>
      <c r="AH425"/>
      <c r="AI425"/>
      <c r="AJ425"/>
    </row>
    <row r="426" spans="1:42" ht="30">
      <c r="A426" s="10"/>
      <c r="B426" s="143" t="s">
        <v>344</v>
      </c>
      <c r="C426" s="143" t="s">
        <v>345</v>
      </c>
      <c r="D426" s="161" t="s">
        <v>358</v>
      </c>
      <c r="E426" s="161" t="s">
        <v>902</v>
      </c>
      <c r="F426" s="512"/>
      <c r="G426" s="512"/>
      <c r="H426" s="511"/>
      <c r="I426" s="162" t="s">
        <v>915</v>
      </c>
      <c r="J426" s="384"/>
      <c r="K426" s="498"/>
      <c r="L426" s="498"/>
      <c r="M426" s="522"/>
      <c r="N426" s="505"/>
      <c r="O426" s="498"/>
      <c r="P426" s="162" t="s">
        <v>1162</v>
      </c>
      <c r="Y426" s="288"/>
    </row>
    <row r="427" spans="1:42">
      <c r="A427" s="10"/>
      <c r="B427" s="4" t="s">
        <v>1890</v>
      </c>
      <c r="C427" s="4" t="s">
        <v>1102</v>
      </c>
      <c r="D427" s="12">
        <v>250</v>
      </c>
      <c r="E427" s="12" t="s">
        <v>2</v>
      </c>
      <c r="F427" s="512"/>
      <c r="G427" s="512"/>
      <c r="H427" s="511"/>
      <c r="I427" s="203">
        <v>0.53</v>
      </c>
      <c r="J427" s="385"/>
      <c r="K427" s="499"/>
      <c r="L427" s="499"/>
      <c r="M427" s="522"/>
      <c r="N427" s="533"/>
      <c r="O427" s="499"/>
      <c r="P427" s="207">
        <v>18</v>
      </c>
      <c r="Q427" s="60"/>
      <c r="S427" s="60"/>
      <c r="T427" s="60"/>
      <c r="U427" s="15"/>
      <c r="V427" s="3"/>
      <c r="W427" s="3"/>
      <c r="Y427" s="60"/>
      <c r="AA427"/>
      <c r="AD427" s="15"/>
      <c r="AE427" s="15"/>
      <c r="AF427" s="15"/>
      <c r="AG427"/>
      <c r="AH427"/>
      <c r="AI427"/>
      <c r="AJ427"/>
    </row>
    <row r="428" spans="1:42">
      <c r="A428" s="10"/>
      <c r="B428" s="7" t="s">
        <v>1910</v>
      </c>
      <c r="C428" s="88" t="s">
        <v>1096</v>
      </c>
      <c r="D428" s="14">
        <v>20</v>
      </c>
      <c r="E428" s="14" t="s">
        <v>2</v>
      </c>
      <c r="F428" s="512"/>
      <c r="G428" s="511"/>
      <c r="H428" s="512"/>
      <c r="I428" s="205">
        <v>4.9333333333333336</v>
      </c>
      <c r="J428" s="205"/>
      <c r="K428" s="205"/>
      <c r="L428" s="205"/>
      <c r="M428" s="506"/>
      <c r="N428" s="506"/>
      <c r="O428" s="205"/>
      <c r="P428" s="209">
        <v>36</v>
      </c>
      <c r="Q428" s="60"/>
      <c r="S428" s="60"/>
      <c r="T428" s="60"/>
      <c r="U428" s="15"/>
      <c r="V428" s="3"/>
      <c r="W428" s="3"/>
      <c r="Y428" s="60"/>
      <c r="AA428"/>
      <c r="AD428" s="15"/>
      <c r="AE428" s="15"/>
      <c r="AF428" s="15"/>
      <c r="AG428"/>
      <c r="AH428"/>
      <c r="AI428"/>
      <c r="AJ428"/>
    </row>
    <row r="429" spans="1:42">
      <c r="A429" s="10"/>
      <c r="F429" s="512"/>
      <c r="G429" s="511"/>
      <c r="H429" s="512"/>
      <c r="M429" s="511"/>
      <c r="N429" s="511"/>
    </row>
    <row r="430" spans="1:42">
      <c r="F430" s="512"/>
      <c r="G430" s="511"/>
      <c r="H430" s="512"/>
      <c r="M430" s="511"/>
      <c r="N430" s="511"/>
    </row>
    <row r="431" spans="1:42">
      <c r="B431" s="143" t="s">
        <v>344</v>
      </c>
      <c r="C431" s="143" t="s">
        <v>345</v>
      </c>
      <c r="D431" s="161" t="s">
        <v>358</v>
      </c>
      <c r="E431" s="161" t="s">
        <v>902</v>
      </c>
      <c r="F431" s="512"/>
      <c r="G431" s="511"/>
      <c r="H431" s="512"/>
      <c r="I431" s="161" t="s">
        <v>1163</v>
      </c>
      <c r="J431" s="386"/>
      <c r="K431" s="500"/>
      <c r="L431" s="500"/>
      <c r="M431" s="504"/>
      <c r="N431" s="504"/>
      <c r="O431" s="500"/>
      <c r="P431" s="162" t="s">
        <v>916</v>
      </c>
    </row>
    <row r="432" spans="1:42">
      <c r="B432" s="33" t="s">
        <v>1743</v>
      </c>
      <c r="C432" s="33" t="s">
        <v>49</v>
      </c>
      <c r="D432" s="34">
        <v>40</v>
      </c>
      <c r="E432" s="34" t="s">
        <v>2</v>
      </c>
      <c r="F432" s="512"/>
      <c r="G432" s="511"/>
      <c r="H432" s="512"/>
      <c r="I432" s="215" t="e">
        <f>VLOOKUP(B432,Pallets!B:F,5,FALSE)</f>
        <v>#N/A</v>
      </c>
      <c r="J432" s="387"/>
      <c r="K432" s="387"/>
      <c r="L432" s="387"/>
      <c r="M432" s="507"/>
      <c r="N432" s="507"/>
      <c r="O432" s="387"/>
      <c r="P432" s="212">
        <v>178</v>
      </c>
    </row>
    <row r="433" spans="2:36">
      <c r="B433" s="88" t="s">
        <v>1813</v>
      </c>
      <c r="C433" s="88" t="s">
        <v>923</v>
      </c>
      <c r="D433" s="89">
        <v>8</v>
      </c>
      <c r="E433" s="89" t="s">
        <v>2</v>
      </c>
      <c r="F433" s="512"/>
      <c r="G433" s="511"/>
      <c r="H433" s="512"/>
      <c r="I433" s="216" t="e">
        <f>VLOOKUP(B433,Pallets!B:F,5,FALSE)</f>
        <v>#N/A</v>
      </c>
      <c r="J433" s="388"/>
      <c r="K433" s="388"/>
      <c r="L433" s="388"/>
      <c r="M433" s="514"/>
      <c r="N433" s="514"/>
      <c r="O433" s="388"/>
      <c r="P433" s="214">
        <v>142.4</v>
      </c>
    </row>
    <row r="434" spans="2:36">
      <c r="F434" s="512"/>
      <c r="G434" s="511"/>
      <c r="H434" s="512"/>
      <c r="M434" s="511"/>
      <c r="N434" s="511"/>
    </row>
    <row r="435" spans="2:36">
      <c r="F435" s="512"/>
      <c r="G435" s="511"/>
      <c r="H435" s="512"/>
      <c r="M435" s="511"/>
      <c r="N435" s="511"/>
    </row>
    <row r="436" spans="2:36" ht="30">
      <c r="B436" s="143" t="s">
        <v>344</v>
      </c>
      <c r="C436" s="143" t="s">
        <v>345</v>
      </c>
      <c r="D436" s="161" t="s">
        <v>358</v>
      </c>
      <c r="E436" s="161" t="s">
        <v>902</v>
      </c>
      <c r="F436" s="512"/>
      <c r="G436" s="512"/>
      <c r="H436" s="512"/>
      <c r="I436" s="162" t="s">
        <v>915</v>
      </c>
      <c r="J436" s="384"/>
      <c r="K436" s="498"/>
      <c r="L436" s="498"/>
      <c r="M436" s="505"/>
      <c r="N436" s="505"/>
      <c r="O436" s="498"/>
      <c r="P436" s="162" t="s">
        <v>1188</v>
      </c>
      <c r="Q436" s="162" t="s">
        <v>1187</v>
      </c>
    </row>
    <row r="437" spans="2:36">
      <c r="B437" s="4" t="s">
        <v>1909</v>
      </c>
      <c r="C437" s="4" t="s">
        <v>962</v>
      </c>
      <c r="D437" s="12">
        <v>50</v>
      </c>
      <c r="E437" s="12" t="s">
        <v>2</v>
      </c>
      <c r="F437" s="512"/>
      <c r="G437" s="512"/>
      <c r="H437" s="512"/>
      <c r="I437" s="144">
        <v>2.13</v>
      </c>
      <c r="J437" s="389"/>
      <c r="K437" s="501"/>
      <c r="L437" s="501"/>
      <c r="M437" s="515"/>
      <c r="N437" s="515"/>
      <c r="O437" s="501"/>
      <c r="P437" s="12">
        <v>4</v>
      </c>
      <c r="Q437" s="12"/>
      <c r="R437" s="60"/>
      <c r="T437" s="60"/>
      <c r="W437" s="3"/>
      <c r="X437" s="3"/>
      <c r="Y437" s="60"/>
      <c r="AB437"/>
      <c r="AD437" s="15"/>
      <c r="AE437" s="15"/>
      <c r="AF437" s="15"/>
      <c r="AG437" s="15"/>
      <c r="AH437"/>
      <c r="AI437"/>
      <c r="AJ437"/>
    </row>
    <row r="438" spans="2:36">
      <c r="B438" s="7" t="s">
        <v>1759</v>
      </c>
      <c r="C438" s="7" t="s">
        <v>176</v>
      </c>
      <c r="D438" s="14">
        <v>20</v>
      </c>
      <c r="E438" s="14" t="s">
        <v>2</v>
      </c>
      <c r="F438" s="512"/>
      <c r="G438" s="512"/>
      <c r="H438" s="512"/>
      <c r="I438" s="160">
        <v>3.3</v>
      </c>
      <c r="J438" s="160"/>
      <c r="K438" s="160"/>
      <c r="L438" s="160"/>
      <c r="M438" s="516"/>
      <c r="N438" s="516"/>
      <c r="O438" s="160"/>
      <c r="P438" s="14"/>
      <c r="Q438" s="14">
        <v>31</v>
      </c>
      <c r="R438" s="60"/>
      <c r="T438" s="60"/>
      <c r="W438" s="3"/>
      <c r="X438" s="3"/>
      <c r="Y438" s="60"/>
      <c r="AB438"/>
      <c r="AD438" s="15"/>
      <c r="AE438" s="15"/>
      <c r="AF438" s="15"/>
      <c r="AG438" s="15"/>
      <c r="AH438"/>
      <c r="AI438"/>
      <c r="AJ438"/>
    </row>
    <row r="439" spans="2:36">
      <c r="B439" s="222" t="s">
        <v>1910</v>
      </c>
      <c r="C439" s="222" t="s">
        <v>1096</v>
      </c>
      <c r="D439" s="223">
        <v>20</v>
      </c>
      <c r="E439" s="223" t="s">
        <v>2</v>
      </c>
      <c r="F439" s="512"/>
      <c r="G439" s="512"/>
      <c r="H439" s="512"/>
      <c r="I439" s="224">
        <v>4.93</v>
      </c>
      <c r="J439" s="390"/>
      <c r="K439" s="502"/>
      <c r="L439" s="502"/>
      <c r="M439" s="532"/>
      <c r="N439" s="532"/>
      <c r="O439" s="502"/>
      <c r="P439" s="223">
        <v>34</v>
      </c>
      <c r="Q439" s="223" t="s">
        <v>1189</v>
      </c>
      <c r="R439" s="60"/>
      <c r="T439" s="60"/>
      <c r="W439" s="3"/>
      <c r="X439" s="3"/>
      <c r="Y439" s="60"/>
      <c r="AB439"/>
      <c r="AD439" s="15"/>
      <c r="AE439" s="15"/>
      <c r="AF439" s="15"/>
      <c r="AG439" s="15"/>
      <c r="AH439"/>
      <c r="AI439"/>
      <c r="AJ439"/>
    </row>
    <row r="440" spans="2:36">
      <c r="B440" s="4" t="s">
        <v>1934</v>
      </c>
      <c r="C440" s="4" t="s">
        <v>994</v>
      </c>
      <c r="D440" s="12">
        <v>18</v>
      </c>
      <c r="E440" s="12" t="s">
        <v>2</v>
      </c>
      <c r="F440" s="523"/>
      <c r="G440" s="523"/>
      <c r="H440" s="523"/>
      <c r="I440" s="144">
        <v>18.14</v>
      </c>
      <c r="J440" s="389"/>
      <c r="K440" s="501"/>
      <c r="L440" s="501"/>
      <c r="M440" s="515"/>
      <c r="N440" s="515"/>
      <c r="O440" s="501"/>
      <c r="P440" s="12">
        <v>0</v>
      </c>
      <c r="Q440" s="12"/>
      <c r="R440" s="60"/>
      <c r="T440" s="60"/>
      <c r="W440" s="3"/>
      <c r="X440" s="3"/>
      <c r="Y440" s="60"/>
      <c r="AB440"/>
      <c r="AD440" s="15"/>
      <c r="AE440" s="15"/>
      <c r="AF440" s="15"/>
      <c r="AG440" s="15"/>
      <c r="AH440"/>
      <c r="AI440"/>
      <c r="AJ440"/>
    </row>
    <row r="441" spans="2:36" s="10" customFormat="1">
      <c r="B441" s="4" t="s">
        <v>1935</v>
      </c>
      <c r="C441" s="4" t="s">
        <v>995</v>
      </c>
      <c r="D441" s="12">
        <v>20</v>
      </c>
      <c r="E441" s="12" t="s">
        <v>2</v>
      </c>
      <c r="F441" s="512"/>
      <c r="G441" s="511"/>
      <c r="H441" s="512"/>
      <c r="I441" s="144">
        <v>15.33</v>
      </c>
      <c r="J441" s="389"/>
      <c r="K441" s="501"/>
      <c r="L441" s="501"/>
      <c r="M441" s="515"/>
      <c r="N441" s="515"/>
      <c r="O441" s="501"/>
      <c r="P441" s="12">
        <v>7</v>
      </c>
      <c r="Q441" s="12"/>
      <c r="R441" s="183"/>
      <c r="S441" s="184"/>
      <c r="T441" s="183"/>
      <c r="U441" s="183"/>
      <c r="V441" s="184"/>
      <c r="W441" s="165"/>
      <c r="X441" s="165"/>
      <c r="Y441" s="183"/>
      <c r="Z441" s="183"/>
      <c r="AA441" s="183"/>
      <c r="AC441" s="183"/>
      <c r="AD441" s="184"/>
      <c r="AE441" s="184"/>
      <c r="AF441" s="184"/>
      <c r="AG441" s="184"/>
    </row>
    <row r="442" spans="2:36">
      <c r="B442" s="85" t="s">
        <v>1780</v>
      </c>
      <c r="C442" s="7" t="s">
        <v>236</v>
      </c>
      <c r="D442" s="14">
        <v>10</v>
      </c>
      <c r="E442" s="14" t="s">
        <v>2</v>
      </c>
      <c r="F442" s="512"/>
      <c r="G442" s="511"/>
      <c r="H442" s="512"/>
      <c r="I442" s="160">
        <v>17.03</v>
      </c>
      <c r="J442" s="160"/>
      <c r="K442" s="160"/>
      <c r="L442" s="160"/>
      <c r="M442" s="516"/>
      <c r="N442" s="516"/>
      <c r="O442" s="160"/>
      <c r="P442" s="78"/>
      <c r="Q442" s="14">
        <v>5</v>
      </c>
    </row>
    <row r="443" spans="2:36">
      <c r="F443" s="512"/>
      <c r="G443" s="511"/>
      <c r="H443" s="512"/>
      <c r="M443" s="511"/>
      <c r="N443" s="511"/>
    </row>
    <row r="444" spans="2:36">
      <c r="F444" s="512"/>
      <c r="G444" s="511"/>
      <c r="H444" s="512"/>
      <c r="M444" s="511"/>
      <c r="N444" s="511"/>
    </row>
    <row r="445" spans="2:36">
      <c r="B445" s="143" t="s">
        <v>344</v>
      </c>
      <c r="C445" s="143" t="s">
        <v>345</v>
      </c>
      <c r="D445" s="161" t="s">
        <v>358</v>
      </c>
      <c r="E445" s="161" t="s">
        <v>902</v>
      </c>
      <c r="F445" s="512"/>
      <c r="G445" s="512"/>
      <c r="H445" s="512"/>
      <c r="I445" s="162" t="s">
        <v>915</v>
      </c>
      <c r="J445" s="384"/>
      <c r="K445" s="498"/>
      <c r="L445" s="498"/>
      <c r="M445" s="505"/>
      <c r="N445" s="505"/>
      <c r="O445" s="498"/>
    </row>
    <row r="446" spans="2:36">
      <c r="B446" s="33" t="s">
        <v>1467</v>
      </c>
      <c r="C446" s="33" t="s">
        <v>119</v>
      </c>
      <c r="D446" s="34">
        <v>26</v>
      </c>
      <c r="E446" s="34" t="s">
        <v>2</v>
      </c>
      <c r="F446" s="512"/>
      <c r="G446" s="512"/>
      <c r="H446" s="512"/>
      <c r="I446" s="145">
        <v>4.47</v>
      </c>
      <c r="J446" s="145"/>
      <c r="K446" s="145"/>
      <c r="L446" s="145"/>
      <c r="M446" s="528"/>
      <c r="N446" s="528"/>
      <c r="O446" s="145"/>
      <c r="P446" s="15"/>
      <c r="Q446" s="198"/>
      <c r="R446" s="198"/>
      <c r="T446" s="60"/>
      <c r="W446" s="3"/>
      <c r="X446" s="3"/>
      <c r="Y446" s="60"/>
      <c r="AB446"/>
      <c r="AD446" s="15"/>
      <c r="AE446" s="15"/>
      <c r="AF446" s="15"/>
      <c r="AG446" s="15"/>
      <c r="AH446"/>
      <c r="AI446"/>
      <c r="AJ446"/>
    </row>
    <row r="447" spans="2:36">
      <c r="B447" s="33" t="s">
        <v>1472</v>
      </c>
      <c r="C447" s="33" t="s">
        <v>121</v>
      </c>
      <c r="D447" s="34">
        <v>20</v>
      </c>
      <c r="E447" s="34" t="s">
        <v>2</v>
      </c>
      <c r="F447" s="512"/>
      <c r="G447" s="512"/>
      <c r="H447" s="512"/>
      <c r="I447" s="145">
        <v>4.47</v>
      </c>
      <c r="J447" s="145"/>
      <c r="K447" s="145"/>
      <c r="L447" s="145"/>
      <c r="M447" s="528"/>
      <c r="N447" s="528"/>
      <c r="O447" s="145"/>
      <c r="P447" s="15"/>
      <c r="Q447" s="198"/>
      <c r="R447" s="198"/>
      <c r="T447" s="60"/>
      <c r="W447" s="3"/>
      <c r="X447" s="3"/>
      <c r="Y447" s="60"/>
      <c r="AB447"/>
      <c r="AD447" s="15"/>
      <c r="AE447" s="15"/>
      <c r="AF447" s="15"/>
      <c r="AG447" s="15"/>
      <c r="AH447"/>
      <c r="AI447"/>
      <c r="AJ447"/>
    </row>
    <row r="448" spans="2:36">
      <c r="B448" s="7" t="s">
        <v>1717</v>
      </c>
      <c r="C448" s="7" t="s">
        <v>366</v>
      </c>
      <c r="D448" s="14">
        <v>10</v>
      </c>
      <c r="E448" s="14" t="s">
        <v>2</v>
      </c>
      <c r="F448" s="512"/>
      <c r="G448" s="511"/>
      <c r="H448" s="512"/>
      <c r="I448" s="160">
        <v>8.9499999999999993</v>
      </c>
      <c r="J448" s="160"/>
      <c r="K448" s="160"/>
      <c r="L448" s="160"/>
      <c r="M448" s="516"/>
      <c r="N448" s="516"/>
      <c r="O448" s="160"/>
      <c r="P448" s="15"/>
      <c r="Q448" s="198"/>
      <c r="R448" s="198"/>
      <c r="T448" s="60"/>
      <c r="W448" s="3"/>
      <c r="X448" s="3"/>
      <c r="Y448" s="60"/>
      <c r="AB448"/>
      <c r="AD448" s="15"/>
      <c r="AE448" s="15"/>
      <c r="AF448" s="15"/>
      <c r="AG448" s="15"/>
      <c r="AH448"/>
      <c r="AI448"/>
      <c r="AJ448"/>
    </row>
    <row r="449" spans="1:29">
      <c r="F449" s="512"/>
      <c r="G449" s="511"/>
      <c r="H449" s="512"/>
      <c r="M449" s="511"/>
      <c r="N449" s="511"/>
    </row>
    <row r="450" spans="1:29">
      <c r="B450" s="143" t="s">
        <v>344</v>
      </c>
      <c r="C450" s="143" t="s">
        <v>345</v>
      </c>
      <c r="D450" s="161" t="s">
        <v>358</v>
      </c>
      <c r="E450" s="161" t="s">
        <v>902</v>
      </c>
      <c r="F450" s="512"/>
      <c r="G450" s="511"/>
      <c r="H450" s="512"/>
      <c r="I450" s="162" t="s">
        <v>915</v>
      </c>
      <c r="J450" s="384"/>
      <c r="K450" s="498"/>
      <c r="L450" s="498"/>
      <c r="M450" s="505"/>
      <c r="N450" s="505"/>
      <c r="O450" s="498"/>
    </row>
    <row r="451" spans="1:29">
      <c r="B451" s="33" t="s">
        <v>1720</v>
      </c>
      <c r="C451" s="33" t="s">
        <v>1201</v>
      </c>
      <c r="D451" s="34">
        <v>20</v>
      </c>
      <c r="E451" s="34" t="s">
        <v>2</v>
      </c>
      <c r="F451" s="512"/>
      <c r="G451" s="511"/>
      <c r="H451" s="512"/>
      <c r="I451" s="77">
        <v>3.95</v>
      </c>
      <c r="J451" s="77"/>
      <c r="K451" s="77"/>
      <c r="L451" s="77"/>
      <c r="M451" s="527"/>
      <c r="N451" s="527"/>
      <c r="O451" s="77"/>
    </row>
    <row r="452" spans="1:29">
      <c r="B452" s="33" t="s">
        <v>1721</v>
      </c>
      <c r="C452" s="33" t="s">
        <v>1202</v>
      </c>
      <c r="D452" s="34">
        <v>20</v>
      </c>
      <c r="E452" s="34" t="s">
        <v>2</v>
      </c>
      <c r="F452" s="512"/>
      <c r="G452" s="511"/>
      <c r="H452" s="512"/>
      <c r="I452" s="77">
        <v>3.95</v>
      </c>
      <c r="J452" s="77"/>
      <c r="K452" s="77"/>
      <c r="L452" s="77"/>
      <c r="M452" s="527"/>
      <c r="N452" s="527"/>
      <c r="O452" s="77"/>
    </row>
    <row r="453" spans="1:29">
      <c r="B453" s="226" t="s">
        <v>1724</v>
      </c>
      <c r="C453" s="226" t="s">
        <v>1205</v>
      </c>
      <c r="D453" s="215">
        <v>20</v>
      </c>
      <c r="E453" s="215" t="s">
        <v>2</v>
      </c>
      <c r="I453" s="227">
        <v>4.6500000000000004</v>
      </c>
      <c r="J453" s="227"/>
      <c r="K453" s="227"/>
      <c r="L453" s="227"/>
      <c r="M453" s="531"/>
      <c r="N453" s="531"/>
      <c r="O453" s="227"/>
    </row>
    <row r="454" spans="1:29">
      <c r="B454" s="33" t="s">
        <v>1725</v>
      </c>
      <c r="C454" s="33" t="s">
        <v>1206</v>
      </c>
      <c r="D454" s="34">
        <v>20</v>
      </c>
      <c r="E454" s="34" t="s">
        <v>2</v>
      </c>
      <c r="I454" s="77">
        <v>4.6500000000000004</v>
      </c>
      <c r="J454" s="77"/>
      <c r="K454" s="77"/>
      <c r="L454" s="77"/>
      <c r="M454" s="527"/>
      <c r="N454" s="527"/>
      <c r="O454" s="77"/>
    </row>
    <row r="455" spans="1:29">
      <c r="B455" s="33" t="s">
        <v>1726</v>
      </c>
      <c r="C455" s="33" t="s">
        <v>1207</v>
      </c>
      <c r="D455" s="34">
        <v>20</v>
      </c>
      <c r="E455" s="34" t="s">
        <v>2</v>
      </c>
      <c r="I455" s="77">
        <v>4.6500000000000004</v>
      </c>
      <c r="J455" s="77"/>
      <c r="K455" s="77"/>
      <c r="L455" s="77"/>
      <c r="M455" s="527"/>
      <c r="N455" s="527"/>
      <c r="O455" s="77"/>
    </row>
    <row r="456" spans="1:29">
      <c r="B456" s="33" t="s">
        <v>1728</v>
      </c>
      <c r="C456" s="33" t="s">
        <v>1209</v>
      </c>
      <c r="D456" s="34">
        <v>20</v>
      </c>
      <c r="E456" s="34" t="s">
        <v>2</v>
      </c>
      <c r="I456" s="77">
        <v>6.75</v>
      </c>
      <c r="J456" s="77"/>
      <c r="K456" s="77"/>
      <c r="L456" s="77"/>
      <c r="M456" s="527"/>
      <c r="N456" s="527"/>
      <c r="O456" s="77"/>
    </row>
    <row r="457" spans="1:29">
      <c r="B457" s="228" t="s">
        <v>1729</v>
      </c>
      <c r="C457" s="228" t="s">
        <v>1210</v>
      </c>
      <c r="D457" s="229">
        <v>24</v>
      </c>
      <c r="E457" s="229" t="s">
        <v>2</v>
      </c>
      <c r="I457" s="230">
        <v>6.75</v>
      </c>
      <c r="J457" s="230"/>
      <c r="K457" s="230"/>
      <c r="L457" s="230"/>
      <c r="M457" s="530"/>
      <c r="N457" s="530"/>
      <c r="O457" s="230"/>
    </row>
    <row r="458" spans="1:29">
      <c r="M458" s="511"/>
      <c r="N458" s="511"/>
      <c r="S458" s="60"/>
    </row>
    <row r="459" spans="1:29">
      <c r="M459" s="511"/>
      <c r="N459" s="511"/>
    </row>
    <row r="460" spans="1:29">
      <c r="F460" s="489"/>
      <c r="G460" s="272"/>
      <c r="H460" s="280"/>
      <c r="M460" s="511"/>
      <c r="N460" s="511"/>
    </row>
    <row r="461" spans="1:29">
      <c r="A461" s="277" t="s">
        <v>1417</v>
      </c>
      <c r="B461" s="277" t="s">
        <v>2043</v>
      </c>
      <c r="C461" s="277" t="s">
        <v>1447</v>
      </c>
      <c r="D461" s="282">
        <v>50</v>
      </c>
      <c r="E461" s="282" t="s">
        <v>2</v>
      </c>
      <c r="F461" s="457"/>
      <c r="G461" s="47"/>
      <c r="H461" s="280"/>
      <c r="I461" s="283"/>
      <c r="J461" s="391"/>
      <c r="K461" s="503"/>
      <c r="L461" s="503"/>
      <c r="M461" s="538"/>
      <c r="N461" s="538"/>
      <c r="O461" s="503"/>
      <c r="P461" s="268">
        <v>32.5</v>
      </c>
      <c r="Q461" s="269">
        <f>+O461/(1-S461)</f>
        <v>0</v>
      </c>
      <c r="R461" s="270">
        <f t="shared" ref="R461:R471" si="120">+Q461*D461</f>
        <v>0</v>
      </c>
      <c r="S461" s="271">
        <v>0.59</v>
      </c>
      <c r="T461" s="272">
        <f>+O461/(1-V461)</f>
        <v>0</v>
      </c>
      <c r="U461" s="273">
        <f t="shared" ref="U461:U471" si="121">+T461*D461</f>
        <v>0</v>
      </c>
      <c r="V461" s="274">
        <v>0.4</v>
      </c>
      <c r="W461" s="275">
        <f>+O461/(1-Y461)</f>
        <v>0</v>
      </c>
      <c r="X461" s="275">
        <f t="shared" ref="X461:X471" si="122">+W461*D461</f>
        <v>0</v>
      </c>
      <c r="Y461" s="276">
        <v>0.35</v>
      </c>
      <c r="Z461" s="278"/>
      <c r="AA461" s="278"/>
      <c r="AB461" s="279"/>
      <c r="AC461" s="279"/>
    </row>
    <row r="462" spans="1:29">
      <c r="A462" s="251" t="s">
        <v>1417</v>
      </c>
      <c r="B462" s="277" t="s">
        <v>2044</v>
      </c>
      <c r="C462" s="277" t="s">
        <v>1448</v>
      </c>
      <c r="D462" s="282">
        <v>50</v>
      </c>
      <c r="E462" s="282" t="s">
        <v>2</v>
      </c>
      <c r="F462" s="457"/>
      <c r="G462" s="47"/>
      <c r="H462" s="280"/>
      <c r="I462" s="283"/>
      <c r="J462" s="392"/>
      <c r="K462" s="392"/>
      <c r="L462" s="392"/>
      <c r="M462" s="539"/>
      <c r="N462" s="539"/>
      <c r="O462" s="392"/>
      <c r="P462" s="57">
        <v>32.5</v>
      </c>
      <c r="Q462" s="42">
        <f t="shared" ref="Q462:Q469" si="123">+O462/(1-S462)</f>
        <v>0</v>
      </c>
      <c r="R462" s="27">
        <f t="shared" si="120"/>
        <v>0</v>
      </c>
      <c r="S462" s="41">
        <v>0.59</v>
      </c>
      <c r="T462" s="47">
        <f t="shared" ref="T462:T469" si="124">+O462/(1-V462)</f>
        <v>0</v>
      </c>
      <c r="U462" s="28">
        <f t="shared" si="121"/>
        <v>0</v>
      </c>
      <c r="V462" s="48">
        <v>0.4</v>
      </c>
      <c r="W462" s="71">
        <f t="shared" ref="W462:W469" si="125">+O462/(1-Y462)</f>
        <v>0</v>
      </c>
      <c r="X462" s="71">
        <f t="shared" si="122"/>
        <v>0</v>
      </c>
      <c r="Y462" s="37">
        <v>0.35</v>
      </c>
      <c r="Z462" s="243"/>
      <c r="AA462" s="243"/>
      <c r="AB462" s="244"/>
      <c r="AC462" s="244"/>
    </row>
    <row r="463" spans="1:29">
      <c r="A463" s="251" t="s">
        <v>1417</v>
      </c>
      <c r="B463" s="277" t="s">
        <v>2045</v>
      </c>
      <c r="C463" s="277" t="s">
        <v>1449</v>
      </c>
      <c r="D463" s="282">
        <v>50</v>
      </c>
      <c r="E463" s="282" t="s">
        <v>2</v>
      </c>
      <c r="F463" s="457"/>
      <c r="G463" s="47"/>
      <c r="H463" s="280"/>
      <c r="I463" s="283"/>
      <c r="J463" s="392"/>
      <c r="K463" s="392"/>
      <c r="L463" s="392"/>
      <c r="M463" s="539"/>
      <c r="N463" s="539"/>
      <c r="O463" s="392"/>
      <c r="P463" s="57">
        <v>32.5</v>
      </c>
      <c r="Q463" s="42">
        <f t="shared" si="123"/>
        <v>0</v>
      </c>
      <c r="R463" s="27">
        <f t="shared" si="120"/>
        <v>0</v>
      </c>
      <c r="S463" s="41">
        <v>0.59</v>
      </c>
      <c r="T463" s="47">
        <f t="shared" si="124"/>
        <v>0</v>
      </c>
      <c r="U463" s="28">
        <f t="shared" si="121"/>
        <v>0</v>
      </c>
      <c r="V463" s="48">
        <v>0.4</v>
      </c>
      <c r="W463" s="71">
        <f t="shared" si="125"/>
        <v>0</v>
      </c>
      <c r="X463" s="71">
        <f t="shared" si="122"/>
        <v>0</v>
      </c>
      <c r="Y463" s="37">
        <v>0.35</v>
      </c>
      <c r="Z463" s="243"/>
      <c r="AA463" s="243"/>
      <c r="AB463" s="244"/>
      <c r="AC463" s="244"/>
    </row>
    <row r="464" spans="1:29">
      <c r="A464" s="251" t="s">
        <v>1417</v>
      </c>
      <c r="B464" s="277" t="s">
        <v>2046</v>
      </c>
      <c r="C464" s="277" t="s">
        <v>1450</v>
      </c>
      <c r="D464" s="282">
        <v>50</v>
      </c>
      <c r="E464" s="282" t="s">
        <v>2</v>
      </c>
      <c r="F464" s="457"/>
      <c r="G464" s="47"/>
      <c r="H464" s="280"/>
      <c r="I464" s="283"/>
      <c r="J464" s="392"/>
      <c r="K464" s="392"/>
      <c r="L464" s="392"/>
      <c r="M464" s="539"/>
      <c r="N464" s="539"/>
      <c r="O464" s="392"/>
      <c r="P464" s="57">
        <v>32.5</v>
      </c>
      <c r="Q464" s="42">
        <f t="shared" si="123"/>
        <v>0</v>
      </c>
      <c r="R464" s="27">
        <f t="shared" si="120"/>
        <v>0</v>
      </c>
      <c r="S464" s="41">
        <v>0.59</v>
      </c>
      <c r="T464" s="47">
        <f t="shared" si="124"/>
        <v>0</v>
      </c>
      <c r="U464" s="28">
        <f t="shared" si="121"/>
        <v>0</v>
      </c>
      <c r="V464" s="48">
        <v>0.4</v>
      </c>
      <c r="W464" s="71">
        <f t="shared" si="125"/>
        <v>0</v>
      </c>
      <c r="X464" s="71">
        <f t="shared" si="122"/>
        <v>0</v>
      </c>
      <c r="Y464" s="37">
        <v>0.35</v>
      </c>
      <c r="Z464" s="264"/>
      <c r="AA464" s="264"/>
      <c r="AB464" s="265"/>
      <c r="AC464" s="265"/>
    </row>
    <row r="465" spans="1:29">
      <c r="A465" s="251" t="s">
        <v>1417</v>
      </c>
      <c r="B465" s="277" t="s">
        <v>2047</v>
      </c>
      <c r="C465" s="277" t="s">
        <v>1451</v>
      </c>
      <c r="D465" s="282">
        <v>50</v>
      </c>
      <c r="E465" s="282" t="s">
        <v>2</v>
      </c>
      <c r="F465" s="457"/>
      <c r="G465" s="47"/>
      <c r="H465" s="280"/>
      <c r="I465" s="283"/>
      <c r="J465" s="392"/>
      <c r="K465" s="392"/>
      <c r="L465" s="392"/>
      <c r="M465" s="539"/>
      <c r="N465" s="539"/>
      <c r="O465" s="392"/>
      <c r="P465" s="57">
        <v>32.5</v>
      </c>
      <c r="Q465" s="42">
        <f t="shared" si="123"/>
        <v>0</v>
      </c>
      <c r="R465" s="27">
        <f t="shared" si="120"/>
        <v>0</v>
      </c>
      <c r="S465" s="41">
        <v>0.59</v>
      </c>
      <c r="T465" s="47">
        <f t="shared" si="124"/>
        <v>0</v>
      </c>
      <c r="U465" s="28">
        <f t="shared" si="121"/>
        <v>0</v>
      </c>
      <c r="V465" s="48">
        <v>0.4</v>
      </c>
      <c r="W465" s="71">
        <f t="shared" si="125"/>
        <v>0</v>
      </c>
      <c r="X465" s="71">
        <f t="shared" si="122"/>
        <v>0</v>
      </c>
      <c r="Y465" s="37">
        <v>0.35</v>
      </c>
      <c r="Z465" s="264"/>
      <c r="AA465" s="264"/>
      <c r="AB465" s="265"/>
      <c r="AC465" s="265"/>
    </row>
    <row r="466" spans="1:29">
      <c r="A466" s="277" t="s">
        <v>1417</v>
      </c>
      <c r="B466" s="277" t="s">
        <v>2048</v>
      </c>
      <c r="C466" s="277" t="s">
        <v>1452</v>
      </c>
      <c r="D466" s="282">
        <v>50</v>
      </c>
      <c r="E466" s="282" t="s">
        <v>2</v>
      </c>
      <c r="F466" s="457"/>
      <c r="G466" s="47"/>
      <c r="H466" s="280"/>
      <c r="I466" s="283"/>
      <c r="J466" s="392"/>
      <c r="K466" s="392"/>
      <c r="L466" s="392"/>
      <c r="M466" s="539"/>
      <c r="N466" s="539"/>
      <c r="O466" s="392"/>
      <c r="P466" s="57">
        <v>32.5</v>
      </c>
      <c r="Q466" s="42">
        <f t="shared" si="123"/>
        <v>0</v>
      </c>
      <c r="R466" s="27">
        <f t="shared" si="120"/>
        <v>0</v>
      </c>
      <c r="S466" s="41">
        <v>0.59</v>
      </c>
      <c r="T466" s="47">
        <f t="shared" si="124"/>
        <v>0</v>
      </c>
      <c r="U466" s="28">
        <f t="shared" si="121"/>
        <v>0</v>
      </c>
      <c r="V466" s="48">
        <v>0.4</v>
      </c>
      <c r="W466" s="71">
        <f t="shared" si="125"/>
        <v>0</v>
      </c>
      <c r="X466" s="71">
        <f t="shared" si="122"/>
        <v>0</v>
      </c>
      <c r="Y466" s="37">
        <v>0.35</v>
      </c>
      <c r="Z466" s="278"/>
      <c r="AA466" s="278"/>
      <c r="AB466" s="279"/>
      <c r="AC466" s="279"/>
    </row>
    <row r="467" spans="1:29">
      <c r="A467" s="251" t="s">
        <v>1417</v>
      </c>
      <c r="B467" s="277" t="s">
        <v>2049</v>
      </c>
      <c r="C467" s="277" t="s">
        <v>1453</v>
      </c>
      <c r="D467" s="282">
        <v>50</v>
      </c>
      <c r="E467" s="282" t="s">
        <v>2</v>
      </c>
      <c r="F467" s="457"/>
      <c r="G467" s="47"/>
      <c r="H467" s="280"/>
      <c r="I467" s="283"/>
      <c r="J467" s="392"/>
      <c r="K467" s="392"/>
      <c r="L467" s="392"/>
      <c r="M467" s="539"/>
      <c r="N467" s="539"/>
      <c r="O467" s="392"/>
      <c r="P467" s="57">
        <v>32.5</v>
      </c>
      <c r="Q467" s="42">
        <f t="shared" si="123"/>
        <v>0</v>
      </c>
      <c r="R467" s="27">
        <f t="shared" si="120"/>
        <v>0</v>
      </c>
      <c r="S467" s="41">
        <v>0.59</v>
      </c>
      <c r="T467" s="47">
        <f t="shared" si="124"/>
        <v>0</v>
      </c>
      <c r="U467" s="28">
        <f t="shared" si="121"/>
        <v>0</v>
      </c>
      <c r="V467" s="48">
        <v>0.4</v>
      </c>
      <c r="W467" s="71">
        <f t="shared" si="125"/>
        <v>0</v>
      </c>
      <c r="X467" s="71">
        <f t="shared" si="122"/>
        <v>0</v>
      </c>
      <c r="Y467" s="37">
        <v>0.35</v>
      </c>
      <c r="Z467" s="243"/>
      <c r="AA467" s="243"/>
      <c r="AB467" s="244"/>
      <c r="AC467" s="244"/>
    </row>
    <row r="468" spans="1:29">
      <c r="A468" s="251" t="s">
        <v>1417</v>
      </c>
      <c r="B468" s="277" t="s">
        <v>2050</v>
      </c>
      <c r="C468" s="277" t="s">
        <v>1454</v>
      </c>
      <c r="D468" s="282">
        <v>50</v>
      </c>
      <c r="E468" s="282" t="s">
        <v>2</v>
      </c>
      <c r="F468" s="457"/>
      <c r="G468" s="47"/>
      <c r="H468" s="280"/>
      <c r="I468" s="283"/>
      <c r="J468" s="392"/>
      <c r="K468" s="392"/>
      <c r="L468" s="392"/>
      <c r="M468" s="539"/>
      <c r="N468" s="539"/>
      <c r="O468" s="392"/>
      <c r="P468" s="57">
        <v>32.5</v>
      </c>
      <c r="Q468" s="42">
        <f t="shared" si="123"/>
        <v>0</v>
      </c>
      <c r="R468" s="27">
        <f t="shared" si="120"/>
        <v>0</v>
      </c>
      <c r="S468" s="41">
        <v>0.59</v>
      </c>
      <c r="T468" s="47">
        <f t="shared" si="124"/>
        <v>0</v>
      </c>
      <c r="U468" s="28">
        <f t="shared" si="121"/>
        <v>0</v>
      </c>
      <c r="V468" s="48">
        <v>0.4</v>
      </c>
      <c r="W468" s="71">
        <f t="shared" si="125"/>
        <v>0</v>
      </c>
      <c r="X468" s="71">
        <f t="shared" si="122"/>
        <v>0</v>
      </c>
      <c r="Y468" s="37">
        <v>0.35</v>
      </c>
      <c r="Z468" s="243"/>
      <c r="AA468" s="243"/>
      <c r="AB468" s="244"/>
      <c r="AC468" s="244"/>
    </row>
    <row r="469" spans="1:29">
      <c r="A469" s="251" t="s">
        <v>1417</v>
      </c>
      <c r="B469" s="277" t="s">
        <v>2051</v>
      </c>
      <c r="C469" s="277" t="s">
        <v>1455</v>
      </c>
      <c r="D469" s="282">
        <v>50</v>
      </c>
      <c r="E469" s="282" t="s">
        <v>2</v>
      </c>
      <c r="F469" s="457"/>
      <c r="G469" s="47"/>
      <c r="H469" s="280"/>
      <c r="I469" s="283"/>
      <c r="J469" s="392"/>
      <c r="K469" s="392"/>
      <c r="L469" s="392"/>
      <c r="M469" s="539"/>
      <c r="N469" s="539"/>
      <c r="O469" s="392"/>
      <c r="P469" s="57">
        <v>32.5</v>
      </c>
      <c r="Q469" s="42">
        <f t="shared" si="123"/>
        <v>0</v>
      </c>
      <c r="R469" s="27">
        <f t="shared" si="120"/>
        <v>0</v>
      </c>
      <c r="S469" s="41">
        <v>0.59</v>
      </c>
      <c r="T469" s="47">
        <f t="shared" si="124"/>
        <v>0</v>
      </c>
      <c r="U469" s="28">
        <f t="shared" si="121"/>
        <v>0</v>
      </c>
      <c r="V469" s="48">
        <v>0.4</v>
      </c>
      <c r="W469" s="71">
        <f t="shared" si="125"/>
        <v>0</v>
      </c>
      <c r="X469" s="71">
        <f t="shared" si="122"/>
        <v>0</v>
      </c>
      <c r="Y469" s="37">
        <v>0.35</v>
      </c>
      <c r="Z469" s="264"/>
      <c r="AA469" s="264"/>
      <c r="AB469" s="265"/>
      <c r="AC469" s="265"/>
    </row>
    <row r="470" spans="1:29">
      <c r="A470" s="252" t="s">
        <v>1417</v>
      </c>
      <c r="B470" s="281" t="s">
        <v>2052</v>
      </c>
      <c r="C470" s="281" t="s">
        <v>1456</v>
      </c>
      <c r="D470" s="282">
        <v>50</v>
      </c>
      <c r="E470" s="282" t="s">
        <v>2</v>
      </c>
      <c r="F470" s="457"/>
      <c r="G470" s="47"/>
      <c r="H470" s="280"/>
      <c r="I470" s="283"/>
      <c r="J470" s="392"/>
      <c r="K470" s="392"/>
      <c r="L470" s="392"/>
      <c r="M470" s="539"/>
      <c r="N470" s="539"/>
      <c r="O470" s="392"/>
      <c r="P470" s="57">
        <v>32.5</v>
      </c>
      <c r="Q470" s="42">
        <f t="shared" ref="Q470:Q471" si="126">+O470/(1-S470)</f>
        <v>0</v>
      </c>
      <c r="R470" s="27">
        <f t="shared" si="120"/>
        <v>0</v>
      </c>
      <c r="S470" s="41">
        <v>0.59</v>
      </c>
      <c r="T470" s="47">
        <f t="shared" ref="T470:T471" si="127">+O470/(1-V470)</f>
        <v>0</v>
      </c>
      <c r="U470" s="28">
        <f t="shared" si="121"/>
        <v>0</v>
      </c>
      <c r="V470" s="48">
        <v>0.4</v>
      </c>
      <c r="W470" s="71">
        <f t="shared" ref="W470:W471" si="128">+O470/(1-Y470)</f>
        <v>0</v>
      </c>
      <c r="X470" s="71">
        <f t="shared" si="122"/>
        <v>0</v>
      </c>
      <c r="Y470" s="37">
        <v>0.35</v>
      </c>
      <c r="Z470" s="247"/>
      <c r="AA470" s="247"/>
      <c r="AB470" s="248"/>
      <c r="AC470" s="248"/>
    </row>
    <row r="471" spans="1:29">
      <c r="A471" s="252" t="s">
        <v>1417</v>
      </c>
      <c r="B471" s="281" t="s">
        <v>2053</v>
      </c>
      <c r="C471" s="281" t="s">
        <v>1457</v>
      </c>
      <c r="D471" s="282">
        <v>50</v>
      </c>
      <c r="E471" s="282" t="s">
        <v>2</v>
      </c>
      <c r="F471" s="457"/>
      <c r="G471" s="47"/>
      <c r="H471" s="280"/>
      <c r="I471" s="283"/>
      <c r="J471" s="392"/>
      <c r="K471" s="392"/>
      <c r="L471" s="392"/>
      <c r="M471" s="539"/>
      <c r="N471" s="539"/>
      <c r="O471" s="392"/>
      <c r="P471" s="57">
        <f>+O471*D471</f>
        <v>0</v>
      </c>
      <c r="Q471" s="42">
        <f t="shared" si="126"/>
        <v>0</v>
      </c>
      <c r="R471" s="27">
        <f t="shared" si="120"/>
        <v>0</v>
      </c>
      <c r="S471" s="41">
        <v>0.59</v>
      </c>
      <c r="T471" s="47">
        <f t="shared" si="127"/>
        <v>0</v>
      </c>
      <c r="U471" s="28">
        <f t="shared" si="121"/>
        <v>0</v>
      </c>
      <c r="V471" s="48">
        <v>0.4</v>
      </c>
      <c r="W471" s="71">
        <f t="shared" si="128"/>
        <v>0</v>
      </c>
      <c r="X471" s="71">
        <f t="shared" si="122"/>
        <v>0</v>
      </c>
      <c r="Y471" s="37">
        <v>0.35</v>
      </c>
      <c r="Z471" s="247"/>
      <c r="AA471" s="247"/>
      <c r="AB471" s="248"/>
      <c r="AC471" s="248"/>
    </row>
    <row r="472" spans="1:29">
      <c r="A472" s="252" t="s">
        <v>1417</v>
      </c>
      <c r="B472" s="281" t="s">
        <v>2054</v>
      </c>
      <c r="C472" s="281" t="s">
        <v>1667</v>
      </c>
      <c r="D472" s="282">
        <v>50</v>
      </c>
      <c r="E472" s="282" t="s">
        <v>2</v>
      </c>
      <c r="F472" s="457"/>
      <c r="G472" s="49"/>
      <c r="H472" s="280"/>
      <c r="I472" s="283"/>
      <c r="J472" s="392"/>
      <c r="K472" s="392"/>
      <c r="L472" s="392"/>
      <c r="M472" s="539"/>
      <c r="N472" s="539"/>
      <c r="O472" s="392"/>
      <c r="P472" s="57">
        <v>47</v>
      </c>
      <c r="Q472" s="42"/>
      <c r="R472" s="27"/>
      <c r="S472" s="41"/>
      <c r="T472" s="47"/>
      <c r="U472" s="28"/>
      <c r="V472" s="48"/>
      <c r="W472" s="71"/>
      <c r="X472" s="71"/>
      <c r="Y472" s="37"/>
      <c r="Z472" s="247"/>
      <c r="AA472" s="247"/>
      <c r="AB472" s="248"/>
      <c r="AC472" s="248"/>
    </row>
    <row r="473" spans="1:29">
      <c r="A473" s="252" t="s">
        <v>1417</v>
      </c>
      <c r="B473" s="281" t="s">
        <v>2055</v>
      </c>
      <c r="C473" s="281" t="s">
        <v>1666</v>
      </c>
      <c r="D473" s="282">
        <v>50</v>
      </c>
      <c r="E473" s="282" t="s">
        <v>2</v>
      </c>
      <c r="I473" s="283"/>
      <c r="J473" s="393"/>
      <c r="K473" s="393"/>
      <c r="L473" s="393"/>
      <c r="M473" s="540"/>
      <c r="N473" s="540"/>
      <c r="O473" s="393"/>
      <c r="P473" s="58">
        <v>64</v>
      </c>
      <c r="Q473" s="44"/>
      <c r="R473" s="81"/>
      <c r="S473" s="43"/>
      <c r="T473" s="49"/>
      <c r="U473" s="30"/>
      <c r="V473" s="50"/>
      <c r="W473" s="72"/>
      <c r="X473" s="72"/>
      <c r="Y473" s="38"/>
      <c r="Z473" s="264"/>
      <c r="AA473" s="264"/>
      <c r="AB473" s="265"/>
      <c r="AC473" s="265"/>
    </row>
    <row r="474" spans="1:29">
      <c r="M474" s="511"/>
      <c r="N474" s="511"/>
    </row>
    <row r="475" spans="1:29">
      <c r="M475" s="511"/>
      <c r="N475" s="511"/>
    </row>
    <row r="476" spans="1:29">
      <c r="M476" s="511"/>
      <c r="N476" s="511"/>
    </row>
    <row r="477" spans="1:29">
      <c r="A477" s="373" t="s">
        <v>1677</v>
      </c>
      <c r="B477" s="372" t="s">
        <v>1672</v>
      </c>
      <c r="C477" s="372" t="s">
        <v>1678</v>
      </c>
      <c r="D477" s="374"/>
      <c r="E477" s="374"/>
      <c r="I477" s="374"/>
      <c r="J477" s="374"/>
      <c r="K477" s="491"/>
      <c r="L477" s="491"/>
      <c r="M477" s="529"/>
      <c r="N477" s="529"/>
      <c r="O477" s="491"/>
    </row>
    <row r="478" spans="1:29">
      <c r="A478" s="373" t="s">
        <v>1677</v>
      </c>
      <c r="B478" s="372" t="s">
        <v>1673</v>
      </c>
      <c r="C478" s="372" t="s">
        <v>1679</v>
      </c>
      <c r="D478" s="374"/>
      <c r="E478" s="374"/>
      <c r="I478" s="374"/>
      <c r="J478" s="374"/>
      <c r="K478" s="491"/>
      <c r="L478" s="491"/>
      <c r="M478" s="529"/>
      <c r="N478" s="529"/>
      <c r="O478" s="491"/>
    </row>
    <row r="479" spans="1:29">
      <c r="A479" s="373" t="s">
        <v>1677</v>
      </c>
      <c r="B479" s="372" t="s">
        <v>1674</v>
      </c>
      <c r="C479" s="372" t="s">
        <v>1680</v>
      </c>
      <c r="D479" s="374"/>
      <c r="E479" s="374"/>
      <c r="I479" s="374"/>
      <c r="J479" s="374"/>
      <c r="K479" s="491"/>
      <c r="L479" s="491"/>
      <c r="M479" s="529"/>
      <c r="N479" s="529"/>
      <c r="O479" s="491"/>
    </row>
    <row r="480" spans="1:29">
      <c r="A480" s="373" t="s">
        <v>1677</v>
      </c>
      <c r="B480" s="371" t="s">
        <v>1675</v>
      </c>
      <c r="C480" s="371" t="s">
        <v>1682</v>
      </c>
      <c r="D480" s="374"/>
      <c r="E480" s="374"/>
      <c r="I480" s="374"/>
      <c r="J480" s="374"/>
      <c r="K480" s="491"/>
      <c r="L480" s="491"/>
      <c r="M480" s="529"/>
      <c r="N480" s="529"/>
      <c r="O480" s="491"/>
    </row>
    <row r="481" spans="1:17">
      <c r="A481" s="373" t="s">
        <v>1677</v>
      </c>
      <c r="B481" s="371" t="s">
        <v>1676</v>
      </c>
      <c r="C481" s="371" t="s">
        <v>1681</v>
      </c>
      <c r="D481" s="374"/>
      <c r="E481" s="374"/>
      <c r="I481" s="374"/>
      <c r="J481" s="374"/>
      <c r="K481" s="491"/>
      <c r="L481" s="491"/>
      <c r="M481" s="529"/>
      <c r="N481" s="529"/>
      <c r="O481" s="491"/>
    </row>
    <row r="482" spans="1:17">
      <c r="M482" s="511"/>
      <c r="N482" s="511"/>
    </row>
    <row r="483" spans="1:17">
      <c r="J483" s="15" t="s">
        <v>2106</v>
      </c>
      <c r="M483" s="511"/>
      <c r="N483" s="511"/>
      <c r="P483" s="60" t="s">
        <v>2107</v>
      </c>
    </row>
    <row r="484" spans="1:17">
      <c r="A484" t="s">
        <v>2076</v>
      </c>
      <c r="E484" s="15" t="s">
        <v>2104</v>
      </c>
      <c r="I484" s="15" t="s">
        <v>2105</v>
      </c>
      <c r="Q484" s="15" t="s">
        <v>2109</v>
      </c>
    </row>
    <row r="485" spans="1:17">
      <c r="B485" t="s">
        <v>2082</v>
      </c>
      <c r="C485" t="s">
        <v>2077</v>
      </c>
      <c r="E485" s="15">
        <v>20</v>
      </c>
      <c r="I485" s="15">
        <v>8</v>
      </c>
      <c r="J485" s="15">
        <f>I485*E485*0.31</f>
        <v>49.6</v>
      </c>
      <c r="P485" s="60">
        <f>O485*1.5</f>
        <v>0</v>
      </c>
      <c r="Q485" s="435">
        <f>P485/I485/E485</f>
        <v>0</v>
      </c>
    </row>
    <row r="486" spans="1:17">
      <c r="B486" t="s">
        <v>2083</v>
      </c>
      <c r="C486" t="s">
        <v>2078</v>
      </c>
      <c r="E486" s="15">
        <v>20</v>
      </c>
      <c r="I486" s="15">
        <v>8</v>
      </c>
      <c r="J486" s="15">
        <f>I486*E486*0.31</f>
        <v>49.6</v>
      </c>
      <c r="P486" s="60">
        <f t="shared" ref="P486:P507" si="129">O486*1.5</f>
        <v>0</v>
      </c>
      <c r="Q486" s="435">
        <f>P486/I486/E486</f>
        <v>0</v>
      </c>
    </row>
    <row r="487" spans="1:17">
      <c r="B487" t="s">
        <v>2084</v>
      </c>
      <c r="C487" t="s">
        <v>2079</v>
      </c>
      <c r="E487" s="15">
        <v>20</v>
      </c>
      <c r="I487" s="15">
        <v>8</v>
      </c>
      <c r="J487" s="15">
        <f>I487*E487*0.32</f>
        <v>51.2</v>
      </c>
      <c r="P487" s="60">
        <f t="shared" si="129"/>
        <v>0</v>
      </c>
      <c r="Q487" s="435">
        <f>P487/I487/E487</f>
        <v>0</v>
      </c>
    </row>
    <row r="488" spans="1:17">
      <c r="B488" t="s">
        <v>2085</v>
      </c>
      <c r="C488" t="s">
        <v>2080</v>
      </c>
      <c r="E488" s="15">
        <v>20</v>
      </c>
      <c r="I488" s="15">
        <v>8</v>
      </c>
      <c r="J488" s="15">
        <f>I488*E488*0.32</f>
        <v>51.2</v>
      </c>
      <c r="P488" s="60">
        <f t="shared" si="129"/>
        <v>0</v>
      </c>
      <c r="Q488" s="435">
        <f>P488/I488/E488</f>
        <v>0</v>
      </c>
    </row>
    <row r="489" spans="1:17">
      <c r="B489" t="s">
        <v>2086</v>
      </c>
      <c r="C489" t="s">
        <v>2081</v>
      </c>
      <c r="E489" s="15">
        <v>20</v>
      </c>
      <c r="I489" s="15">
        <v>8</v>
      </c>
      <c r="J489" s="15">
        <f>I489*E489*0.32</f>
        <v>51.2</v>
      </c>
      <c r="P489" s="60">
        <f t="shared" si="129"/>
        <v>0</v>
      </c>
      <c r="Q489" s="435">
        <f>P489/I489/E489</f>
        <v>0</v>
      </c>
    </row>
    <row r="490" spans="1:17">
      <c r="Q490" s="435"/>
    </row>
    <row r="491" spans="1:17">
      <c r="B491" t="s">
        <v>2094</v>
      </c>
      <c r="C491" t="s">
        <v>2110</v>
      </c>
      <c r="E491" s="15">
        <v>50</v>
      </c>
      <c r="I491" s="434"/>
      <c r="J491" s="15">
        <v>11.4</v>
      </c>
      <c r="P491" s="60">
        <f t="shared" si="129"/>
        <v>0</v>
      </c>
      <c r="Q491" s="435"/>
    </row>
    <row r="492" spans="1:17">
      <c r="B492" t="s">
        <v>2095</v>
      </c>
      <c r="C492" t="s">
        <v>2111</v>
      </c>
      <c r="E492" s="15">
        <v>50</v>
      </c>
      <c r="I492" s="434"/>
      <c r="J492" s="15">
        <v>11.4</v>
      </c>
      <c r="P492" s="60">
        <f t="shared" si="129"/>
        <v>0</v>
      </c>
      <c r="Q492" s="435"/>
    </row>
    <row r="493" spans="1:17">
      <c r="B493" t="s">
        <v>2096</v>
      </c>
      <c r="C493" t="s">
        <v>2112</v>
      </c>
      <c r="E493" s="15">
        <v>50</v>
      </c>
      <c r="I493" s="15">
        <v>6</v>
      </c>
      <c r="J493" s="15">
        <v>11.4</v>
      </c>
      <c r="P493" s="60">
        <f t="shared" si="129"/>
        <v>0</v>
      </c>
      <c r="Q493" s="435">
        <f t="shared" ref="Q493:Q504" si="130">P493/I493/E493</f>
        <v>0</v>
      </c>
    </row>
    <row r="494" spans="1:17">
      <c r="B494" t="s">
        <v>2097</v>
      </c>
      <c r="C494" t="s">
        <v>2113</v>
      </c>
      <c r="E494" s="15">
        <v>50</v>
      </c>
      <c r="I494" s="15">
        <v>6</v>
      </c>
      <c r="J494" s="15">
        <v>11.4</v>
      </c>
      <c r="P494" s="60">
        <f t="shared" si="129"/>
        <v>0</v>
      </c>
      <c r="Q494" s="435">
        <f t="shared" si="130"/>
        <v>0</v>
      </c>
    </row>
    <row r="495" spans="1:17">
      <c r="B495" t="s">
        <v>2098</v>
      </c>
      <c r="C495" t="s">
        <v>2114</v>
      </c>
      <c r="E495" s="15">
        <v>25</v>
      </c>
      <c r="I495" s="15">
        <v>4</v>
      </c>
      <c r="J495" s="15">
        <v>27</v>
      </c>
      <c r="P495" s="60">
        <f t="shared" si="129"/>
        <v>0</v>
      </c>
      <c r="Q495" s="435">
        <f t="shared" si="130"/>
        <v>0</v>
      </c>
    </row>
    <row r="496" spans="1:17">
      <c r="B496" t="s">
        <v>2099</v>
      </c>
      <c r="C496" t="s">
        <v>2115</v>
      </c>
      <c r="E496" s="15">
        <v>25</v>
      </c>
      <c r="I496" s="15">
        <v>4</v>
      </c>
      <c r="J496" s="15">
        <v>27</v>
      </c>
      <c r="P496" s="60">
        <f t="shared" si="129"/>
        <v>0</v>
      </c>
      <c r="Q496" s="435">
        <f t="shared" si="130"/>
        <v>0</v>
      </c>
    </row>
    <row r="497" spans="2:17">
      <c r="B497" t="s">
        <v>2087</v>
      </c>
      <c r="C497" t="s">
        <v>2116</v>
      </c>
      <c r="E497" s="15">
        <v>50</v>
      </c>
      <c r="I497" s="15">
        <v>10</v>
      </c>
      <c r="J497" s="15">
        <v>12.5</v>
      </c>
      <c r="P497" s="60">
        <f>O497*1.6</f>
        <v>0</v>
      </c>
      <c r="Q497" s="435">
        <f t="shared" si="130"/>
        <v>0</v>
      </c>
    </row>
    <row r="498" spans="2:17">
      <c r="B498" t="s">
        <v>2088</v>
      </c>
      <c r="C498" t="s">
        <v>2117</v>
      </c>
      <c r="E498" s="15">
        <v>50</v>
      </c>
      <c r="I498" s="15">
        <v>6</v>
      </c>
      <c r="J498" s="15">
        <v>12.5</v>
      </c>
      <c r="P498" s="60">
        <f t="shared" ref="P498:P500" si="131">O498*1.6</f>
        <v>0</v>
      </c>
      <c r="Q498" s="435">
        <f t="shared" si="130"/>
        <v>0</v>
      </c>
    </row>
    <row r="499" spans="2:17">
      <c r="B499" t="s">
        <v>2089</v>
      </c>
      <c r="C499" t="s">
        <v>2118</v>
      </c>
      <c r="E499" s="15">
        <v>25</v>
      </c>
      <c r="I499" s="15">
        <v>4</v>
      </c>
      <c r="J499" s="15">
        <v>30</v>
      </c>
      <c r="P499" s="60">
        <f t="shared" si="131"/>
        <v>0</v>
      </c>
      <c r="Q499" s="435">
        <f t="shared" si="130"/>
        <v>0</v>
      </c>
    </row>
    <row r="500" spans="2:17">
      <c r="B500" t="s">
        <v>2108</v>
      </c>
      <c r="C500" t="s">
        <v>2119</v>
      </c>
      <c r="E500" s="15">
        <v>25</v>
      </c>
      <c r="I500" s="15">
        <v>4</v>
      </c>
      <c r="J500" s="15">
        <v>32</v>
      </c>
      <c r="P500" s="60">
        <f t="shared" si="131"/>
        <v>0</v>
      </c>
      <c r="Q500" s="435">
        <f t="shared" si="130"/>
        <v>0</v>
      </c>
    </row>
    <row r="501" spans="2:17">
      <c r="B501" t="s">
        <v>2090</v>
      </c>
      <c r="C501" t="s">
        <v>2120</v>
      </c>
      <c r="E501" s="15">
        <v>40</v>
      </c>
      <c r="I501" s="15">
        <v>12</v>
      </c>
      <c r="J501" s="15">
        <v>45</v>
      </c>
      <c r="P501" s="60">
        <f>O501*1.6</f>
        <v>0</v>
      </c>
      <c r="Q501" s="435">
        <f t="shared" si="130"/>
        <v>0</v>
      </c>
    </row>
    <row r="502" spans="2:17">
      <c r="B502" t="s">
        <v>2091</v>
      </c>
      <c r="C502" t="s">
        <v>2121</v>
      </c>
      <c r="E502" s="15">
        <v>40</v>
      </c>
      <c r="I502" s="15">
        <v>6</v>
      </c>
      <c r="J502" s="15">
        <v>26</v>
      </c>
      <c r="P502" s="60">
        <f>O502*1.6</f>
        <v>0</v>
      </c>
      <c r="Q502" s="435">
        <f t="shared" si="130"/>
        <v>0</v>
      </c>
    </row>
    <row r="503" spans="2:17">
      <c r="B503" t="s">
        <v>2092</v>
      </c>
      <c r="C503" t="s">
        <v>2122</v>
      </c>
      <c r="E503" s="15">
        <v>25</v>
      </c>
      <c r="I503" s="15">
        <v>4</v>
      </c>
      <c r="J503" s="15">
        <v>85</v>
      </c>
      <c r="P503" s="60">
        <f t="shared" ref="P503:P504" si="132">O503*1.6</f>
        <v>0</v>
      </c>
      <c r="Q503" s="435">
        <f t="shared" si="130"/>
        <v>0</v>
      </c>
    </row>
    <row r="504" spans="2:17">
      <c r="B504" t="s">
        <v>2093</v>
      </c>
      <c r="C504" t="s">
        <v>2123</v>
      </c>
      <c r="E504" s="15">
        <v>25</v>
      </c>
      <c r="I504" s="15">
        <v>4</v>
      </c>
      <c r="J504" s="15">
        <v>86</v>
      </c>
      <c r="P504" s="60">
        <f t="shared" si="132"/>
        <v>0</v>
      </c>
      <c r="Q504" s="435">
        <f t="shared" si="130"/>
        <v>0</v>
      </c>
    </row>
    <row r="505" spans="2:17">
      <c r="Q505" s="435"/>
    </row>
    <row r="506" spans="2:17">
      <c r="B506" t="s">
        <v>2100</v>
      </c>
      <c r="C506" t="s">
        <v>2102</v>
      </c>
      <c r="E506" s="15">
        <v>24</v>
      </c>
      <c r="I506" s="15">
        <v>6</v>
      </c>
      <c r="J506" s="15">
        <v>175</v>
      </c>
      <c r="P506" s="60">
        <f t="shared" si="129"/>
        <v>0</v>
      </c>
      <c r="Q506" s="435">
        <f>P506/I506/E506</f>
        <v>0</v>
      </c>
    </row>
    <row r="507" spans="2:17">
      <c r="B507" t="s">
        <v>2101</v>
      </c>
      <c r="C507" t="s">
        <v>2103</v>
      </c>
      <c r="E507" s="15">
        <v>24</v>
      </c>
      <c r="I507" s="15">
        <v>6</v>
      </c>
      <c r="J507" s="15">
        <v>180</v>
      </c>
      <c r="P507" s="60">
        <f t="shared" si="129"/>
        <v>0</v>
      </c>
      <c r="Q507" s="435">
        <f>P507/I507/E507</f>
        <v>0</v>
      </c>
    </row>
  </sheetData>
  <mergeCells count="4">
    <mergeCell ref="Q1:S1"/>
    <mergeCell ref="T1:V1"/>
    <mergeCell ref="W1:Y1"/>
    <mergeCell ref="F1:H2"/>
  </mergeCells>
  <dataValidations disablePrompts="1"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387:D399">
      <formula1>1</formula1>
    </dataValidation>
  </dataValidations>
  <printOptions horizontalCentered="1"/>
  <pageMargins left="0.23622047244094491" right="0.23622047244094491" top="0.74803149606299213" bottom="0.74803149606299213" header="0.31496062992125984" footer="0.31496062992125984"/>
  <pageSetup paperSize="9" scale="72" orientation="landscape" horizontalDpi="300" verticalDpi="300" r:id="rId1"/>
  <rowBreaks count="3" manualBreakCount="3">
    <brk id="64" max="23" man="1"/>
    <brk id="123" max="23" man="1"/>
    <brk id="202" max="2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38"/>
  <sheetViews>
    <sheetView topLeftCell="A20" workbookViewId="0">
      <selection activeCell="C54" sqref="C54"/>
    </sheetView>
  </sheetViews>
  <sheetFormatPr defaultColWidth="11.42578125" defaultRowHeight="15"/>
  <cols>
    <col min="3" max="3" width="38.28515625" customWidth="1"/>
    <col min="8" max="8" width="14.28515625" customWidth="1"/>
    <col min="9" max="9" width="10.85546875" customWidth="1"/>
  </cols>
  <sheetData>
    <row r="1" spans="1:19" ht="30">
      <c r="A1" s="407" t="s">
        <v>350</v>
      </c>
      <c r="B1" s="407" t="s">
        <v>344</v>
      </c>
      <c r="C1" s="407" t="s">
        <v>345</v>
      </c>
      <c r="D1" s="375" t="s">
        <v>358</v>
      </c>
      <c r="E1" s="375" t="s">
        <v>902</v>
      </c>
      <c r="F1" s="375" t="s">
        <v>357</v>
      </c>
      <c r="G1" s="375" t="s">
        <v>1693</v>
      </c>
      <c r="H1" s="408" t="s">
        <v>1694</v>
      </c>
      <c r="I1" s="409" t="s">
        <v>906</v>
      </c>
      <c r="J1" s="375" t="s">
        <v>360</v>
      </c>
      <c r="K1" s="375" t="s">
        <v>361</v>
      </c>
      <c r="L1" s="375" t="s">
        <v>359</v>
      </c>
      <c r="M1" s="375" t="s">
        <v>362</v>
      </c>
      <c r="N1" s="409" t="s">
        <v>363</v>
      </c>
      <c r="O1" s="375" t="s">
        <v>359</v>
      </c>
      <c r="P1" s="409" t="s">
        <v>365</v>
      </c>
      <c r="Q1" s="409" t="s">
        <v>364</v>
      </c>
      <c r="R1" s="375" t="s">
        <v>359</v>
      </c>
    </row>
    <row r="2" spans="1:19">
      <c r="A2" s="371" t="s">
        <v>1498</v>
      </c>
      <c r="B2" s="414" t="s">
        <v>1685</v>
      </c>
      <c r="C2" s="397" t="s">
        <v>1609</v>
      </c>
      <c r="D2" s="398">
        <v>600</v>
      </c>
      <c r="E2" s="398" t="s">
        <v>2</v>
      </c>
      <c r="F2" s="398">
        <v>50</v>
      </c>
      <c r="G2" s="404">
        <v>53.27</v>
      </c>
      <c r="H2" s="415">
        <v>0.12</v>
      </c>
      <c r="I2" s="416">
        <f t="shared" ref="I2:I9" si="0">G2/0.9*1.25</f>
        <v>73.986111111111114</v>
      </c>
      <c r="J2" s="416">
        <v>0.24662037037037038</v>
      </c>
      <c r="K2" s="416">
        <v>147.97222222222223</v>
      </c>
      <c r="L2" s="417">
        <v>0.5</v>
      </c>
      <c r="M2" s="416">
        <v>0.16441358024691358</v>
      </c>
      <c r="N2" s="416">
        <v>98.648148148148152</v>
      </c>
      <c r="O2" s="418">
        <v>0.25</v>
      </c>
      <c r="P2" s="416">
        <v>0.14507080610021789</v>
      </c>
      <c r="Q2" s="416">
        <v>87.042483660130728</v>
      </c>
      <c r="R2" s="419">
        <v>0.15</v>
      </c>
      <c r="S2" s="371"/>
    </row>
    <row r="3" spans="1:19">
      <c r="A3" s="371" t="s">
        <v>1498</v>
      </c>
      <c r="B3" s="414" t="s">
        <v>1686</v>
      </c>
      <c r="C3" s="397" t="s">
        <v>1628</v>
      </c>
      <c r="D3" s="398">
        <v>600</v>
      </c>
      <c r="E3" s="398" t="s">
        <v>2</v>
      </c>
      <c r="F3" s="398">
        <v>35</v>
      </c>
      <c r="G3" s="404">
        <v>68.81</v>
      </c>
      <c r="H3" s="415">
        <v>0.16</v>
      </c>
      <c r="I3" s="416">
        <f t="shared" si="0"/>
        <v>95.569444444444457</v>
      </c>
      <c r="J3" s="416">
        <v>0.31856481481481486</v>
      </c>
      <c r="K3" s="416">
        <v>191.13888888888891</v>
      </c>
      <c r="L3" s="417">
        <v>0.5</v>
      </c>
      <c r="M3" s="416">
        <v>0.21237654320987656</v>
      </c>
      <c r="N3" s="416">
        <v>127.42592592592594</v>
      </c>
      <c r="O3" s="418">
        <v>0.25</v>
      </c>
      <c r="P3" s="416">
        <v>0.1873910675381264</v>
      </c>
      <c r="Q3" s="416">
        <v>112.43464052287584</v>
      </c>
      <c r="R3" s="419">
        <v>0.15</v>
      </c>
      <c r="S3" s="371"/>
    </row>
    <row r="4" spans="1:19">
      <c r="A4" s="371" t="s">
        <v>1498</v>
      </c>
      <c r="B4" s="414" t="s">
        <v>1687</v>
      </c>
      <c r="C4" s="397" t="s">
        <v>1610</v>
      </c>
      <c r="D4" s="398">
        <v>320</v>
      </c>
      <c r="E4" s="398" t="s">
        <v>2</v>
      </c>
      <c r="F4" s="398">
        <v>40</v>
      </c>
      <c r="G4" s="404">
        <v>35.18</v>
      </c>
      <c r="H4" s="415">
        <v>0.15</v>
      </c>
      <c r="I4" s="416">
        <f t="shared" si="0"/>
        <v>48.861111111111114</v>
      </c>
      <c r="J4" s="416">
        <v>0.30538194444444444</v>
      </c>
      <c r="K4" s="416">
        <v>97.722222222222229</v>
      </c>
      <c r="L4" s="417">
        <v>0.5</v>
      </c>
      <c r="M4" s="416">
        <v>0.20358796296296297</v>
      </c>
      <c r="N4" s="416">
        <v>65.148148148148152</v>
      </c>
      <c r="O4" s="418">
        <v>0.25</v>
      </c>
      <c r="P4" s="416">
        <v>0.17963643790849676</v>
      </c>
      <c r="Q4" s="416">
        <v>57.48366013071896</v>
      </c>
      <c r="R4" s="419">
        <v>0.15</v>
      </c>
      <c r="S4" s="371"/>
    </row>
    <row r="5" spans="1:19">
      <c r="A5" s="371" t="s">
        <v>1498</v>
      </c>
      <c r="B5" s="414" t="s">
        <v>1688</v>
      </c>
      <c r="C5" s="397" t="s">
        <v>1627</v>
      </c>
      <c r="D5" s="398">
        <v>320</v>
      </c>
      <c r="E5" s="398" t="s">
        <v>2</v>
      </c>
      <c r="F5" s="398">
        <v>40</v>
      </c>
      <c r="G5" s="404">
        <v>53.62</v>
      </c>
      <c r="H5" s="415">
        <v>0.23</v>
      </c>
      <c r="I5" s="416">
        <f t="shared" si="0"/>
        <v>74.472222222222214</v>
      </c>
      <c r="J5" s="416">
        <v>0.46545138888888882</v>
      </c>
      <c r="K5" s="416">
        <v>148.94444444444443</v>
      </c>
      <c r="L5" s="417">
        <v>0.5</v>
      </c>
      <c r="M5" s="416">
        <v>0.3103009259259259</v>
      </c>
      <c r="N5" s="416">
        <v>99.296296296296291</v>
      </c>
      <c r="O5" s="418">
        <v>0.25</v>
      </c>
      <c r="P5" s="416">
        <v>0.27379493464052285</v>
      </c>
      <c r="Q5" s="416">
        <v>87.614379084967311</v>
      </c>
      <c r="R5" s="419">
        <v>0.15</v>
      </c>
      <c r="S5" s="371"/>
    </row>
    <row r="6" spans="1:19">
      <c r="A6" s="371" t="s">
        <v>1498</v>
      </c>
      <c r="B6" s="414" t="s">
        <v>1689</v>
      </c>
      <c r="C6" s="397" t="s">
        <v>1611</v>
      </c>
      <c r="D6" s="398">
        <v>160</v>
      </c>
      <c r="E6" s="398" t="s">
        <v>2</v>
      </c>
      <c r="F6" s="398">
        <v>40</v>
      </c>
      <c r="G6" s="404">
        <v>46.46</v>
      </c>
      <c r="H6" s="415">
        <v>0.4</v>
      </c>
      <c r="I6" s="416">
        <f t="shared" si="0"/>
        <v>64.527777777777771</v>
      </c>
      <c r="J6" s="416">
        <v>0.80659722222222219</v>
      </c>
      <c r="K6" s="416">
        <v>129.05555555555554</v>
      </c>
      <c r="L6" s="417">
        <v>0.5</v>
      </c>
      <c r="M6" s="416">
        <v>0.53773148148148142</v>
      </c>
      <c r="N6" s="416">
        <v>86.037037037037024</v>
      </c>
      <c r="O6" s="418">
        <v>0.25</v>
      </c>
      <c r="P6" s="416">
        <v>0.47446895424836599</v>
      </c>
      <c r="Q6" s="416">
        <v>75.915032679738559</v>
      </c>
      <c r="R6" s="419">
        <v>0.15</v>
      </c>
      <c r="S6" s="371"/>
    </row>
    <row r="7" spans="1:19">
      <c r="A7" s="371" t="s">
        <v>1498</v>
      </c>
      <c r="B7" s="414" t="s">
        <v>1690</v>
      </c>
      <c r="C7" s="397" t="s">
        <v>1612</v>
      </c>
      <c r="D7" s="398">
        <v>60</v>
      </c>
      <c r="E7" s="398" t="s">
        <v>2</v>
      </c>
      <c r="F7" s="398">
        <v>40</v>
      </c>
      <c r="G7" s="404">
        <v>34.5</v>
      </c>
      <c r="H7" s="415">
        <v>0.8</v>
      </c>
      <c r="I7" s="416">
        <f t="shared" si="0"/>
        <v>47.916666666666671</v>
      </c>
      <c r="J7" s="416">
        <v>1.5972222222222223</v>
      </c>
      <c r="K7" s="416">
        <v>95.833333333333343</v>
      </c>
      <c r="L7" s="417">
        <v>0.5</v>
      </c>
      <c r="M7" s="416">
        <v>1.0648148148148149</v>
      </c>
      <c r="N7" s="416">
        <v>63.888888888888893</v>
      </c>
      <c r="O7" s="418">
        <v>0.25</v>
      </c>
      <c r="P7" s="416">
        <v>0.93954248366013082</v>
      </c>
      <c r="Q7" s="416">
        <v>56.372549019607852</v>
      </c>
      <c r="R7" s="419">
        <v>0.15</v>
      </c>
      <c r="S7" s="371"/>
    </row>
    <row r="8" spans="1:19">
      <c r="A8" s="371" t="s">
        <v>1498</v>
      </c>
      <c r="B8" s="414" t="s">
        <v>1691</v>
      </c>
      <c r="C8" s="397" t="s">
        <v>1614</v>
      </c>
      <c r="D8" s="398">
        <v>340</v>
      </c>
      <c r="E8" s="398" t="s">
        <v>2</v>
      </c>
      <c r="F8" s="371"/>
      <c r="G8" s="404">
        <v>62.11</v>
      </c>
      <c r="H8" s="415">
        <v>0.25</v>
      </c>
      <c r="I8" s="416">
        <f t="shared" si="0"/>
        <v>86.263888888888886</v>
      </c>
      <c r="J8" s="416">
        <v>0.50743464052287579</v>
      </c>
      <c r="K8" s="416">
        <v>172.52777777777777</v>
      </c>
      <c r="L8" s="417">
        <v>0.5</v>
      </c>
      <c r="M8" s="416">
        <v>0.33828976034858388</v>
      </c>
      <c r="N8" s="416">
        <v>115.01851851851852</v>
      </c>
      <c r="O8" s="418">
        <v>0.25</v>
      </c>
      <c r="P8" s="416">
        <v>0.29849096501345634</v>
      </c>
      <c r="Q8" s="416">
        <v>101.48692810457516</v>
      </c>
      <c r="R8" s="419">
        <v>0.15</v>
      </c>
      <c r="S8" s="371"/>
    </row>
    <row r="9" spans="1:19">
      <c r="A9" s="371" t="s">
        <v>1498</v>
      </c>
      <c r="B9" s="414" t="s">
        <v>1692</v>
      </c>
      <c r="C9" s="397" t="s">
        <v>1615</v>
      </c>
      <c r="D9" s="398">
        <v>96</v>
      </c>
      <c r="E9" s="398" t="s">
        <v>2</v>
      </c>
      <c r="F9" s="371"/>
      <c r="G9" s="404">
        <v>35.67</v>
      </c>
      <c r="H9" s="415">
        <v>0.52</v>
      </c>
      <c r="I9" s="416">
        <f t="shared" si="0"/>
        <v>49.541666666666664</v>
      </c>
      <c r="J9" s="416">
        <v>1.0321180555555556</v>
      </c>
      <c r="K9" s="416">
        <v>99.083333333333329</v>
      </c>
      <c r="L9" s="417">
        <v>0.5</v>
      </c>
      <c r="M9" s="416">
        <v>0.68807870370370372</v>
      </c>
      <c r="N9" s="416">
        <v>66.055555555555557</v>
      </c>
      <c r="O9" s="418">
        <v>0.25</v>
      </c>
      <c r="P9" s="416">
        <v>0.60712826797385622</v>
      </c>
      <c r="Q9" s="416">
        <v>58.284313725490193</v>
      </c>
      <c r="R9" s="419">
        <v>0.15</v>
      </c>
      <c r="S9" s="371"/>
    </row>
    <row r="10" spans="1:19" ht="15.75">
      <c r="A10" s="420" t="s">
        <v>1498</v>
      </c>
      <c r="B10" s="420" t="s">
        <v>1669</v>
      </c>
      <c r="C10" s="397" t="s">
        <v>1670</v>
      </c>
      <c r="D10" s="421">
        <v>100</v>
      </c>
      <c r="E10" s="421" t="s">
        <v>2</v>
      </c>
      <c r="F10" s="371"/>
      <c r="G10" s="422"/>
      <c r="H10" s="416">
        <v>0.6</v>
      </c>
      <c r="I10" s="416">
        <f>H10*D10</f>
        <v>60</v>
      </c>
      <c r="J10" s="416">
        <f>H10*2</f>
        <v>1.2</v>
      </c>
      <c r="K10" s="416">
        <f>J10*D10</f>
        <v>120</v>
      </c>
      <c r="L10" s="417">
        <v>0.5</v>
      </c>
      <c r="M10" s="416">
        <f>N10/100</f>
        <v>0.8</v>
      </c>
      <c r="N10" s="416">
        <f>I10/0.75</f>
        <v>80</v>
      </c>
      <c r="O10" s="418">
        <v>0.25</v>
      </c>
      <c r="P10" s="416">
        <f>Q10/100</f>
        <v>0.70588235294117652</v>
      </c>
      <c r="Q10" s="416">
        <f>I10/0.85</f>
        <v>70.588235294117652</v>
      </c>
      <c r="R10" s="419">
        <v>0.15</v>
      </c>
      <c r="S10" s="371"/>
    </row>
    <row r="11" spans="1:19" ht="15.75">
      <c r="A11" s="420" t="s">
        <v>1498</v>
      </c>
      <c r="B11" s="423" t="s">
        <v>1671</v>
      </c>
      <c r="C11" s="397" t="s">
        <v>1517</v>
      </c>
      <c r="D11" s="424">
        <v>120</v>
      </c>
      <c r="E11" s="421" t="s">
        <v>2</v>
      </c>
      <c r="F11" s="371"/>
      <c r="G11" s="404">
        <v>37.020000000000003</v>
      </c>
      <c r="H11" s="416">
        <f>I11/D11</f>
        <v>0.4284722222222222</v>
      </c>
      <c r="I11" s="416">
        <f t="shared" ref="I11" si="1">G11/0.9*1.25</f>
        <v>51.416666666666664</v>
      </c>
      <c r="J11" s="416">
        <f t="shared" ref="J11:J12" si="2">H11*2</f>
        <v>0.8569444444444444</v>
      </c>
      <c r="K11" s="416">
        <f t="shared" ref="K11:K12" si="3">J11*D11</f>
        <v>102.83333333333333</v>
      </c>
      <c r="L11" s="417">
        <v>0.5</v>
      </c>
      <c r="M11" s="425">
        <f>N11/D11</f>
        <v>0.5712962962962963</v>
      </c>
      <c r="N11" s="426">
        <f>I11/0.75</f>
        <v>68.555555555555557</v>
      </c>
      <c r="O11" s="418">
        <v>0.25</v>
      </c>
      <c r="P11" s="416">
        <f>Q11/D11</f>
        <v>0.50408496732026142</v>
      </c>
      <c r="Q11" s="416">
        <f>I11/0.85</f>
        <v>60.490196078431374</v>
      </c>
      <c r="R11" s="419">
        <v>0.15</v>
      </c>
      <c r="S11" s="371"/>
    </row>
    <row r="12" spans="1:19">
      <c r="A12" s="371" t="s">
        <v>1498</v>
      </c>
      <c r="B12" s="414" t="s">
        <v>1716</v>
      </c>
      <c r="C12" s="397" t="s">
        <v>1515</v>
      </c>
      <c r="D12" s="398">
        <v>380</v>
      </c>
      <c r="E12" s="398" t="s">
        <v>2</v>
      </c>
      <c r="F12" s="398">
        <v>24</v>
      </c>
      <c r="G12" s="404">
        <v>78</v>
      </c>
      <c r="H12" s="402">
        <f>I12/D12</f>
        <v>0.27368421052631581</v>
      </c>
      <c r="I12" s="402">
        <f>G12/0.9*1.2</f>
        <v>104</v>
      </c>
      <c r="J12" s="416">
        <f t="shared" si="2"/>
        <v>0.54736842105263162</v>
      </c>
      <c r="K12" s="416">
        <f t="shared" si="3"/>
        <v>208</v>
      </c>
      <c r="L12" s="417">
        <v>0.5</v>
      </c>
      <c r="M12" s="425">
        <f>N12/D12</f>
        <v>0.36491228070175435</v>
      </c>
      <c r="N12" s="426">
        <f>I12/0.75</f>
        <v>138.66666666666666</v>
      </c>
      <c r="O12" s="427">
        <v>0.25</v>
      </c>
      <c r="P12" s="400">
        <f>Q12/D12</f>
        <v>0.32198142414860681</v>
      </c>
      <c r="Q12" s="400">
        <f>I12/0.85</f>
        <v>122.35294117647059</v>
      </c>
      <c r="R12" s="427">
        <v>0.15</v>
      </c>
      <c r="S12" s="371"/>
    </row>
    <row r="13" spans="1:19">
      <c r="A13" s="371"/>
      <c r="B13" s="414"/>
      <c r="C13" s="397"/>
      <c r="D13" s="398"/>
      <c r="E13" s="398"/>
      <c r="F13" s="398"/>
      <c r="G13" s="404"/>
      <c r="H13" s="402"/>
      <c r="I13" s="402"/>
      <c r="J13" s="428"/>
      <c r="K13" s="429"/>
      <c r="L13" s="399"/>
      <c r="M13" s="428"/>
      <c r="N13" s="429"/>
      <c r="O13" s="399"/>
      <c r="P13" s="400"/>
      <c r="Q13" s="400"/>
      <c r="R13" s="401"/>
      <c r="S13" s="371"/>
    </row>
    <row r="14" spans="1:19">
      <c r="A14" s="85" t="s">
        <v>1144</v>
      </c>
      <c r="B14" s="85" t="s">
        <v>1695</v>
      </c>
      <c r="C14" s="88" t="s">
        <v>1433</v>
      </c>
      <c r="D14" s="192">
        <v>8</v>
      </c>
      <c r="E14" s="192" t="s">
        <v>2</v>
      </c>
      <c r="F14" s="192">
        <v>24</v>
      </c>
      <c r="G14" s="410"/>
      <c r="H14" s="411">
        <v>2.9120000000000004</v>
      </c>
      <c r="I14" s="411">
        <f t="shared" ref="I14:I22" si="4">D14*H14</f>
        <v>23.296000000000003</v>
      </c>
      <c r="J14" s="85"/>
      <c r="K14" s="85"/>
      <c r="L14" s="85"/>
      <c r="M14" s="85"/>
      <c r="N14" s="85"/>
      <c r="O14" s="85"/>
      <c r="P14" s="412">
        <v>4.7562666666666633</v>
      </c>
      <c r="Q14" s="412">
        <f>+P14*D14</f>
        <v>38.050133333333306</v>
      </c>
      <c r="R14" s="413">
        <f t="shared" ref="R14:R22" si="5">(P14-H14)/P14</f>
        <v>0.38775510204081581</v>
      </c>
    </row>
    <row r="15" spans="1:19">
      <c r="A15" s="371" t="s">
        <v>1144</v>
      </c>
      <c r="B15" s="371" t="s">
        <v>1696</v>
      </c>
      <c r="C15" s="397" t="s">
        <v>1434</v>
      </c>
      <c r="D15" s="398">
        <v>10</v>
      </c>
      <c r="E15" s="398" t="s">
        <v>2</v>
      </c>
      <c r="F15" s="398">
        <v>24</v>
      </c>
      <c r="G15" s="404"/>
      <c r="H15" s="402">
        <v>5.8290823529411773</v>
      </c>
      <c r="I15" s="402">
        <f t="shared" si="4"/>
        <v>58.290823529411774</v>
      </c>
      <c r="J15" s="371"/>
      <c r="K15" s="371"/>
      <c r="L15" s="371"/>
      <c r="M15" s="371"/>
      <c r="N15" s="371"/>
      <c r="O15" s="371"/>
      <c r="P15" s="400">
        <v>9.5208345098039242</v>
      </c>
      <c r="Q15" s="400">
        <f t="shared" ref="Q15:Q22" si="6">+P15*D15</f>
        <v>95.208345098039246</v>
      </c>
      <c r="R15" s="401">
        <f t="shared" si="5"/>
        <v>0.38775510204081642</v>
      </c>
    </row>
    <row r="16" spans="1:19">
      <c r="A16" s="371" t="s">
        <v>1144</v>
      </c>
      <c r="B16" s="371" t="s">
        <v>1697</v>
      </c>
      <c r="C16" s="397" t="s">
        <v>1435</v>
      </c>
      <c r="D16" s="398">
        <v>6</v>
      </c>
      <c r="E16" s="398" t="s">
        <v>2</v>
      </c>
      <c r="F16" s="398">
        <v>24</v>
      </c>
      <c r="G16" s="404"/>
      <c r="H16" s="402">
        <v>7.6256000000000004</v>
      </c>
      <c r="I16" s="402">
        <f t="shared" si="4"/>
        <v>45.753600000000006</v>
      </c>
      <c r="J16" s="371"/>
      <c r="K16" s="371"/>
      <c r="L16" s="371"/>
      <c r="M16" s="371"/>
      <c r="N16" s="371"/>
      <c r="O16" s="371"/>
      <c r="P16" s="400">
        <v>12.455146666666668</v>
      </c>
      <c r="Q16" s="400">
        <f t="shared" si="6"/>
        <v>74.730880000000013</v>
      </c>
      <c r="R16" s="401">
        <f t="shared" si="5"/>
        <v>0.38775510204081637</v>
      </c>
    </row>
    <row r="17" spans="1:18">
      <c r="A17" s="371" t="s">
        <v>1144</v>
      </c>
      <c r="B17" s="371" t="s">
        <v>1698</v>
      </c>
      <c r="C17" s="397" t="s">
        <v>1436</v>
      </c>
      <c r="D17" s="398">
        <v>18</v>
      </c>
      <c r="E17" s="398" t="s">
        <v>2</v>
      </c>
      <c r="F17" s="398">
        <v>24</v>
      </c>
      <c r="G17" s="404"/>
      <c r="H17" s="402">
        <v>4.5119999999999996</v>
      </c>
      <c r="I17" s="402">
        <f t="shared" si="4"/>
        <v>81.215999999999994</v>
      </c>
      <c r="J17" s="371"/>
      <c r="K17" s="371"/>
      <c r="L17" s="371"/>
      <c r="M17" s="371"/>
      <c r="N17" s="371"/>
      <c r="O17" s="371"/>
      <c r="P17" s="400">
        <v>7.3695999999999993</v>
      </c>
      <c r="Q17" s="400">
        <f t="shared" si="6"/>
        <v>132.65279999999998</v>
      </c>
      <c r="R17" s="401">
        <f t="shared" si="5"/>
        <v>0.38775510204081631</v>
      </c>
    </row>
    <row r="18" spans="1:18">
      <c r="A18" s="371" t="s">
        <v>1144</v>
      </c>
      <c r="B18" s="371" t="s">
        <v>1699</v>
      </c>
      <c r="C18" s="397" t="s">
        <v>1437</v>
      </c>
      <c r="D18" s="398">
        <v>8</v>
      </c>
      <c r="E18" s="398" t="s">
        <v>2</v>
      </c>
      <c r="F18" s="398">
        <v>24</v>
      </c>
      <c r="G18" s="404"/>
      <c r="H18" s="402">
        <v>7.3680000000000012</v>
      </c>
      <c r="I18" s="402">
        <f t="shared" si="4"/>
        <v>58.94400000000001</v>
      </c>
      <c r="J18" s="371"/>
      <c r="K18" s="371"/>
      <c r="L18" s="371"/>
      <c r="M18" s="371"/>
      <c r="N18" s="371"/>
      <c r="O18" s="371"/>
      <c r="P18" s="400">
        <v>12.034400000000003</v>
      </c>
      <c r="Q18" s="400">
        <f t="shared" si="6"/>
        <v>96.275200000000027</v>
      </c>
      <c r="R18" s="401">
        <f t="shared" si="5"/>
        <v>0.38775510204081637</v>
      </c>
    </row>
    <row r="19" spans="1:18">
      <c r="A19" s="371" t="s">
        <v>1144</v>
      </c>
      <c r="B19" s="371" t="s">
        <v>1700</v>
      </c>
      <c r="C19" s="397" t="s">
        <v>1438</v>
      </c>
      <c r="D19" s="398">
        <v>10</v>
      </c>
      <c r="E19" s="398" t="s">
        <v>2</v>
      </c>
      <c r="F19" s="398">
        <v>24</v>
      </c>
      <c r="G19" s="404"/>
      <c r="H19" s="402">
        <v>3.7391999999999999</v>
      </c>
      <c r="I19" s="402">
        <f t="shared" si="4"/>
        <v>37.391999999999996</v>
      </c>
      <c r="J19" s="371"/>
      <c r="K19" s="371"/>
      <c r="L19" s="371"/>
      <c r="M19" s="371"/>
      <c r="N19" s="371"/>
      <c r="O19" s="371"/>
      <c r="P19" s="400">
        <v>6.1073599999999999</v>
      </c>
      <c r="Q19" s="400">
        <f t="shared" si="6"/>
        <v>61.073599999999999</v>
      </c>
      <c r="R19" s="401">
        <f t="shared" si="5"/>
        <v>0.38775510204081631</v>
      </c>
    </row>
    <row r="20" spans="1:18">
      <c r="A20" s="371" t="s">
        <v>1144</v>
      </c>
      <c r="B20" s="371" t="s">
        <v>1701</v>
      </c>
      <c r="C20" s="397" t="s">
        <v>1439</v>
      </c>
      <c r="D20" s="398">
        <v>24</v>
      </c>
      <c r="E20" s="398" t="s">
        <v>2</v>
      </c>
      <c r="F20" s="398">
        <v>24</v>
      </c>
      <c r="G20" s="404"/>
      <c r="H20" s="402">
        <v>3.0896000000000003</v>
      </c>
      <c r="I20" s="402">
        <f t="shared" si="4"/>
        <v>74.150400000000005</v>
      </c>
      <c r="J20" s="371"/>
      <c r="K20" s="371"/>
      <c r="L20" s="371"/>
      <c r="M20" s="371"/>
      <c r="N20" s="371"/>
      <c r="O20" s="371"/>
      <c r="P20" s="400">
        <v>5.0463466666666674</v>
      </c>
      <c r="Q20" s="400">
        <f t="shared" si="6"/>
        <v>121.11232000000001</v>
      </c>
      <c r="R20" s="401">
        <f t="shared" si="5"/>
        <v>0.38775510204081637</v>
      </c>
    </row>
    <row r="21" spans="1:18">
      <c r="A21" s="371" t="s">
        <v>1144</v>
      </c>
      <c r="B21" s="371" t="s">
        <v>1702</v>
      </c>
      <c r="C21" s="397" t="s">
        <v>1440</v>
      </c>
      <c r="D21" s="398">
        <v>6</v>
      </c>
      <c r="E21" s="398" t="s">
        <v>2</v>
      </c>
      <c r="F21" s="398">
        <v>24</v>
      </c>
      <c r="G21" s="404"/>
      <c r="H21" s="402">
        <v>7.0752000000000015</v>
      </c>
      <c r="I21" s="402">
        <f t="shared" si="4"/>
        <v>42.451200000000007</v>
      </c>
      <c r="J21" s="371"/>
      <c r="K21" s="371"/>
      <c r="L21" s="371"/>
      <c r="M21" s="371"/>
      <c r="N21" s="371"/>
      <c r="O21" s="371"/>
      <c r="P21" s="400">
        <v>11.556160000000004</v>
      </c>
      <c r="Q21" s="400">
        <f t="shared" si="6"/>
        <v>69.336960000000019</v>
      </c>
      <c r="R21" s="401">
        <f t="shared" si="5"/>
        <v>0.38775510204081642</v>
      </c>
    </row>
    <row r="22" spans="1:18">
      <c r="A22" s="371" t="s">
        <v>1144</v>
      </c>
      <c r="B22" s="371" t="s">
        <v>1703</v>
      </c>
      <c r="C22" s="397" t="s">
        <v>1441</v>
      </c>
      <c r="D22" s="398">
        <v>30</v>
      </c>
      <c r="E22" s="398" t="s">
        <v>2</v>
      </c>
      <c r="F22" s="398">
        <v>24</v>
      </c>
      <c r="G22" s="404"/>
      <c r="H22" s="402">
        <v>2.56</v>
      </c>
      <c r="I22" s="402">
        <f t="shared" si="4"/>
        <v>76.8</v>
      </c>
      <c r="J22" s="371"/>
      <c r="K22" s="371"/>
      <c r="L22" s="371"/>
      <c r="M22" s="371"/>
      <c r="N22" s="371"/>
      <c r="O22" s="371"/>
      <c r="P22" s="400">
        <v>4.1813333333333329</v>
      </c>
      <c r="Q22" s="400">
        <f t="shared" si="6"/>
        <v>125.43999999999998</v>
      </c>
      <c r="R22" s="401">
        <f t="shared" si="5"/>
        <v>0.38775510204081626</v>
      </c>
    </row>
    <row r="23" spans="1:18">
      <c r="G23" s="405"/>
    </row>
    <row r="24" spans="1:18">
      <c r="G24" s="405"/>
    </row>
    <row r="25" spans="1:18">
      <c r="A25" s="373" t="s">
        <v>354</v>
      </c>
      <c r="B25" s="373" t="s">
        <v>1704</v>
      </c>
      <c r="C25" s="373" t="s">
        <v>1317</v>
      </c>
      <c r="D25" s="374">
        <v>60</v>
      </c>
      <c r="E25" s="374" t="s">
        <v>2</v>
      </c>
      <c r="F25" s="374">
        <v>24</v>
      </c>
      <c r="G25" s="403">
        <v>1.1000000000000001</v>
      </c>
      <c r="H25" s="394">
        <f>G25/0.9*1.25</f>
        <v>1.5277777777777779</v>
      </c>
      <c r="I25" s="394">
        <f>H25*D25</f>
        <v>91.666666666666671</v>
      </c>
      <c r="J25" s="394">
        <f>H25*2</f>
        <v>3.0555555555555558</v>
      </c>
      <c r="K25" s="394">
        <f>J25*D25</f>
        <v>183.33333333333334</v>
      </c>
      <c r="L25" s="396">
        <v>0.5</v>
      </c>
      <c r="M25" s="394">
        <f>H25/0.75</f>
        <v>2.0370370370370372</v>
      </c>
      <c r="N25" s="394">
        <f>M25*D25</f>
        <v>122.22222222222223</v>
      </c>
      <c r="O25" s="395">
        <v>0.25</v>
      </c>
      <c r="P25" s="394">
        <f>H25/0.85</f>
        <v>1.797385620915033</v>
      </c>
      <c r="Q25" s="394">
        <f>P25*D25</f>
        <v>107.84313725490198</v>
      </c>
      <c r="R25" s="395">
        <v>0.15</v>
      </c>
    </row>
    <row r="26" spans="1:18">
      <c r="A26" s="373" t="s">
        <v>354</v>
      </c>
      <c r="B26" s="373" t="s">
        <v>1705</v>
      </c>
      <c r="C26" s="373" t="s">
        <v>1318</v>
      </c>
      <c r="D26" s="374">
        <v>54</v>
      </c>
      <c r="E26" s="374" t="s">
        <v>2</v>
      </c>
      <c r="F26" s="374">
        <v>24</v>
      </c>
      <c r="G26" s="403">
        <v>1.1000000000000001</v>
      </c>
      <c r="H26" s="394">
        <f t="shared" ref="H26:H32" si="7">G26/0.9*1.25</f>
        <v>1.5277777777777779</v>
      </c>
      <c r="I26" s="394">
        <f t="shared" ref="I26:I36" si="8">H26*D26</f>
        <v>82.5</v>
      </c>
      <c r="J26" s="394">
        <f t="shared" ref="J26:J36" si="9">H26*2</f>
        <v>3.0555555555555558</v>
      </c>
      <c r="K26" s="394">
        <f t="shared" ref="K26:K36" si="10">J26*D26</f>
        <v>165</v>
      </c>
      <c r="L26" s="396">
        <v>0.5</v>
      </c>
      <c r="M26" s="394">
        <f t="shared" ref="M26:M36" si="11">H26/0.75</f>
        <v>2.0370370370370372</v>
      </c>
      <c r="N26" s="394">
        <f t="shared" ref="N26:N36" si="12">M26*D26</f>
        <v>110.00000000000001</v>
      </c>
      <c r="O26" s="395">
        <v>0.25</v>
      </c>
      <c r="P26" s="394">
        <f t="shared" ref="P26:P36" si="13">H26/0.85</f>
        <v>1.797385620915033</v>
      </c>
      <c r="Q26" s="394">
        <f t="shared" ref="Q26:Q36" si="14">P26*D26</f>
        <v>97.058823529411782</v>
      </c>
      <c r="R26" s="395">
        <v>0.15</v>
      </c>
    </row>
    <row r="27" spans="1:18">
      <c r="A27" s="373" t="s">
        <v>354</v>
      </c>
      <c r="B27" s="373" t="s">
        <v>1706</v>
      </c>
      <c r="C27" s="373" t="s">
        <v>1319</v>
      </c>
      <c r="D27" s="374">
        <v>54</v>
      </c>
      <c r="E27" s="374" t="s">
        <v>2</v>
      </c>
      <c r="F27" s="374">
        <v>24</v>
      </c>
      <c r="G27" s="403">
        <v>1.1000000000000001</v>
      </c>
      <c r="H27" s="394">
        <f t="shared" si="7"/>
        <v>1.5277777777777779</v>
      </c>
      <c r="I27" s="394">
        <f t="shared" si="8"/>
        <v>82.5</v>
      </c>
      <c r="J27" s="394">
        <f t="shared" si="9"/>
        <v>3.0555555555555558</v>
      </c>
      <c r="K27" s="394">
        <f t="shared" si="10"/>
        <v>165</v>
      </c>
      <c r="L27" s="396">
        <v>0.5</v>
      </c>
      <c r="M27" s="394">
        <f t="shared" si="11"/>
        <v>2.0370370370370372</v>
      </c>
      <c r="N27" s="394">
        <f t="shared" si="12"/>
        <v>110.00000000000001</v>
      </c>
      <c r="O27" s="395">
        <v>0.25</v>
      </c>
      <c r="P27" s="394">
        <f t="shared" si="13"/>
        <v>1.797385620915033</v>
      </c>
      <c r="Q27" s="394">
        <f t="shared" si="14"/>
        <v>97.058823529411782</v>
      </c>
      <c r="R27" s="395">
        <v>0.15</v>
      </c>
    </row>
    <row r="28" spans="1:18">
      <c r="A28" s="373" t="s">
        <v>354</v>
      </c>
      <c r="B28" s="373" t="s">
        <v>1707</v>
      </c>
      <c r="C28" s="373" t="s">
        <v>1320</v>
      </c>
      <c r="D28" s="374">
        <v>50</v>
      </c>
      <c r="E28" s="374" t="s">
        <v>2</v>
      </c>
      <c r="F28" s="374">
        <v>24</v>
      </c>
      <c r="G28" s="403">
        <v>1.1000000000000001</v>
      </c>
      <c r="H28" s="394">
        <f t="shared" si="7"/>
        <v>1.5277777777777779</v>
      </c>
      <c r="I28" s="394">
        <f t="shared" si="8"/>
        <v>76.3888888888889</v>
      </c>
      <c r="J28" s="394">
        <f t="shared" si="9"/>
        <v>3.0555555555555558</v>
      </c>
      <c r="K28" s="394">
        <f t="shared" si="10"/>
        <v>152.7777777777778</v>
      </c>
      <c r="L28" s="396">
        <v>0.5</v>
      </c>
      <c r="M28" s="394">
        <f t="shared" si="11"/>
        <v>2.0370370370370372</v>
      </c>
      <c r="N28" s="394">
        <f t="shared" si="12"/>
        <v>101.85185185185186</v>
      </c>
      <c r="O28" s="395">
        <v>0.25</v>
      </c>
      <c r="P28" s="394">
        <f t="shared" si="13"/>
        <v>1.797385620915033</v>
      </c>
      <c r="Q28" s="394">
        <f t="shared" si="14"/>
        <v>89.869281045751649</v>
      </c>
      <c r="R28" s="395">
        <v>0.15</v>
      </c>
    </row>
    <row r="29" spans="1:18">
      <c r="A29" s="373" t="s">
        <v>354</v>
      </c>
      <c r="B29" s="373" t="s">
        <v>1708</v>
      </c>
      <c r="C29" s="373" t="s">
        <v>1321</v>
      </c>
      <c r="D29" s="374">
        <v>60</v>
      </c>
      <c r="E29" s="374" t="s">
        <v>2</v>
      </c>
      <c r="F29" s="374">
        <v>24</v>
      </c>
      <c r="G29" s="406">
        <v>1.28</v>
      </c>
      <c r="H29" s="394">
        <f t="shared" si="7"/>
        <v>1.7777777777777779</v>
      </c>
      <c r="I29" s="394">
        <f t="shared" si="8"/>
        <v>106.66666666666667</v>
      </c>
      <c r="J29" s="394">
        <f t="shared" si="9"/>
        <v>3.5555555555555558</v>
      </c>
      <c r="K29" s="394">
        <f t="shared" si="10"/>
        <v>213.33333333333334</v>
      </c>
      <c r="L29" s="396">
        <v>0.5</v>
      </c>
      <c r="M29" s="394">
        <f t="shared" si="11"/>
        <v>2.3703703703703707</v>
      </c>
      <c r="N29" s="394">
        <f t="shared" si="12"/>
        <v>142.22222222222223</v>
      </c>
      <c r="O29" s="395">
        <v>0.25</v>
      </c>
      <c r="P29" s="394">
        <f t="shared" si="13"/>
        <v>2.0915032679738563</v>
      </c>
      <c r="Q29" s="394">
        <f t="shared" si="14"/>
        <v>125.49019607843138</v>
      </c>
      <c r="R29" s="395">
        <v>0.15</v>
      </c>
    </row>
    <row r="30" spans="1:18">
      <c r="A30" s="373" t="s">
        <v>354</v>
      </c>
      <c r="B30" s="373" t="s">
        <v>1709</v>
      </c>
      <c r="C30" s="373" t="s">
        <v>1322</v>
      </c>
      <c r="D30" s="374">
        <v>46</v>
      </c>
      <c r="E30" s="374" t="s">
        <v>2</v>
      </c>
      <c r="F30" s="374">
        <v>24</v>
      </c>
      <c r="G30" s="406">
        <v>1.28</v>
      </c>
      <c r="H30" s="394">
        <f t="shared" si="7"/>
        <v>1.7777777777777779</v>
      </c>
      <c r="I30" s="394">
        <f t="shared" si="8"/>
        <v>81.777777777777786</v>
      </c>
      <c r="J30" s="394">
        <f t="shared" si="9"/>
        <v>3.5555555555555558</v>
      </c>
      <c r="K30" s="394">
        <f t="shared" si="10"/>
        <v>163.55555555555557</v>
      </c>
      <c r="L30" s="396">
        <v>0.5</v>
      </c>
      <c r="M30" s="394">
        <f t="shared" si="11"/>
        <v>2.3703703703703707</v>
      </c>
      <c r="N30" s="394">
        <f t="shared" si="12"/>
        <v>109.03703703703705</v>
      </c>
      <c r="O30" s="395">
        <v>0.25</v>
      </c>
      <c r="P30" s="394">
        <f t="shared" si="13"/>
        <v>2.0915032679738563</v>
      </c>
      <c r="Q30" s="394">
        <f t="shared" si="14"/>
        <v>96.209150326797385</v>
      </c>
      <c r="R30" s="395">
        <v>0.15</v>
      </c>
    </row>
    <row r="31" spans="1:18">
      <c r="A31" s="373" t="s">
        <v>354</v>
      </c>
      <c r="B31" s="373" t="s">
        <v>1710</v>
      </c>
      <c r="C31" s="373" t="s">
        <v>1323</v>
      </c>
      <c r="D31" s="374">
        <v>42</v>
      </c>
      <c r="E31" s="374" t="s">
        <v>2</v>
      </c>
      <c r="F31" s="374">
        <v>24</v>
      </c>
      <c r="G31" s="406">
        <v>1.28</v>
      </c>
      <c r="H31" s="394">
        <f t="shared" si="7"/>
        <v>1.7777777777777779</v>
      </c>
      <c r="I31" s="394">
        <f t="shared" si="8"/>
        <v>74.666666666666671</v>
      </c>
      <c r="J31" s="394">
        <f t="shared" si="9"/>
        <v>3.5555555555555558</v>
      </c>
      <c r="K31" s="394">
        <f t="shared" si="10"/>
        <v>149.33333333333334</v>
      </c>
      <c r="L31" s="396">
        <v>0.5</v>
      </c>
      <c r="M31" s="394">
        <f t="shared" si="11"/>
        <v>2.3703703703703707</v>
      </c>
      <c r="N31" s="394">
        <f t="shared" si="12"/>
        <v>99.555555555555571</v>
      </c>
      <c r="O31" s="395">
        <v>0.25</v>
      </c>
      <c r="P31" s="394">
        <f t="shared" si="13"/>
        <v>2.0915032679738563</v>
      </c>
      <c r="Q31" s="394">
        <f t="shared" si="14"/>
        <v>87.843137254901961</v>
      </c>
      <c r="R31" s="395">
        <v>0.15</v>
      </c>
    </row>
    <row r="32" spans="1:18">
      <c r="A32" s="373" t="s">
        <v>354</v>
      </c>
      <c r="B32" s="373" t="s">
        <v>1711</v>
      </c>
      <c r="C32" s="373" t="s">
        <v>1324</v>
      </c>
      <c r="D32" s="374">
        <v>42</v>
      </c>
      <c r="E32" s="374" t="s">
        <v>2</v>
      </c>
      <c r="F32" s="374">
        <v>24</v>
      </c>
      <c r="G32" s="406">
        <v>1.28</v>
      </c>
      <c r="H32" s="394">
        <f t="shared" si="7"/>
        <v>1.7777777777777779</v>
      </c>
      <c r="I32" s="394">
        <f t="shared" si="8"/>
        <v>74.666666666666671</v>
      </c>
      <c r="J32" s="394">
        <f t="shared" si="9"/>
        <v>3.5555555555555558</v>
      </c>
      <c r="K32" s="394">
        <f t="shared" si="10"/>
        <v>149.33333333333334</v>
      </c>
      <c r="L32" s="396">
        <v>0.5</v>
      </c>
      <c r="M32" s="394">
        <f t="shared" si="11"/>
        <v>2.3703703703703707</v>
      </c>
      <c r="N32" s="394">
        <f t="shared" si="12"/>
        <v>99.555555555555571</v>
      </c>
      <c r="O32" s="395">
        <v>0.25</v>
      </c>
      <c r="P32" s="394">
        <f t="shared" si="13"/>
        <v>2.0915032679738563</v>
      </c>
      <c r="Q32" s="394">
        <f t="shared" si="14"/>
        <v>87.843137254901961</v>
      </c>
      <c r="R32" s="395">
        <v>0.15</v>
      </c>
    </row>
    <row r="33" spans="1:18">
      <c r="A33" s="373" t="s">
        <v>354</v>
      </c>
      <c r="B33" s="373" t="s">
        <v>1712</v>
      </c>
      <c r="C33" s="373" t="s">
        <v>1325</v>
      </c>
      <c r="D33" s="374">
        <v>50</v>
      </c>
      <c r="E33" s="374" t="s">
        <v>2</v>
      </c>
      <c r="F33" s="374">
        <v>24</v>
      </c>
      <c r="G33" s="403">
        <v>2.67</v>
      </c>
      <c r="H33" s="394">
        <f>G33/0.9*1.15</f>
        <v>3.4116666666666662</v>
      </c>
      <c r="I33" s="394">
        <f t="shared" si="8"/>
        <v>170.58333333333331</v>
      </c>
      <c r="J33" s="394">
        <f t="shared" si="9"/>
        <v>6.8233333333333324</v>
      </c>
      <c r="K33" s="394">
        <f t="shared" si="10"/>
        <v>341.16666666666663</v>
      </c>
      <c r="L33" s="396">
        <v>0.5</v>
      </c>
      <c r="M33" s="394">
        <f t="shared" si="11"/>
        <v>4.5488888888888885</v>
      </c>
      <c r="N33" s="394">
        <f t="shared" si="12"/>
        <v>227.44444444444443</v>
      </c>
      <c r="O33" s="395">
        <v>0.25</v>
      </c>
      <c r="P33" s="394">
        <f t="shared" si="13"/>
        <v>4.0137254901960784</v>
      </c>
      <c r="Q33" s="394">
        <f t="shared" si="14"/>
        <v>200.68627450980392</v>
      </c>
      <c r="R33" s="395">
        <v>0.15</v>
      </c>
    </row>
    <row r="34" spans="1:18">
      <c r="A34" s="373" t="s">
        <v>354</v>
      </c>
      <c r="B34" s="373" t="s">
        <v>1713</v>
      </c>
      <c r="C34" s="373" t="s">
        <v>1326</v>
      </c>
      <c r="D34" s="374">
        <v>46</v>
      </c>
      <c r="E34" s="374" t="s">
        <v>2</v>
      </c>
      <c r="F34" s="374">
        <v>24</v>
      </c>
      <c r="G34" s="403">
        <v>2.67</v>
      </c>
      <c r="H34" s="394">
        <f t="shared" ref="H34:H36" si="15">G34/0.9*1.15</f>
        <v>3.4116666666666662</v>
      </c>
      <c r="I34" s="394">
        <f t="shared" si="8"/>
        <v>156.93666666666664</v>
      </c>
      <c r="J34" s="394">
        <f t="shared" si="9"/>
        <v>6.8233333333333324</v>
      </c>
      <c r="K34" s="394">
        <f t="shared" si="10"/>
        <v>313.87333333333328</v>
      </c>
      <c r="L34" s="396">
        <v>0.5</v>
      </c>
      <c r="M34" s="394">
        <f t="shared" si="11"/>
        <v>4.5488888888888885</v>
      </c>
      <c r="N34" s="394">
        <f t="shared" si="12"/>
        <v>209.24888888888887</v>
      </c>
      <c r="O34" s="395">
        <v>0.25</v>
      </c>
      <c r="P34" s="394">
        <f t="shared" si="13"/>
        <v>4.0137254901960784</v>
      </c>
      <c r="Q34" s="394">
        <f t="shared" si="14"/>
        <v>184.6313725490196</v>
      </c>
      <c r="R34" s="395">
        <v>0.15</v>
      </c>
    </row>
    <row r="35" spans="1:18">
      <c r="A35" s="373" t="s">
        <v>354</v>
      </c>
      <c r="B35" s="373" t="s">
        <v>1714</v>
      </c>
      <c r="C35" s="373" t="s">
        <v>1327</v>
      </c>
      <c r="D35" s="374">
        <v>42</v>
      </c>
      <c r="E35" s="374" t="s">
        <v>2</v>
      </c>
      <c r="F35" s="374">
        <v>24</v>
      </c>
      <c r="G35" s="403">
        <v>2.67</v>
      </c>
      <c r="H35" s="394">
        <f t="shared" si="15"/>
        <v>3.4116666666666662</v>
      </c>
      <c r="I35" s="394">
        <f t="shared" si="8"/>
        <v>143.29</v>
      </c>
      <c r="J35" s="394">
        <f t="shared" si="9"/>
        <v>6.8233333333333324</v>
      </c>
      <c r="K35" s="394">
        <f t="shared" si="10"/>
        <v>286.58</v>
      </c>
      <c r="L35" s="396">
        <v>0.5</v>
      </c>
      <c r="M35" s="394">
        <f t="shared" si="11"/>
        <v>4.5488888888888885</v>
      </c>
      <c r="N35" s="394">
        <f t="shared" si="12"/>
        <v>191.05333333333331</v>
      </c>
      <c r="O35" s="395">
        <v>0.25</v>
      </c>
      <c r="P35" s="394">
        <f t="shared" si="13"/>
        <v>4.0137254901960784</v>
      </c>
      <c r="Q35" s="394">
        <f t="shared" si="14"/>
        <v>168.57647058823528</v>
      </c>
      <c r="R35" s="395">
        <v>0.15</v>
      </c>
    </row>
    <row r="36" spans="1:18">
      <c r="A36" s="373" t="s">
        <v>354</v>
      </c>
      <c r="B36" s="373" t="s">
        <v>1715</v>
      </c>
      <c r="C36" s="373" t="s">
        <v>1328</v>
      </c>
      <c r="D36" s="374">
        <v>42</v>
      </c>
      <c r="E36" s="374" t="s">
        <v>2</v>
      </c>
      <c r="F36" s="374">
        <v>24</v>
      </c>
      <c r="G36" s="403">
        <v>2.67</v>
      </c>
      <c r="H36" s="394">
        <f t="shared" si="15"/>
        <v>3.4116666666666662</v>
      </c>
      <c r="I36" s="394">
        <f t="shared" si="8"/>
        <v>143.29</v>
      </c>
      <c r="J36" s="394">
        <f t="shared" si="9"/>
        <v>6.8233333333333324</v>
      </c>
      <c r="K36" s="394">
        <f t="shared" si="10"/>
        <v>286.58</v>
      </c>
      <c r="L36" s="396">
        <v>0.5</v>
      </c>
      <c r="M36" s="394">
        <f t="shared" si="11"/>
        <v>4.5488888888888885</v>
      </c>
      <c r="N36" s="394">
        <f t="shared" si="12"/>
        <v>191.05333333333331</v>
      </c>
      <c r="O36" s="395">
        <v>0.25</v>
      </c>
      <c r="P36" s="394">
        <f t="shared" si="13"/>
        <v>4.0137254901960784</v>
      </c>
      <c r="Q36" s="394">
        <f t="shared" si="14"/>
        <v>168.57647058823528</v>
      </c>
      <c r="R36" s="395">
        <v>0.15</v>
      </c>
    </row>
    <row r="38" spans="1:18">
      <c r="A38" s="33" t="s">
        <v>926</v>
      </c>
      <c r="B38" s="33" t="s">
        <v>1629</v>
      </c>
      <c r="C38" s="86" t="s">
        <v>1624</v>
      </c>
      <c r="D38" s="175">
        <v>100</v>
      </c>
      <c r="E38" s="34" t="s">
        <v>2</v>
      </c>
      <c r="F38" s="34"/>
      <c r="G38" s="430">
        <v>0.49</v>
      </c>
      <c r="H38" s="57">
        <v>0.69</v>
      </c>
      <c r="I38" s="57">
        <f t="shared" ref="I38" si="16">D38*H38</f>
        <v>69</v>
      </c>
      <c r="J38" s="42">
        <f t="shared" ref="J38" si="17">H38/(1-0.3)</f>
        <v>0.98571428571428565</v>
      </c>
      <c r="K38" s="27">
        <f t="shared" ref="K38" si="18">D38*J38</f>
        <v>98.571428571428569</v>
      </c>
      <c r="L38" s="41">
        <f t="shared" ref="L38" si="19">(J38-H38)/J38</f>
        <v>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B34" sqref="B34"/>
    </sheetView>
  </sheetViews>
  <sheetFormatPr defaultColWidth="11.42578125" defaultRowHeight="15"/>
  <cols>
    <col min="2" max="2" width="41.85546875" customWidth="1"/>
    <col min="15" max="15" width="15.7109375" customWidth="1"/>
    <col min="16" max="16" width="18.140625" customWidth="1"/>
  </cols>
  <sheetData>
    <row r="1" spans="1:16">
      <c r="A1" s="287" t="s">
        <v>1488</v>
      </c>
      <c r="B1" s="287" t="s">
        <v>1489</v>
      </c>
      <c r="C1" s="287" t="s">
        <v>1490</v>
      </c>
      <c r="D1" s="287" t="s">
        <v>1491</v>
      </c>
      <c r="E1" s="287" t="s">
        <v>902</v>
      </c>
      <c r="F1" s="287" t="s">
        <v>1492</v>
      </c>
      <c r="G1" s="287" t="s">
        <v>1493</v>
      </c>
      <c r="H1" s="287" t="s">
        <v>1494</v>
      </c>
      <c r="I1" s="287"/>
      <c r="J1" s="287"/>
      <c r="K1" s="287"/>
      <c r="L1" s="287"/>
      <c r="M1" s="287"/>
      <c r="N1" s="287" t="s">
        <v>1495</v>
      </c>
    </row>
    <row r="2" spans="1:16">
      <c r="A2" s="152" t="s">
        <v>1458</v>
      </c>
      <c r="B2" s="152" t="s">
        <v>1459</v>
      </c>
      <c r="C2" t="s">
        <v>1460</v>
      </c>
      <c r="D2" t="s">
        <v>1461</v>
      </c>
      <c r="E2" t="s">
        <v>1462</v>
      </c>
      <c r="F2" s="284">
        <v>2.5</v>
      </c>
      <c r="G2">
        <v>26</v>
      </c>
      <c r="H2" s="285">
        <f t="shared" ref="H2:H20" si="0">F2*G2</f>
        <v>65</v>
      </c>
      <c r="I2" t="s">
        <v>1463</v>
      </c>
      <c r="J2">
        <v>32</v>
      </c>
      <c r="L2" t="s">
        <v>1464</v>
      </c>
      <c r="M2" t="s">
        <v>1465</v>
      </c>
      <c r="N2">
        <v>32</v>
      </c>
      <c r="O2" s="286"/>
      <c r="P2" s="286"/>
    </row>
    <row r="3" spans="1:16">
      <c r="A3" s="152" t="s">
        <v>1458</v>
      </c>
      <c r="B3" s="152" t="s">
        <v>1459</v>
      </c>
      <c r="C3" t="s">
        <v>1460</v>
      </c>
      <c r="D3" t="s">
        <v>1461</v>
      </c>
      <c r="E3" t="s">
        <v>1466</v>
      </c>
      <c r="F3" s="284"/>
      <c r="H3" s="285"/>
      <c r="M3" t="s">
        <v>1465</v>
      </c>
      <c r="N3">
        <v>32</v>
      </c>
      <c r="O3" s="286"/>
      <c r="P3" s="286"/>
    </row>
    <row r="4" spans="1:16">
      <c r="A4" s="152" t="s">
        <v>1467</v>
      </c>
      <c r="B4" s="152" t="s">
        <v>1468</v>
      </c>
      <c r="C4" t="s">
        <v>1469</v>
      </c>
      <c r="D4" t="s">
        <v>1461</v>
      </c>
      <c r="E4" t="s">
        <v>1462</v>
      </c>
      <c r="F4" s="284">
        <v>2.5</v>
      </c>
      <c r="G4">
        <v>26</v>
      </c>
      <c r="H4" s="285">
        <f t="shared" si="0"/>
        <v>65</v>
      </c>
      <c r="I4" t="s">
        <v>1463</v>
      </c>
      <c r="J4">
        <v>32</v>
      </c>
      <c r="L4" t="s">
        <v>1464</v>
      </c>
      <c r="M4" t="s">
        <v>1465</v>
      </c>
      <c r="N4">
        <v>32</v>
      </c>
      <c r="O4" s="286"/>
      <c r="P4" s="286"/>
    </row>
    <row r="5" spans="1:16">
      <c r="A5" s="152" t="s">
        <v>1467</v>
      </c>
      <c r="B5" s="152" t="s">
        <v>1468</v>
      </c>
      <c r="C5" t="s">
        <v>1469</v>
      </c>
      <c r="D5" t="s">
        <v>1461</v>
      </c>
      <c r="E5" t="s">
        <v>1466</v>
      </c>
      <c r="F5" s="284"/>
      <c r="H5" s="285"/>
      <c r="M5" t="s">
        <v>1465</v>
      </c>
      <c r="N5">
        <v>32</v>
      </c>
      <c r="O5" s="286"/>
      <c r="P5" s="286"/>
    </row>
    <row r="6" spans="1:16">
      <c r="A6" s="152" t="s">
        <v>1470</v>
      </c>
      <c r="B6" s="152" t="s">
        <v>1471</v>
      </c>
      <c r="C6" t="s">
        <v>1469</v>
      </c>
      <c r="D6" t="s">
        <v>1461</v>
      </c>
      <c r="E6" t="s">
        <v>1462</v>
      </c>
      <c r="F6" s="284">
        <v>5</v>
      </c>
      <c r="G6">
        <v>13</v>
      </c>
      <c r="H6" s="285">
        <f t="shared" si="0"/>
        <v>65</v>
      </c>
      <c r="I6" t="s">
        <v>1463</v>
      </c>
      <c r="J6">
        <v>32</v>
      </c>
      <c r="L6" t="s">
        <v>1464</v>
      </c>
      <c r="M6" t="s">
        <v>1465</v>
      </c>
      <c r="N6">
        <v>32</v>
      </c>
      <c r="O6" s="286"/>
      <c r="P6" s="286"/>
    </row>
    <row r="7" spans="1:16">
      <c r="A7" s="152" t="s">
        <v>1470</v>
      </c>
      <c r="B7" s="152" t="s">
        <v>1471</v>
      </c>
      <c r="C7" t="s">
        <v>1469</v>
      </c>
      <c r="D7" t="s">
        <v>1461</v>
      </c>
      <c r="E7" t="s">
        <v>1466</v>
      </c>
      <c r="F7" s="284"/>
      <c r="H7" s="285"/>
      <c r="M7" t="s">
        <v>1465</v>
      </c>
      <c r="N7">
        <v>32</v>
      </c>
      <c r="O7" s="286"/>
      <c r="P7" s="286"/>
    </row>
    <row r="8" spans="1:16">
      <c r="A8" s="152" t="s">
        <v>1472</v>
      </c>
      <c r="B8" s="152" t="s">
        <v>1473</v>
      </c>
      <c r="C8" t="s">
        <v>1474</v>
      </c>
      <c r="D8" t="s">
        <v>1461</v>
      </c>
      <c r="E8" t="s">
        <v>1462</v>
      </c>
      <c r="F8" s="284">
        <v>2.5</v>
      </c>
      <c r="G8">
        <v>26</v>
      </c>
      <c r="H8" s="285">
        <f t="shared" si="0"/>
        <v>65</v>
      </c>
      <c r="I8" t="s">
        <v>1463</v>
      </c>
      <c r="J8">
        <v>32</v>
      </c>
      <c r="L8" t="s">
        <v>1464</v>
      </c>
      <c r="M8" t="s">
        <v>1465</v>
      </c>
      <c r="N8">
        <v>32</v>
      </c>
      <c r="O8" s="286"/>
      <c r="P8" s="286"/>
    </row>
    <row r="9" spans="1:16">
      <c r="A9" s="152" t="s">
        <v>1472</v>
      </c>
      <c r="B9" s="152" t="s">
        <v>1473</v>
      </c>
      <c r="C9" t="s">
        <v>1474</v>
      </c>
      <c r="D9" t="s">
        <v>1461</v>
      </c>
      <c r="E9" t="s">
        <v>1466</v>
      </c>
      <c r="F9" s="284"/>
      <c r="H9" s="285"/>
      <c r="M9" t="s">
        <v>1465</v>
      </c>
      <c r="N9">
        <v>32</v>
      </c>
      <c r="O9" s="286"/>
      <c r="P9" s="286"/>
    </row>
    <row r="10" spans="1:16">
      <c r="A10" s="152" t="s">
        <v>1475</v>
      </c>
      <c r="B10" s="152" t="s">
        <v>1476</v>
      </c>
      <c r="C10" t="s">
        <v>1477</v>
      </c>
      <c r="D10" t="s">
        <v>1461</v>
      </c>
      <c r="E10" t="s">
        <v>1462</v>
      </c>
      <c r="F10" s="284">
        <v>2.5</v>
      </c>
      <c r="G10">
        <v>26</v>
      </c>
      <c r="H10" s="285">
        <f t="shared" si="0"/>
        <v>65</v>
      </c>
      <c r="I10" t="s">
        <v>1463</v>
      </c>
      <c r="J10">
        <v>32</v>
      </c>
      <c r="L10" t="s">
        <v>1464</v>
      </c>
      <c r="M10" t="s">
        <v>1465</v>
      </c>
      <c r="N10">
        <v>32</v>
      </c>
      <c r="O10" s="286"/>
      <c r="P10" s="286"/>
    </row>
    <row r="11" spans="1:16">
      <c r="A11" s="152" t="s">
        <v>1475</v>
      </c>
      <c r="B11" s="152" t="s">
        <v>1476</v>
      </c>
      <c r="C11" t="s">
        <v>1477</v>
      </c>
      <c r="D11" t="s">
        <v>1461</v>
      </c>
      <c r="E11" t="s">
        <v>1466</v>
      </c>
      <c r="F11" s="284"/>
      <c r="H11" s="285"/>
      <c r="M11" t="s">
        <v>1465</v>
      </c>
      <c r="N11">
        <v>32</v>
      </c>
      <c r="O11" s="286"/>
      <c r="P11" s="286"/>
    </row>
    <row r="12" spans="1:16">
      <c r="A12" s="152" t="s">
        <v>1478</v>
      </c>
      <c r="B12" s="152" t="s">
        <v>1479</v>
      </c>
      <c r="C12" t="s">
        <v>1460</v>
      </c>
      <c r="D12" t="s">
        <v>1461</v>
      </c>
      <c r="E12" t="s">
        <v>1462</v>
      </c>
      <c r="F12" s="284">
        <v>3</v>
      </c>
      <c r="G12">
        <v>24</v>
      </c>
      <c r="H12" s="285">
        <f t="shared" si="0"/>
        <v>72</v>
      </c>
      <c r="I12" t="s">
        <v>1463</v>
      </c>
      <c r="J12">
        <v>32</v>
      </c>
      <c r="L12" t="s">
        <v>1464</v>
      </c>
      <c r="M12" t="s">
        <v>1465</v>
      </c>
      <c r="N12">
        <v>32</v>
      </c>
      <c r="O12" s="286"/>
      <c r="P12" s="286"/>
    </row>
    <row r="13" spans="1:16">
      <c r="A13" s="287" t="s">
        <v>1478</v>
      </c>
      <c r="B13" s="287" t="s">
        <v>1479</v>
      </c>
      <c r="C13" s="287" t="s">
        <v>1460</v>
      </c>
      <c r="D13" s="287" t="s">
        <v>1461</v>
      </c>
      <c r="E13" s="287" t="s">
        <v>1466</v>
      </c>
      <c r="F13" s="284"/>
      <c r="H13" s="285"/>
      <c r="M13" t="s">
        <v>1465</v>
      </c>
      <c r="N13">
        <v>32</v>
      </c>
      <c r="O13" s="286"/>
      <c r="P13" s="286"/>
    </row>
    <row r="14" spans="1:16">
      <c r="A14" s="152" t="s">
        <v>1480</v>
      </c>
      <c r="B14" s="152" t="s">
        <v>1481</v>
      </c>
      <c r="C14" t="s">
        <v>1469</v>
      </c>
      <c r="D14" t="s">
        <v>1461</v>
      </c>
      <c r="E14" t="s">
        <v>1462</v>
      </c>
      <c r="F14" s="284">
        <v>3</v>
      </c>
      <c r="G14">
        <v>24</v>
      </c>
      <c r="H14" s="285">
        <f t="shared" si="0"/>
        <v>72</v>
      </c>
      <c r="I14" t="s">
        <v>1463</v>
      </c>
      <c r="J14">
        <v>32</v>
      </c>
      <c r="L14" t="s">
        <v>1464</v>
      </c>
      <c r="M14" t="s">
        <v>1465</v>
      </c>
      <c r="N14">
        <v>32</v>
      </c>
      <c r="O14" s="286"/>
      <c r="P14" s="286"/>
    </row>
    <row r="15" spans="1:16">
      <c r="A15" s="152" t="s">
        <v>1480</v>
      </c>
      <c r="B15" s="152" t="s">
        <v>1481</v>
      </c>
      <c r="C15" t="s">
        <v>1469</v>
      </c>
      <c r="D15" t="s">
        <v>1461</v>
      </c>
      <c r="E15" s="287" t="s">
        <v>1466</v>
      </c>
      <c r="F15" s="284"/>
      <c r="H15" s="285"/>
      <c r="M15" t="s">
        <v>1465</v>
      </c>
      <c r="N15">
        <v>32</v>
      </c>
      <c r="O15" s="286"/>
      <c r="P15" s="286"/>
    </row>
    <row r="16" spans="1:16">
      <c r="A16" s="152" t="s">
        <v>1482</v>
      </c>
      <c r="B16" s="152" t="s">
        <v>1483</v>
      </c>
      <c r="C16" t="s">
        <v>1469</v>
      </c>
      <c r="D16" t="s">
        <v>1461</v>
      </c>
      <c r="E16" t="s">
        <v>1462</v>
      </c>
      <c r="F16" s="284">
        <v>6</v>
      </c>
      <c r="G16">
        <v>12</v>
      </c>
      <c r="H16" s="285">
        <f t="shared" si="0"/>
        <v>72</v>
      </c>
      <c r="I16" t="s">
        <v>1463</v>
      </c>
      <c r="J16">
        <v>32</v>
      </c>
      <c r="L16" t="s">
        <v>1464</v>
      </c>
      <c r="M16" t="s">
        <v>1465</v>
      </c>
      <c r="N16">
        <v>32</v>
      </c>
      <c r="O16" s="286"/>
      <c r="P16" s="286"/>
    </row>
    <row r="17" spans="1:16">
      <c r="A17" s="152" t="s">
        <v>1482</v>
      </c>
      <c r="B17" s="152" t="s">
        <v>1483</v>
      </c>
      <c r="C17" t="s">
        <v>1469</v>
      </c>
      <c r="D17" t="s">
        <v>1461</v>
      </c>
      <c r="E17" s="287" t="s">
        <v>1466</v>
      </c>
      <c r="F17" s="284"/>
      <c r="H17" s="285"/>
      <c r="M17" t="s">
        <v>1465</v>
      </c>
      <c r="N17">
        <v>32</v>
      </c>
      <c r="O17" s="286"/>
      <c r="P17" s="286"/>
    </row>
    <row r="18" spans="1:16">
      <c r="A18" s="152" t="s">
        <v>1484</v>
      </c>
      <c r="B18" s="152" t="s">
        <v>1485</v>
      </c>
      <c r="C18" t="s">
        <v>1474</v>
      </c>
      <c r="D18" t="s">
        <v>1461</v>
      </c>
      <c r="E18" t="s">
        <v>1462</v>
      </c>
      <c r="F18" s="284">
        <v>3</v>
      </c>
      <c r="G18">
        <v>24</v>
      </c>
      <c r="H18" s="285">
        <f t="shared" si="0"/>
        <v>72</v>
      </c>
      <c r="I18" t="s">
        <v>1463</v>
      </c>
      <c r="J18">
        <v>32</v>
      </c>
      <c r="L18" t="s">
        <v>1464</v>
      </c>
      <c r="M18" t="s">
        <v>1465</v>
      </c>
      <c r="N18">
        <v>32</v>
      </c>
      <c r="O18" s="286"/>
      <c r="P18" s="286"/>
    </row>
    <row r="19" spans="1:16">
      <c r="A19" s="152" t="s">
        <v>1484</v>
      </c>
      <c r="B19" s="152" t="s">
        <v>1485</v>
      </c>
      <c r="C19" t="s">
        <v>1474</v>
      </c>
      <c r="D19" t="s">
        <v>1461</v>
      </c>
      <c r="E19" s="287" t="s">
        <v>1466</v>
      </c>
      <c r="F19" s="284"/>
      <c r="H19" s="285"/>
      <c r="M19" t="s">
        <v>1465</v>
      </c>
      <c r="N19">
        <v>32</v>
      </c>
      <c r="O19" s="286"/>
      <c r="P19" s="286"/>
    </row>
    <row r="20" spans="1:16">
      <c r="A20" s="152" t="s">
        <v>1486</v>
      </c>
      <c r="B20" s="152" t="s">
        <v>1487</v>
      </c>
      <c r="C20" t="s">
        <v>1477</v>
      </c>
      <c r="D20" t="s">
        <v>1461</v>
      </c>
      <c r="E20" t="s">
        <v>1462</v>
      </c>
      <c r="F20" s="284">
        <v>3</v>
      </c>
      <c r="G20">
        <v>24</v>
      </c>
      <c r="H20" s="285">
        <f t="shared" si="0"/>
        <v>72</v>
      </c>
      <c r="I20" t="s">
        <v>1463</v>
      </c>
      <c r="J20">
        <v>32</v>
      </c>
      <c r="L20" t="s">
        <v>1464</v>
      </c>
      <c r="M20" t="s">
        <v>1465</v>
      </c>
      <c r="N20">
        <v>32</v>
      </c>
      <c r="O20" s="286"/>
      <c r="P20" s="286"/>
    </row>
    <row r="21" spans="1:16">
      <c r="A21" s="152" t="s">
        <v>1486</v>
      </c>
      <c r="B21" s="152" t="s">
        <v>1487</v>
      </c>
      <c r="C21" t="s">
        <v>1477</v>
      </c>
      <c r="D21" t="s">
        <v>1461</v>
      </c>
      <c r="E21" s="287" t="s">
        <v>1466</v>
      </c>
      <c r="F21" s="284"/>
      <c r="H21" s="285"/>
      <c r="M21" t="s">
        <v>1465</v>
      </c>
      <c r="N21">
        <v>32</v>
      </c>
      <c r="O21" s="286"/>
      <c r="P21" s="286"/>
    </row>
  </sheetData>
  <dataValidations disablePrompts="1" count="2">
    <dataValidation type="custom" allowBlank="1" showInputMessage="1" showErrorMessage="1" errorTitle="Stop!" error="Duplicated entry found! Please try again." sqref="P2:P21">
      <formula1>"countif(P:P,P1)&lt;=1"</formula1>
    </dataValidation>
    <dataValidation type="custom" allowBlank="1" showInputMessage="1" showErrorMessage="1" errorTitle="Stop!" error="Duplicated data entry! Please try again." sqref="O2:O21">
      <formula1>"countif(O:O,O1)&lt;=1"</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2"/>
  <sheetViews>
    <sheetView workbookViewId="0">
      <selection activeCell="C13" sqref="C13"/>
    </sheetView>
  </sheetViews>
  <sheetFormatPr defaultColWidth="11.42578125" defaultRowHeight="15"/>
  <cols>
    <col min="3" max="3" width="44.42578125" customWidth="1"/>
    <col min="4" max="4" width="21.85546875" customWidth="1"/>
  </cols>
  <sheetData>
    <row r="1" spans="1:29" s="26" customFormat="1" ht="45">
      <c r="A1" s="24" t="s">
        <v>350</v>
      </c>
      <c r="B1" s="24" t="s">
        <v>344</v>
      </c>
      <c r="C1" s="24" t="s">
        <v>345</v>
      </c>
      <c r="D1" s="23" t="s">
        <v>358</v>
      </c>
      <c r="E1" s="23" t="s">
        <v>902</v>
      </c>
      <c r="F1" s="23" t="s">
        <v>357</v>
      </c>
      <c r="G1" s="56" t="s">
        <v>356</v>
      </c>
      <c r="H1" s="56" t="s">
        <v>906</v>
      </c>
      <c r="I1" s="23" t="s">
        <v>360</v>
      </c>
      <c r="J1" s="23" t="s">
        <v>361</v>
      </c>
      <c r="K1" s="23" t="s">
        <v>359</v>
      </c>
      <c r="L1" s="23" t="s">
        <v>362</v>
      </c>
      <c r="M1" s="56" t="s">
        <v>363</v>
      </c>
      <c r="N1" s="23" t="s">
        <v>359</v>
      </c>
      <c r="O1" s="56" t="s">
        <v>365</v>
      </c>
      <c r="P1" s="56" t="s">
        <v>364</v>
      </c>
      <c r="Q1" s="23" t="s">
        <v>359</v>
      </c>
      <c r="R1" s="76" t="s">
        <v>371</v>
      </c>
      <c r="S1" s="76" t="s">
        <v>372</v>
      </c>
      <c r="T1" s="76" t="s">
        <v>374</v>
      </c>
      <c r="U1" s="76" t="s">
        <v>375</v>
      </c>
      <c r="V1" s="76" t="s">
        <v>376</v>
      </c>
      <c r="W1" s="26" t="s">
        <v>1419</v>
      </c>
      <c r="Y1" s="76" t="s">
        <v>378</v>
      </c>
      <c r="Z1" s="76" t="s">
        <v>931</v>
      </c>
      <c r="AA1" s="146" t="s">
        <v>903</v>
      </c>
      <c r="AB1" s="146" t="s">
        <v>904</v>
      </c>
      <c r="AC1" s="185"/>
    </row>
    <row r="2" spans="1:29">
      <c r="A2" s="320" t="s">
        <v>1144</v>
      </c>
      <c r="B2" s="320" t="s">
        <v>1432</v>
      </c>
      <c r="C2" s="321" t="s">
        <v>1441</v>
      </c>
      <c r="D2" s="323">
        <v>30</v>
      </c>
      <c r="E2" s="323" t="s">
        <v>2</v>
      </c>
      <c r="F2" s="323">
        <v>24</v>
      </c>
      <c r="G2" s="324">
        <v>2.56</v>
      </c>
      <c r="H2" s="324">
        <f t="shared" ref="H2" si="0">D2*G2</f>
        <v>76.8</v>
      </c>
      <c r="I2" s="325"/>
      <c r="J2" s="326"/>
      <c r="K2" s="327"/>
      <c r="L2" s="325"/>
      <c r="M2" s="326"/>
      <c r="N2" s="327"/>
      <c r="O2" s="324">
        <v>4.1813333333333329</v>
      </c>
      <c r="P2" s="324">
        <f t="shared" ref="P2" si="1">+O2*D2</f>
        <v>125.43999999999998</v>
      </c>
      <c r="Q2" s="327">
        <f t="shared" ref="Q2" si="2">(O2-G2)/O2</f>
        <v>0.38775510204081626</v>
      </c>
      <c r="R2" s="319"/>
      <c r="S2" s="78"/>
      <c r="T2" s="78"/>
      <c r="U2" s="78"/>
      <c r="V2" s="78"/>
      <c r="W2" s="84">
        <v>149772</v>
      </c>
    </row>
    <row r="3" spans="1:29">
      <c r="A3" s="320" t="s">
        <v>1144</v>
      </c>
      <c r="B3" s="320" t="s">
        <v>1431</v>
      </c>
      <c r="C3" s="320" t="s">
        <v>1572</v>
      </c>
      <c r="D3" s="323">
        <v>10</v>
      </c>
      <c r="E3" s="323" t="s">
        <v>2</v>
      </c>
      <c r="F3" s="323">
        <v>24</v>
      </c>
      <c r="G3" s="323">
        <v>2.97</v>
      </c>
      <c r="H3" s="323">
        <v>29.7</v>
      </c>
      <c r="I3" s="323"/>
      <c r="J3" s="323"/>
      <c r="K3" s="323"/>
      <c r="L3" s="323"/>
      <c r="M3" s="323"/>
      <c r="N3" s="323"/>
      <c r="O3" s="323">
        <v>4.8499999999999996</v>
      </c>
      <c r="P3" s="323">
        <f>D3*O3</f>
        <v>48.5</v>
      </c>
      <c r="Q3" s="327">
        <v>0.38775510204081626</v>
      </c>
    </row>
    <row r="4" spans="1:29">
      <c r="A4" s="320" t="s">
        <v>1570</v>
      </c>
      <c r="B4" s="322" t="s">
        <v>1571</v>
      </c>
      <c r="C4" s="321" t="s">
        <v>1518</v>
      </c>
      <c r="D4" s="328">
        <v>40</v>
      </c>
      <c r="E4" s="323" t="s">
        <v>2</v>
      </c>
      <c r="F4" s="323">
        <v>24</v>
      </c>
      <c r="G4" s="324">
        <v>1.04</v>
      </c>
      <c r="H4" s="324">
        <f t="shared" ref="H4" si="3">D4*G4</f>
        <v>41.6</v>
      </c>
      <c r="I4" s="325"/>
      <c r="J4" s="326"/>
      <c r="K4" s="327"/>
      <c r="L4" s="325"/>
      <c r="M4" s="326"/>
      <c r="N4" s="327"/>
      <c r="O4" s="324">
        <v>1.39</v>
      </c>
      <c r="P4" s="324">
        <f t="shared" ref="P4" si="4">O4*D4</f>
        <v>55.599999999999994</v>
      </c>
      <c r="Q4" s="327">
        <v>0.25</v>
      </c>
    </row>
    <row r="5" spans="1:29">
      <c r="A5" s="320" t="s">
        <v>1144</v>
      </c>
      <c r="B5" s="320" t="s">
        <v>1589</v>
      </c>
      <c r="C5" s="320" t="s">
        <v>1591</v>
      </c>
      <c r="D5" s="323"/>
      <c r="E5" s="323" t="s">
        <v>1462</v>
      </c>
      <c r="F5" s="323"/>
      <c r="G5" s="329">
        <v>3.44</v>
      </c>
      <c r="H5" s="323"/>
      <c r="I5" s="323"/>
      <c r="J5" s="323"/>
      <c r="K5" s="323"/>
      <c r="L5" s="323"/>
      <c r="M5" s="323"/>
      <c r="N5" s="323"/>
      <c r="O5" s="323">
        <v>4.59</v>
      </c>
      <c r="P5" s="323"/>
      <c r="Q5" s="330">
        <v>0.25</v>
      </c>
    </row>
    <row r="6" spans="1:29">
      <c r="A6" s="320" t="s">
        <v>1144</v>
      </c>
      <c r="B6" s="320" t="s">
        <v>1590</v>
      </c>
      <c r="C6" s="320" t="s">
        <v>1592</v>
      </c>
      <c r="D6" s="323"/>
      <c r="E6" s="323" t="s">
        <v>1462</v>
      </c>
      <c r="F6" s="323"/>
      <c r="G6" s="329">
        <v>5.7</v>
      </c>
      <c r="H6" s="323"/>
      <c r="I6" s="323"/>
      <c r="J6" s="323"/>
      <c r="K6" s="323"/>
      <c r="L6" s="323"/>
      <c r="M6" s="323"/>
      <c r="N6" s="323"/>
      <c r="O6" s="323">
        <v>7.6</v>
      </c>
      <c r="P6" s="323"/>
      <c r="Q6" s="330">
        <v>0.25</v>
      </c>
    </row>
    <row r="28" spans="1:4">
      <c r="A28" t="s">
        <v>1589</v>
      </c>
      <c r="B28" t="s">
        <v>1574</v>
      </c>
      <c r="C28" t="s">
        <v>1575</v>
      </c>
      <c r="D28" t="s">
        <v>1576</v>
      </c>
    </row>
    <row r="29" spans="1:4">
      <c r="B29" t="s">
        <v>1499</v>
      </c>
      <c r="C29" t="s">
        <v>1577</v>
      </c>
      <c r="D29">
        <v>2</v>
      </c>
    </row>
    <row r="30" spans="1:4">
      <c r="B30" t="s">
        <v>1503</v>
      </c>
      <c r="C30" t="s">
        <v>1578</v>
      </c>
      <c r="D30">
        <v>1</v>
      </c>
    </row>
    <row r="31" spans="1:4">
      <c r="B31" t="s">
        <v>1511</v>
      </c>
      <c r="C31" t="s">
        <v>1579</v>
      </c>
      <c r="D31">
        <v>1</v>
      </c>
    </row>
    <row r="32" spans="1:4">
      <c r="B32" t="s">
        <v>1500</v>
      </c>
      <c r="C32" t="s">
        <v>1580</v>
      </c>
      <c r="D32">
        <v>1</v>
      </c>
    </row>
    <row r="33" spans="1:4">
      <c r="B33" t="s">
        <v>1581</v>
      </c>
      <c r="C33" t="s">
        <v>1582</v>
      </c>
      <c r="D33">
        <v>1</v>
      </c>
    </row>
    <row r="34" spans="1:4">
      <c r="B34" t="s">
        <v>952</v>
      </c>
      <c r="C34" t="s">
        <v>1583</v>
      </c>
      <c r="D34">
        <v>1</v>
      </c>
    </row>
    <row r="35" spans="1:4">
      <c r="B35" t="s">
        <v>1584</v>
      </c>
      <c r="C35" t="s">
        <v>1585</v>
      </c>
      <c r="D35" s="136">
        <v>4.5866666666666669</v>
      </c>
    </row>
    <row r="36" spans="1:4">
      <c r="A36" t="s">
        <v>1590</v>
      </c>
      <c r="B36" t="s">
        <v>1574</v>
      </c>
      <c r="C36" t="s">
        <v>1575</v>
      </c>
      <c r="D36" t="s">
        <v>1576</v>
      </c>
    </row>
    <row r="37" spans="1:4">
      <c r="B37" t="s">
        <v>1581</v>
      </c>
      <c r="C37" t="s">
        <v>1582</v>
      </c>
      <c r="D37">
        <v>1</v>
      </c>
    </row>
    <row r="38" spans="1:4">
      <c r="B38" t="s">
        <v>1502</v>
      </c>
      <c r="C38" t="s">
        <v>1586</v>
      </c>
      <c r="D38">
        <v>1</v>
      </c>
    </row>
    <row r="39" spans="1:4">
      <c r="B39" t="s">
        <v>1501</v>
      </c>
      <c r="C39" t="s">
        <v>1587</v>
      </c>
      <c r="D39">
        <v>1</v>
      </c>
    </row>
    <row r="40" spans="1:4">
      <c r="B40" t="s">
        <v>1573</v>
      </c>
      <c r="C40" t="s">
        <v>1588</v>
      </c>
      <c r="D40">
        <v>1</v>
      </c>
    </row>
    <row r="41" spans="1:4">
      <c r="B41" t="s">
        <v>952</v>
      </c>
      <c r="C41" t="s">
        <v>1583</v>
      </c>
      <c r="D41">
        <v>1</v>
      </c>
    </row>
    <row r="42" spans="1:4">
      <c r="B42" t="s">
        <v>1584</v>
      </c>
      <c r="C42" t="s">
        <v>1585</v>
      </c>
      <c r="D42" s="136">
        <v>7.6000000000000005</v>
      </c>
    </row>
  </sheetData>
  <dataValidations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4">
      <formula1>1</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257"/>
  <sheetViews>
    <sheetView zoomScale="85" zoomScaleNormal="85" zoomScaleSheetLayoutView="85" zoomScalePageLayoutView="85" workbookViewId="0">
      <pane xSplit="3" ySplit="2" topLeftCell="D176" activePane="bottomRight" state="frozen"/>
      <selection pane="topRight" activeCell="D1" sqref="D1"/>
      <selection pane="bottomLeft" activeCell="A3" sqref="A3"/>
      <selection pane="bottomRight" activeCell="C196" sqref="C196"/>
    </sheetView>
  </sheetViews>
  <sheetFormatPr defaultColWidth="8.85546875" defaultRowHeight="15"/>
  <cols>
    <col min="1" max="1" width="14.140625" bestFit="1" customWidth="1"/>
    <col min="2" max="2" width="12.140625" bestFit="1" customWidth="1"/>
    <col min="3" max="3" width="45.7109375" customWidth="1"/>
    <col min="4" max="6" width="9.28515625" style="15" customWidth="1"/>
    <col min="7"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18.42578125" style="3" hidden="1" customWidth="1"/>
    <col min="20" max="20" width="8.42578125" style="60" hidden="1" customWidth="1"/>
    <col min="21" max="23" width="7.140625" style="60" hidden="1" customWidth="1"/>
    <col min="24" max="24" width="8.28515625" style="60" bestFit="1" customWidth="1"/>
    <col min="25" max="25" width="3.28515625" customWidth="1"/>
    <col min="26" max="26" width="12.85546875" style="60" bestFit="1" customWidth="1"/>
    <col min="27" max="27" width="10.28515625" style="60" bestFit="1" customWidth="1"/>
    <col min="28" max="28" width="10.85546875" style="15" bestFit="1" customWidth="1"/>
    <col min="29" max="29" width="8.85546875" style="15"/>
    <col min="30" max="30" width="3.28515625" style="15" customWidth="1"/>
    <col min="31" max="33" width="10.7109375" customWidth="1"/>
    <col min="35" max="35" width="11.28515625" bestFit="1" customWidth="1"/>
    <col min="36" max="36" width="45.7109375" bestFit="1" customWidth="1"/>
  </cols>
  <sheetData>
    <row r="1" spans="1:30">
      <c r="B1" s="1"/>
      <c r="C1" s="1"/>
      <c r="D1" s="11"/>
      <c r="E1" s="11"/>
      <c r="F1" s="11"/>
      <c r="G1" s="55"/>
      <c r="H1" s="55"/>
      <c r="I1" s="542" t="s">
        <v>347</v>
      </c>
      <c r="J1" s="543"/>
      <c r="K1" s="544"/>
      <c r="L1" s="545" t="s">
        <v>348</v>
      </c>
      <c r="M1" s="546"/>
      <c r="N1" s="547"/>
      <c r="O1" s="557" t="s">
        <v>369</v>
      </c>
      <c r="P1" s="558"/>
      <c r="Q1" s="559"/>
      <c r="R1" s="2" t="s">
        <v>347</v>
      </c>
      <c r="S1" s="2" t="s">
        <v>348</v>
      </c>
    </row>
    <row r="2" spans="1:30" s="26" customFormat="1" ht="45">
      <c r="A2" s="24" t="s">
        <v>350</v>
      </c>
      <c r="B2" s="24" t="s">
        <v>344</v>
      </c>
      <c r="C2" s="24" t="s">
        <v>345</v>
      </c>
      <c r="D2" s="23" t="s">
        <v>358</v>
      </c>
      <c r="E2" s="23" t="s">
        <v>902</v>
      </c>
      <c r="F2" s="23" t="s">
        <v>357</v>
      </c>
      <c r="G2" s="56" t="s">
        <v>356</v>
      </c>
      <c r="H2" s="56" t="s">
        <v>906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374</v>
      </c>
      <c r="W2" s="76" t="s">
        <v>375</v>
      </c>
      <c r="X2" s="76" t="s">
        <v>376</v>
      </c>
      <c r="Z2" s="76" t="s">
        <v>378</v>
      </c>
      <c r="AA2" s="76" t="s">
        <v>931</v>
      </c>
      <c r="AB2" s="146" t="s">
        <v>903</v>
      </c>
      <c r="AC2" s="146" t="s">
        <v>904</v>
      </c>
      <c r="AD2" s="185"/>
    </row>
    <row r="3" spans="1:30">
      <c r="A3" s="33" t="s">
        <v>352</v>
      </c>
      <c r="B3" s="33" t="s">
        <v>116</v>
      </c>
      <c r="C3" s="33" t="s">
        <v>117</v>
      </c>
      <c r="D3" s="34">
        <v>20</v>
      </c>
      <c r="E3" s="34" t="s">
        <v>2</v>
      </c>
      <c r="F3" s="34">
        <v>32</v>
      </c>
      <c r="G3" s="57">
        <v>2.68</v>
      </c>
      <c r="H3" s="57">
        <f t="shared" ref="H3:H30" si="0">D3*G3</f>
        <v>53.6</v>
      </c>
      <c r="I3" s="42">
        <f t="shared" ref="I3:I30" si="1">G3/(1-0.4)</f>
        <v>4.4666666666666668</v>
      </c>
      <c r="J3" s="27">
        <f t="shared" ref="J3:J30" si="2">D3*I3</f>
        <v>89.333333333333343</v>
      </c>
      <c r="K3" s="41">
        <f t="shared" ref="K3:K30" si="3">(I3-G3)/I3</f>
        <v>0.39999999999999997</v>
      </c>
      <c r="L3" s="47">
        <f t="shared" ref="L3:L30" si="4">G3/(1-0.35)</f>
        <v>4.1230769230769235</v>
      </c>
      <c r="M3" s="28">
        <f t="shared" ref="M3:M30" si="5">D3*L3</f>
        <v>82.461538461538467</v>
      </c>
      <c r="N3" s="48">
        <f t="shared" ref="N3:N30" si="6">(L3-G3)/L3</f>
        <v>0.35000000000000003</v>
      </c>
      <c r="O3" s="71">
        <v>3.95</v>
      </c>
      <c r="P3" s="31">
        <f t="shared" ref="P3:P30" si="7">D3*O3</f>
        <v>79</v>
      </c>
      <c r="Q3" s="37">
        <f t="shared" ref="Q3:Q30" si="8">(O3-G3)/O3</f>
        <v>0.32151898734177214</v>
      </c>
      <c r="R3" s="51">
        <v>112.5</v>
      </c>
      <c r="S3" s="51">
        <v>90</v>
      </c>
      <c r="T3" s="74">
        <v>3.95</v>
      </c>
      <c r="U3" s="77"/>
      <c r="V3" s="77"/>
      <c r="W3" s="77">
        <v>3.75</v>
      </c>
      <c r="X3" s="83">
        <v>153154</v>
      </c>
      <c r="Z3" s="79"/>
      <c r="AA3" s="79"/>
      <c r="AB3" s="144"/>
      <c r="AC3" s="79"/>
      <c r="AD3" s="183"/>
    </row>
    <row r="4" spans="1:30">
      <c r="A4" s="199" t="s">
        <v>352</v>
      </c>
      <c r="B4" s="199" t="s">
        <v>118</v>
      </c>
      <c r="C4" s="199" t="s">
        <v>119</v>
      </c>
      <c r="D4" s="189">
        <v>26</v>
      </c>
      <c r="E4" s="189" t="s">
        <v>2</v>
      </c>
      <c r="F4" s="189">
        <v>32</v>
      </c>
      <c r="G4" s="57">
        <v>2.68</v>
      </c>
      <c r="H4" s="57">
        <f t="shared" si="0"/>
        <v>69.680000000000007</v>
      </c>
      <c r="I4" s="42">
        <f t="shared" si="1"/>
        <v>4.4666666666666668</v>
      </c>
      <c r="J4" s="27">
        <f t="shared" si="2"/>
        <v>116.13333333333334</v>
      </c>
      <c r="K4" s="41">
        <f t="shared" si="3"/>
        <v>0.39999999999999997</v>
      </c>
      <c r="L4" s="47">
        <f t="shared" si="4"/>
        <v>4.1230769230769235</v>
      </c>
      <c r="M4" s="28">
        <f t="shared" si="5"/>
        <v>107.20000000000002</v>
      </c>
      <c r="N4" s="48">
        <f t="shared" si="6"/>
        <v>0.35000000000000003</v>
      </c>
      <c r="O4" s="71">
        <v>3.95</v>
      </c>
      <c r="P4" s="31">
        <f t="shared" si="7"/>
        <v>102.7</v>
      </c>
      <c r="Q4" s="37">
        <f t="shared" si="8"/>
        <v>0.32151898734177214</v>
      </c>
      <c r="R4" s="51">
        <v>112.5</v>
      </c>
      <c r="S4" s="51">
        <v>90</v>
      </c>
      <c r="T4" s="74">
        <v>3.95</v>
      </c>
      <c r="U4" s="77"/>
      <c r="V4" s="77"/>
      <c r="W4" s="77">
        <v>3.75</v>
      </c>
      <c r="X4" s="82">
        <v>153154</v>
      </c>
      <c r="Z4" s="77" t="s">
        <v>380</v>
      </c>
      <c r="AA4" s="77">
        <f>VLOOKUP(Z4,'CFN HPV'!A:L,12,FALSE)</f>
        <v>3.75</v>
      </c>
      <c r="AB4" s="145">
        <f>I4</f>
        <v>4.4666666666666668</v>
      </c>
      <c r="AC4" s="77">
        <f>AB4-AA4</f>
        <v>0.71666666666666679</v>
      </c>
      <c r="AD4" s="183"/>
    </row>
    <row r="5" spans="1:30">
      <c r="A5" s="33" t="s">
        <v>352</v>
      </c>
      <c r="B5" s="33" t="s">
        <v>120</v>
      </c>
      <c r="C5" s="33" t="s">
        <v>121</v>
      </c>
      <c r="D5" s="189">
        <v>20</v>
      </c>
      <c r="E5" s="189" t="s">
        <v>2</v>
      </c>
      <c r="F5" s="189">
        <v>32</v>
      </c>
      <c r="G5" s="57">
        <v>2.68</v>
      </c>
      <c r="H5" s="57">
        <f t="shared" si="0"/>
        <v>53.6</v>
      </c>
      <c r="I5" s="42">
        <f t="shared" si="1"/>
        <v>4.4666666666666668</v>
      </c>
      <c r="J5" s="27">
        <f t="shared" si="2"/>
        <v>89.333333333333343</v>
      </c>
      <c r="K5" s="41">
        <f t="shared" si="3"/>
        <v>0.39999999999999997</v>
      </c>
      <c r="L5" s="47">
        <f t="shared" si="4"/>
        <v>4.1230769230769235</v>
      </c>
      <c r="M5" s="28">
        <f t="shared" si="5"/>
        <v>82.461538461538467</v>
      </c>
      <c r="N5" s="48">
        <f t="shared" si="6"/>
        <v>0.35000000000000003</v>
      </c>
      <c r="O5" s="71">
        <v>3.95</v>
      </c>
      <c r="P5" s="31">
        <f t="shared" si="7"/>
        <v>79</v>
      </c>
      <c r="Q5" s="37">
        <f t="shared" si="8"/>
        <v>0.32151898734177214</v>
      </c>
      <c r="R5" s="51">
        <v>112.5</v>
      </c>
      <c r="S5" s="51">
        <v>90</v>
      </c>
      <c r="T5" s="74">
        <v>3.95</v>
      </c>
      <c r="U5" s="77"/>
      <c r="V5" s="77"/>
      <c r="W5" s="77">
        <v>3.75</v>
      </c>
      <c r="X5" s="82">
        <v>153154</v>
      </c>
      <c r="Z5" s="77" t="s">
        <v>381</v>
      </c>
      <c r="AA5" s="77">
        <f>VLOOKUP(Z5,'CFN HPV'!A:L,12,FALSE)</f>
        <v>4</v>
      </c>
      <c r="AB5" s="145">
        <f>I5</f>
        <v>4.4666666666666668</v>
      </c>
      <c r="AC5" s="77">
        <f>AB5-AA5</f>
        <v>0.46666666666666679</v>
      </c>
      <c r="AD5" s="183"/>
    </row>
    <row r="6" spans="1:30">
      <c r="A6" s="202" t="s">
        <v>352</v>
      </c>
      <c r="B6" s="202" t="s">
        <v>122</v>
      </c>
      <c r="C6" s="202" t="s">
        <v>123</v>
      </c>
      <c r="D6" s="189">
        <v>20</v>
      </c>
      <c r="E6" s="189" t="s">
        <v>2</v>
      </c>
      <c r="F6" s="189">
        <v>32</v>
      </c>
      <c r="G6" s="57">
        <v>2.68</v>
      </c>
      <c r="H6" s="57">
        <f t="shared" si="0"/>
        <v>53.6</v>
      </c>
      <c r="I6" s="42">
        <f t="shared" si="1"/>
        <v>4.4666666666666668</v>
      </c>
      <c r="J6" s="27">
        <f t="shared" si="2"/>
        <v>89.333333333333343</v>
      </c>
      <c r="K6" s="41">
        <f t="shared" si="3"/>
        <v>0.39999999999999997</v>
      </c>
      <c r="L6" s="47">
        <f t="shared" si="4"/>
        <v>4.1230769230769235</v>
      </c>
      <c r="M6" s="28">
        <f t="shared" si="5"/>
        <v>82.461538461538467</v>
      </c>
      <c r="N6" s="48">
        <f t="shared" si="6"/>
        <v>0.35000000000000003</v>
      </c>
      <c r="O6" s="71">
        <v>3.95</v>
      </c>
      <c r="P6" s="31">
        <f t="shared" si="7"/>
        <v>79</v>
      </c>
      <c r="Q6" s="37">
        <f t="shared" si="8"/>
        <v>0.32151898734177214</v>
      </c>
      <c r="R6" s="51">
        <v>112.5</v>
      </c>
      <c r="S6" s="51">
        <v>90</v>
      </c>
      <c r="T6" s="74">
        <v>3.95</v>
      </c>
      <c r="U6" s="77"/>
      <c r="V6" s="77"/>
      <c r="W6" s="77">
        <v>3.75</v>
      </c>
      <c r="X6" s="82">
        <v>153154</v>
      </c>
      <c r="Z6" s="77" t="s">
        <v>382</v>
      </c>
      <c r="AA6" s="77">
        <f>VLOOKUP(Z6,'CFN HPV'!A:L,12,FALSE)</f>
        <v>4.25</v>
      </c>
      <c r="AB6" s="145">
        <f>I6</f>
        <v>4.4666666666666668</v>
      </c>
      <c r="AC6" s="77">
        <f>AB6-AA6</f>
        <v>0.21666666666666679</v>
      </c>
      <c r="AD6" s="183"/>
    </row>
    <row r="7" spans="1:30">
      <c r="A7" s="199" t="s">
        <v>352</v>
      </c>
      <c r="B7" s="199" t="s">
        <v>124</v>
      </c>
      <c r="C7" s="199" t="s">
        <v>366</v>
      </c>
      <c r="D7" s="189">
        <v>10</v>
      </c>
      <c r="E7" s="189" t="s">
        <v>2</v>
      </c>
      <c r="F7" s="189">
        <v>32</v>
      </c>
      <c r="G7" s="57">
        <v>5.37</v>
      </c>
      <c r="H7" s="57">
        <f t="shared" si="0"/>
        <v>53.7</v>
      </c>
      <c r="I7" s="42">
        <f t="shared" si="1"/>
        <v>8.9500000000000011</v>
      </c>
      <c r="J7" s="27">
        <f t="shared" si="2"/>
        <v>89.500000000000014</v>
      </c>
      <c r="K7" s="41">
        <f t="shared" si="3"/>
        <v>0.40000000000000008</v>
      </c>
      <c r="L7" s="47">
        <f t="shared" si="4"/>
        <v>8.2615384615384606</v>
      </c>
      <c r="M7" s="28">
        <f t="shared" si="5"/>
        <v>82.615384615384613</v>
      </c>
      <c r="N7" s="48">
        <f t="shared" si="6"/>
        <v>0.34999999999999992</v>
      </c>
      <c r="O7" s="71">
        <v>7.9</v>
      </c>
      <c r="P7" s="31">
        <f t="shared" si="7"/>
        <v>79</v>
      </c>
      <c r="Q7" s="37">
        <f t="shared" si="8"/>
        <v>0.32025316455696207</v>
      </c>
      <c r="R7" s="51">
        <v>112.5</v>
      </c>
      <c r="S7" s="51">
        <v>90</v>
      </c>
      <c r="T7" s="74">
        <v>7.9</v>
      </c>
      <c r="U7" s="77"/>
      <c r="V7" s="77"/>
      <c r="W7" s="77"/>
      <c r="X7" s="82">
        <v>153154</v>
      </c>
      <c r="Z7" s="77"/>
      <c r="AA7" s="77"/>
      <c r="AB7" s="145"/>
      <c r="AC7" s="77"/>
      <c r="AD7" s="183"/>
    </row>
    <row r="8" spans="1:30">
      <c r="A8" s="33" t="s">
        <v>352</v>
      </c>
      <c r="B8" s="33" t="s">
        <v>125</v>
      </c>
      <c r="C8" s="33" t="s">
        <v>126</v>
      </c>
      <c r="D8" s="189">
        <v>20</v>
      </c>
      <c r="E8" s="189" t="s">
        <v>2</v>
      </c>
      <c r="F8" s="189">
        <v>32</v>
      </c>
      <c r="G8" s="57">
        <v>3.23</v>
      </c>
      <c r="H8" s="57">
        <f t="shared" si="0"/>
        <v>64.599999999999994</v>
      </c>
      <c r="I8" s="42">
        <f t="shared" si="1"/>
        <v>5.3833333333333337</v>
      </c>
      <c r="J8" s="27">
        <f t="shared" si="2"/>
        <v>107.66666666666667</v>
      </c>
      <c r="K8" s="41">
        <f t="shared" si="3"/>
        <v>0.4</v>
      </c>
      <c r="L8" s="47">
        <f t="shared" si="4"/>
        <v>4.9692307692307693</v>
      </c>
      <c r="M8" s="28">
        <f t="shared" si="5"/>
        <v>99.384615384615387</v>
      </c>
      <c r="N8" s="48">
        <f t="shared" si="6"/>
        <v>0.35000000000000003</v>
      </c>
      <c r="O8" s="71">
        <v>4.6500000000000004</v>
      </c>
      <c r="P8" s="31">
        <f t="shared" si="7"/>
        <v>93</v>
      </c>
      <c r="Q8" s="37">
        <f t="shared" si="8"/>
        <v>0.30537634408602155</v>
      </c>
      <c r="R8" s="51">
        <v>125</v>
      </c>
      <c r="S8" s="51">
        <v>100</v>
      </c>
      <c r="T8" s="74">
        <v>4.6500000000000004</v>
      </c>
      <c r="U8" s="77"/>
      <c r="V8" s="77"/>
      <c r="W8" s="77"/>
      <c r="X8" s="82">
        <v>153154</v>
      </c>
      <c r="Z8" s="77"/>
      <c r="AA8" s="77"/>
      <c r="AB8" s="145"/>
      <c r="AC8" s="77"/>
      <c r="AD8" s="183"/>
    </row>
    <row r="9" spans="1:30">
      <c r="A9" s="33" t="s">
        <v>352</v>
      </c>
      <c r="B9" s="33" t="s">
        <v>127</v>
      </c>
      <c r="C9" s="33" t="s">
        <v>128</v>
      </c>
      <c r="D9" s="189">
        <v>20</v>
      </c>
      <c r="E9" s="189" t="s">
        <v>2</v>
      </c>
      <c r="F9" s="189">
        <v>32</v>
      </c>
      <c r="G9" s="57">
        <v>3.23</v>
      </c>
      <c r="H9" s="57">
        <f t="shared" si="0"/>
        <v>64.599999999999994</v>
      </c>
      <c r="I9" s="42">
        <f t="shared" si="1"/>
        <v>5.3833333333333337</v>
      </c>
      <c r="J9" s="27">
        <f t="shared" si="2"/>
        <v>107.66666666666667</v>
      </c>
      <c r="K9" s="41">
        <f t="shared" si="3"/>
        <v>0.4</v>
      </c>
      <c r="L9" s="47">
        <f t="shared" si="4"/>
        <v>4.9692307692307693</v>
      </c>
      <c r="M9" s="28">
        <f t="shared" si="5"/>
        <v>99.384615384615387</v>
      </c>
      <c r="N9" s="48">
        <f t="shared" si="6"/>
        <v>0.35000000000000003</v>
      </c>
      <c r="O9" s="71">
        <v>4.6500000000000004</v>
      </c>
      <c r="P9" s="31">
        <f t="shared" si="7"/>
        <v>93</v>
      </c>
      <c r="Q9" s="37">
        <f t="shared" si="8"/>
        <v>0.30537634408602155</v>
      </c>
      <c r="R9" s="51">
        <v>125</v>
      </c>
      <c r="S9" s="51">
        <v>100</v>
      </c>
      <c r="T9" s="74">
        <v>4.6500000000000004</v>
      </c>
      <c r="U9" s="77"/>
      <c r="V9" s="77"/>
      <c r="W9" s="77"/>
      <c r="X9" s="82">
        <v>153154</v>
      </c>
      <c r="Z9" s="77"/>
      <c r="AA9" s="77"/>
      <c r="AB9" s="145"/>
      <c r="AC9" s="77"/>
      <c r="AD9" s="183"/>
    </row>
    <row r="10" spans="1:30">
      <c r="A10" s="33" t="s">
        <v>352</v>
      </c>
      <c r="B10" s="33" t="s">
        <v>129</v>
      </c>
      <c r="C10" s="33" t="s">
        <v>130</v>
      </c>
      <c r="D10" s="189">
        <v>20</v>
      </c>
      <c r="E10" s="189" t="s">
        <v>2</v>
      </c>
      <c r="F10" s="189">
        <v>32</v>
      </c>
      <c r="G10" s="57">
        <v>3.23</v>
      </c>
      <c r="H10" s="57">
        <f t="shared" si="0"/>
        <v>64.599999999999994</v>
      </c>
      <c r="I10" s="42">
        <f t="shared" si="1"/>
        <v>5.3833333333333337</v>
      </c>
      <c r="J10" s="27">
        <f t="shared" si="2"/>
        <v>107.66666666666667</v>
      </c>
      <c r="K10" s="41">
        <f t="shared" si="3"/>
        <v>0.4</v>
      </c>
      <c r="L10" s="47">
        <f t="shared" si="4"/>
        <v>4.9692307692307693</v>
      </c>
      <c r="M10" s="28">
        <f t="shared" si="5"/>
        <v>99.384615384615387</v>
      </c>
      <c r="N10" s="48">
        <f t="shared" si="6"/>
        <v>0.35000000000000003</v>
      </c>
      <c r="O10" s="71">
        <v>4.6500000000000004</v>
      </c>
      <c r="P10" s="31">
        <f t="shared" si="7"/>
        <v>93</v>
      </c>
      <c r="Q10" s="37">
        <f t="shared" si="8"/>
        <v>0.30537634408602155</v>
      </c>
      <c r="R10" s="51">
        <v>125</v>
      </c>
      <c r="S10" s="51">
        <v>100</v>
      </c>
      <c r="T10" s="74">
        <v>4.6500000000000004</v>
      </c>
      <c r="U10" s="77"/>
      <c r="V10" s="77"/>
      <c r="W10" s="77"/>
      <c r="X10" s="82">
        <v>153154</v>
      </c>
      <c r="Z10" s="77"/>
      <c r="AA10" s="77"/>
      <c r="AB10" s="145"/>
      <c r="AC10" s="77"/>
      <c r="AD10" s="183"/>
    </row>
    <row r="11" spans="1:30">
      <c r="A11" s="33" t="s">
        <v>352</v>
      </c>
      <c r="B11" s="33" t="s">
        <v>131</v>
      </c>
      <c r="C11" s="33" t="s">
        <v>132</v>
      </c>
      <c r="D11" s="189">
        <v>20</v>
      </c>
      <c r="E11" s="189" t="s">
        <v>2</v>
      </c>
      <c r="F11" s="189">
        <v>32</v>
      </c>
      <c r="G11" s="57">
        <v>3.23</v>
      </c>
      <c r="H11" s="57">
        <f t="shared" si="0"/>
        <v>64.599999999999994</v>
      </c>
      <c r="I11" s="42">
        <f t="shared" si="1"/>
        <v>5.3833333333333337</v>
      </c>
      <c r="J11" s="27">
        <f t="shared" si="2"/>
        <v>107.66666666666667</v>
      </c>
      <c r="K11" s="41">
        <f t="shared" si="3"/>
        <v>0.4</v>
      </c>
      <c r="L11" s="47">
        <f t="shared" si="4"/>
        <v>4.9692307692307693</v>
      </c>
      <c r="M11" s="28">
        <f t="shared" si="5"/>
        <v>99.384615384615387</v>
      </c>
      <c r="N11" s="48">
        <f t="shared" si="6"/>
        <v>0.35000000000000003</v>
      </c>
      <c r="O11" s="71">
        <v>4.6500000000000004</v>
      </c>
      <c r="P11" s="31">
        <f t="shared" si="7"/>
        <v>93</v>
      </c>
      <c r="Q11" s="37">
        <f t="shared" si="8"/>
        <v>0.30537634408602155</v>
      </c>
      <c r="R11" s="51">
        <v>125</v>
      </c>
      <c r="S11" s="51">
        <v>100</v>
      </c>
      <c r="T11" s="74">
        <v>4.6500000000000004</v>
      </c>
      <c r="U11" s="77"/>
      <c r="V11" s="77"/>
      <c r="W11" s="77"/>
      <c r="X11" s="82">
        <v>153154</v>
      </c>
      <c r="Z11" s="77"/>
      <c r="AA11" s="77"/>
      <c r="AB11" s="145"/>
      <c r="AC11" s="77"/>
      <c r="AD11" s="183"/>
    </row>
    <row r="12" spans="1:30" s="10" customFormat="1">
      <c r="A12" s="199" t="s">
        <v>352</v>
      </c>
      <c r="B12" s="199" t="s">
        <v>133</v>
      </c>
      <c r="C12" s="199" t="s">
        <v>134</v>
      </c>
      <c r="D12" s="189">
        <v>10</v>
      </c>
      <c r="E12" s="189" t="s">
        <v>2</v>
      </c>
      <c r="F12" s="189">
        <v>32</v>
      </c>
      <c r="G12" s="57">
        <v>6.27</v>
      </c>
      <c r="H12" s="57">
        <f t="shared" si="0"/>
        <v>62.699999999999996</v>
      </c>
      <c r="I12" s="42">
        <f t="shared" si="1"/>
        <v>10.45</v>
      </c>
      <c r="J12" s="27">
        <f t="shared" si="2"/>
        <v>104.5</v>
      </c>
      <c r="K12" s="41">
        <f t="shared" si="3"/>
        <v>0.4</v>
      </c>
      <c r="L12" s="47">
        <f t="shared" si="4"/>
        <v>9.6461538461538456</v>
      </c>
      <c r="M12" s="28">
        <f t="shared" si="5"/>
        <v>96.461538461538453</v>
      </c>
      <c r="N12" s="48">
        <f t="shared" si="6"/>
        <v>0.35000000000000003</v>
      </c>
      <c r="O12" s="71">
        <v>9.3000000000000007</v>
      </c>
      <c r="P12" s="31">
        <f t="shared" si="7"/>
        <v>93</v>
      </c>
      <c r="Q12" s="37">
        <f t="shared" si="8"/>
        <v>0.32580645161290334</v>
      </c>
      <c r="R12" s="51">
        <v>125</v>
      </c>
      <c r="S12" s="51">
        <v>100</v>
      </c>
      <c r="T12" s="74">
        <v>9.3000000000000007</v>
      </c>
      <c r="U12" s="77"/>
      <c r="V12" s="77"/>
      <c r="W12" s="77"/>
      <c r="X12" s="82">
        <v>153154</v>
      </c>
      <c r="Z12" s="77"/>
      <c r="AA12" s="77"/>
      <c r="AB12" s="145"/>
      <c r="AC12" s="77"/>
      <c r="AD12" s="183"/>
    </row>
    <row r="13" spans="1:30">
      <c r="A13" s="33" t="s">
        <v>352</v>
      </c>
      <c r="B13" s="33" t="s">
        <v>100</v>
      </c>
      <c r="C13" s="33" t="s">
        <v>101</v>
      </c>
      <c r="D13" s="189">
        <v>20</v>
      </c>
      <c r="E13" s="189" t="s">
        <v>2</v>
      </c>
      <c r="F13" s="189">
        <v>32</v>
      </c>
      <c r="G13" s="57">
        <v>2.68</v>
      </c>
      <c r="H13" s="57">
        <f t="shared" si="0"/>
        <v>53.6</v>
      </c>
      <c r="I13" s="42">
        <f t="shared" si="1"/>
        <v>4.4666666666666668</v>
      </c>
      <c r="J13" s="27">
        <f t="shared" si="2"/>
        <v>89.333333333333343</v>
      </c>
      <c r="K13" s="41">
        <f t="shared" si="3"/>
        <v>0.39999999999999997</v>
      </c>
      <c r="L13" s="47">
        <f t="shared" si="4"/>
        <v>4.1230769230769235</v>
      </c>
      <c r="M13" s="28">
        <f t="shared" si="5"/>
        <v>82.461538461538467</v>
      </c>
      <c r="N13" s="48">
        <f t="shared" si="6"/>
        <v>0.35000000000000003</v>
      </c>
      <c r="O13" s="71">
        <v>3.95</v>
      </c>
      <c r="P13" s="31">
        <f t="shared" si="7"/>
        <v>79</v>
      </c>
      <c r="Q13" s="37">
        <f t="shared" si="8"/>
        <v>0.32151898734177214</v>
      </c>
      <c r="R13" s="51">
        <v>112.5</v>
      </c>
      <c r="S13" s="51">
        <v>90</v>
      </c>
      <c r="T13" s="74">
        <v>3.95</v>
      </c>
      <c r="U13" s="77"/>
      <c r="V13" s="77"/>
      <c r="W13" s="77">
        <v>3.95</v>
      </c>
      <c r="X13" s="82">
        <v>153154</v>
      </c>
      <c r="Z13" s="77" t="s">
        <v>383</v>
      </c>
      <c r="AA13" s="77">
        <f>VLOOKUP(Z13,'CFN HPV'!A:L,12,FALSE)</f>
        <v>4.5199999999999996</v>
      </c>
      <c r="AB13" s="145">
        <f>I13</f>
        <v>4.4666666666666668</v>
      </c>
      <c r="AC13" s="77">
        <f>AB13-AA13</f>
        <v>-5.3333333333332789E-2</v>
      </c>
      <c r="AD13" s="183"/>
    </row>
    <row r="14" spans="1:30">
      <c r="A14" s="33" t="s">
        <v>352</v>
      </c>
      <c r="B14" s="33" t="s">
        <v>102</v>
      </c>
      <c r="C14" s="33" t="s">
        <v>103</v>
      </c>
      <c r="D14" s="189">
        <v>20</v>
      </c>
      <c r="E14" s="189" t="s">
        <v>2</v>
      </c>
      <c r="F14" s="189">
        <v>32</v>
      </c>
      <c r="G14" s="57">
        <v>2.68</v>
      </c>
      <c r="H14" s="57">
        <f t="shared" si="0"/>
        <v>53.6</v>
      </c>
      <c r="I14" s="42">
        <f t="shared" si="1"/>
        <v>4.4666666666666668</v>
      </c>
      <c r="J14" s="27">
        <f t="shared" si="2"/>
        <v>89.333333333333343</v>
      </c>
      <c r="K14" s="41">
        <f t="shared" si="3"/>
        <v>0.39999999999999997</v>
      </c>
      <c r="L14" s="47">
        <f t="shared" si="4"/>
        <v>4.1230769230769235</v>
      </c>
      <c r="M14" s="28">
        <f t="shared" si="5"/>
        <v>82.461538461538467</v>
      </c>
      <c r="N14" s="48">
        <f t="shared" si="6"/>
        <v>0.35000000000000003</v>
      </c>
      <c r="O14" s="71">
        <v>3.95</v>
      </c>
      <c r="P14" s="31">
        <f t="shared" si="7"/>
        <v>79</v>
      </c>
      <c r="Q14" s="37">
        <f t="shared" si="8"/>
        <v>0.32151898734177214</v>
      </c>
      <c r="R14" s="51">
        <v>112.5</v>
      </c>
      <c r="S14" s="51">
        <v>90</v>
      </c>
      <c r="T14" s="74">
        <v>3.95</v>
      </c>
      <c r="U14" s="77"/>
      <c r="V14" s="77"/>
      <c r="W14" s="77">
        <v>3.95</v>
      </c>
      <c r="X14" s="82">
        <v>153154</v>
      </c>
      <c r="Z14" s="77" t="s">
        <v>384</v>
      </c>
      <c r="AA14" s="77">
        <f>VLOOKUP(Z14,'CFN HPV'!A:L,12,FALSE)</f>
        <v>4.75</v>
      </c>
      <c r="AB14" s="145">
        <f>I14</f>
        <v>4.4666666666666668</v>
      </c>
      <c r="AC14" s="77">
        <f>AB14-AA14</f>
        <v>-0.28333333333333321</v>
      </c>
      <c r="AD14" s="183"/>
    </row>
    <row r="15" spans="1:30">
      <c r="A15" s="33" t="s">
        <v>352</v>
      </c>
      <c r="B15" s="33" t="s">
        <v>104</v>
      </c>
      <c r="C15" s="33" t="s">
        <v>105</v>
      </c>
      <c r="D15" s="189">
        <v>20</v>
      </c>
      <c r="E15" s="189" t="s">
        <v>2</v>
      </c>
      <c r="F15" s="189">
        <v>32</v>
      </c>
      <c r="G15" s="57">
        <v>2.68</v>
      </c>
      <c r="H15" s="57">
        <f t="shared" si="0"/>
        <v>53.6</v>
      </c>
      <c r="I15" s="42">
        <f t="shared" si="1"/>
        <v>4.4666666666666668</v>
      </c>
      <c r="J15" s="27">
        <f t="shared" si="2"/>
        <v>89.333333333333343</v>
      </c>
      <c r="K15" s="41">
        <f t="shared" si="3"/>
        <v>0.39999999999999997</v>
      </c>
      <c r="L15" s="47">
        <f t="shared" si="4"/>
        <v>4.1230769230769235</v>
      </c>
      <c r="M15" s="28">
        <f t="shared" si="5"/>
        <v>82.461538461538467</v>
      </c>
      <c r="N15" s="48">
        <f t="shared" si="6"/>
        <v>0.35000000000000003</v>
      </c>
      <c r="O15" s="71">
        <v>3.95</v>
      </c>
      <c r="P15" s="31">
        <f t="shared" si="7"/>
        <v>79</v>
      </c>
      <c r="Q15" s="37">
        <f t="shared" si="8"/>
        <v>0.32151898734177214</v>
      </c>
      <c r="R15" s="51">
        <v>112.5</v>
      </c>
      <c r="S15" s="51">
        <v>90</v>
      </c>
      <c r="T15" s="74">
        <v>3.95</v>
      </c>
      <c r="U15" s="77"/>
      <c r="V15" s="77"/>
      <c r="W15" s="77">
        <v>3.95</v>
      </c>
      <c r="X15" s="82">
        <v>153154</v>
      </c>
      <c r="Z15" s="77" t="s">
        <v>385</v>
      </c>
      <c r="AA15" s="77">
        <f>VLOOKUP(Z15,'CFN HPV'!A:L,12,FALSE)</f>
        <v>5</v>
      </c>
      <c r="AB15" s="145">
        <f>I15</f>
        <v>4.4666666666666668</v>
      </c>
      <c r="AC15" s="77">
        <f>AB15-AA15</f>
        <v>-0.53333333333333321</v>
      </c>
      <c r="AD15" s="183"/>
    </row>
    <row r="16" spans="1:30">
      <c r="A16" s="202" t="s">
        <v>352</v>
      </c>
      <c r="B16" s="202" t="s">
        <v>106</v>
      </c>
      <c r="C16" s="202" t="s">
        <v>107</v>
      </c>
      <c r="D16" s="189">
        <v>20</v>
      </c>
      <c r="E16" s="189" t="s">
        <v>2</v>
      </c>
      <c r="F16" s="189">
        <v>32</v>
      </c>
      <c r="G16" s="57">
        <v>2.68</v>
      </c>
      <c r="H16" s="57">
        <f t="shared" si="0"/>
        <v>53.6</v>
      </c>
      <c r="I16" s="42">
        <f t="shared" si="1"/>
        <v>4.4666666666666668</v>
      </c>
      <c r="J16" s="27">
        <f t="shared" si="2"/>
        <v>89.333333333333343</v>
      </c>
      <c r="K16" s="41">
        <f t="shared" si="3"/>
        <v>0.39999999999999997</v>
      </c>
      <c r="L16" s="47">
        <f t="shared" si="4"/>
        <v>4.1230769230769235</v>
      </c>
      <c r="M16" s="28">
        <f t="shared" si="5"/>
        <v>82.461538461538467</v>
      </c>
      <c r="N16" s="48">
        <f t="shared" si="6"/>
        <v>0.35000000000000003</v>
      </c>
      <c r="O16" s="71">
        <v>3.95</v>
      </c>
      <c r="P16" s="31">
        <f t="shared" si="7"/>
        <v>79</v>
      </c>
      <c r="Q16" s="37">
        <f t="shared" si="8"/>
        <v>0.32151898734177214</v>
      </c>
      <c r="R16" s="51">
        <v>112.5</v>
      </c>
      <c r="S16" s="51">
        <v>90</v>
      </c>
      <c r="T16" s="74">
        <v>3.95</v>
      </c>
      <c r="U16" s="77"/>
      <c r="V16" s="77"/>
      <c r="W16" s="77">
        <v>3.95</v>
      </c>
      <c r="X16" s="82">
        <v>153154</v>
      </c>
      <c r="Z16" s="77" t="s">
        <v>386</v>
      </c>
      <c r="AA16" s="77">
        <f>VLOOKUP(Z16,'CFN HPV'!A:L,12,FALSE)</f>
        <v>6.1</v>
      </c>
      <c r="AB16" s="145">
        <f>I16</f>
        <v>4.4666666666666668</v>
      </c>
      <c r="AC16" s="77">
        <f>AB16-AA16</f>
        <v>-1.6333333333333329</v>
      </c>
      <c r="AD16" s="183"/>
    </row>
    <row r="17" spans="1:30">
      <c r="A17" s="33" t="s">
        <v>352</v>
      </c>
      <c r="B17" s="33" t="s">
        <v>108</v>
      </c>
      <c r="C17" s="33" t="s">
        <v>109</v>
      </c>
      <c r="D17" s="189">
        <v>20</v>
      </c>
      <c r="E17" s="189" t="s">
        <v>2</v>
      </c>
      <c r="F17" s="189">
        <v>32</v>
      </c>
      <c r="G17" s="57">
        <v>3.23</v>
      </c>
      <c r="H17" s="57">
        <f t="shared" si="0"/>
        <v>64.599999999999994</v>
      </c>
      <c r="I17" s="42">
        <f t="shared" si="1"/>
        <v>5.3833333333333337</v>
      </c>
      <c r="J17" s="27">
        <f t="shared" si="2"/>
        <v>107.66666666666667</v>
      </c>
      <c r="K17" s="41">
        <f t="shared" si="3"/>
        <v>0.4</v>
      </c>
      <c r="L17" s="47">
        <f t="shared" si="4"/>
        <v>4.9692307692307693</v>
      </c>
      <c r="M17" s="28">
        <f t="shared" si="5"/>
        <v>99.384615384615387</v>
      </c>
      <c r="N17" s="48">
        <f t="shared" si="6"/>
        <v>0.35000000000000003</v>
      </c>
      <c r="O17" s="71">
        <v>4.6500000000000004</v>
      </c>
      <c r="P17" s="31">
        <f t="shared" si="7"/>
        <v>93</v>
      </c>
      <c r="Q17" s="37">
        <f t="shared" si="8"/>
        <v>0.30537634408602155</v>
      </c>
      <c r="R17" s="51">
        <v>125</v>
      </c>
      <c r="S17" s="51">
        <v>100</v>
      </c>
      <c r="T17" s="74">
        <v>4.6500000000000004</v>
      </c>
      <c r="U17" s="77"/>
      <c r="V17" s="77"/>
      <c r="W17" s="77"/>
      <c r="X17" s="82">
        <v>153154</v>
      </c>
      <c r="Z17" s="77"/>
      <c r="AA17" s="77"/>
      <c r="AB17" s="145"/>
      <c r="AC17" s="77"/>
      <c r="AD17" s="183"/>
    </row>
    <row r="18" spans="1:30">
      <c r="A18" s="202" t="s">
        <v>352</v>
      </c>
      <c r="B18" s="202" t="s">
        <v>110</v>
      </c>
      <c r="C18" s="202" t="s">
        <v>111</v>
      </c>
      <c r="D18" s="189">
        <v>20</v>
      </c>
      <c r="E18" s="189" t="s">
        <v>2</v>
      </c>
      <c r="F18" s="189">
        <v>32</v>
      </c>
      <c r="G18" s="57">
        <v>3.23</v>
      </c>
      <c r="H18" s="57">
        <f t="shared" si="0"/>
        <v>64.599999999999994</v>
      </c>
      <c r="I18" s="42">
        <f t="shared" si="1"/>
        <v>5.3833333333333337</v>
      </c>
      <c r="J18" s="27">
        <f t="shared" si="2"/>
        <v>107.66666666666667</v>
      </c>
      <c r="K18" s="41">
        <f t="shared" si="3"/>
        <v>0.4</v>
      </c>
      <c r="L18" s="47">
        <f t="shared" si="4"/>
        <v>4.9692307692307693</v>
      </c>
      <c r="M18" s="28">
        <f t="shared" si="5"/>
        <v>99.384615384615387</v>
      </c>
      <c r="N18" s="48">
        <f t="shared" si="6"/>
        <v>0.35000000000000003</v>
      </c>
      <c r="O18" s="71">
        <v>4.6500000000000004</v>
      </c>
      <c r="P18" s="31">
        <f t="shared" si="7"/>
        <v>93</v>
      </c>
      <c r="Q18" s="37">
        <f t="shared" si="8"/>
        <v>0.30537634408602155</v>
      </c>
      <c r="R18" s="51">
        <v>125</v>
      </c>
      <c r="S18" s="51">
        <v>100</v>
      </c>
      <c r="T18" s="74">
        <v>4.6500000000000004</v>
      </c>
      <c r="U18" s="77"/>
      <c r="V18" s="77"/>
      <c r="W18" s="77"/>
      <c r="X18" s="82">
        <v>153154</v>
      </c>
      <c r="Z18" s="77" t="s">
        <v>387</v>
      </c>
      <c r="AA18" s="77">
        <f>VLOOKUP(Z18,'CFN HPV'!A:L,12,FALSE)</f>
        <v>6.5</v>
      </c>
      <c r="AB18" s="145">
        <f>I18</f>
        <v>5.3833333333333337</v>
      </c>
      <c r="AC18" s="77">
        <f>AB18-AA18</f>
        <v>-1.1166666666666663</v>
      </c>
      <c r="AD18" s="183"/>
    </row>
    <row r="19" spans="1:30">
      <c r="A19" s="33" t="s">
        <v>352</v>
      </c>
      <c r="B19" s="33" t="s">
        <v>112</v>
      </c>
      <c r="C19" s="33" t="s">
        <v>113</v>
      </c>
      <c r="D19" s="189">
        <v>20</v>
      </c>
      <c r="E19" s="189" t="s">
        <v>2</v>
      </c>
      <c r="F19" s="189">
        <v>32</v>
      </c>
      <c r="G19" s="57">
        <v>3.23</v>
      </c>
      <c r="H19" s="57">
        <f t="shared" si="0"/>
        <v>64.599999999999994</v>
      </c>
      <c r="I19" s="42">
        <f t="shared" si="1"/>
        <v>5.3833333333333337</v>
      </c>
      <c r="J19" s="27">
        <f t="shared" si="2"/>
        <v>107.66666666666667</v>
      </c>
      <c r="K19" s="41">
        <f t="shared" si="3"/>
        <v>0.4</v>
      </c>
      <c r="L19" s="47">
        <f t="shared" si="4"/>
        <v>4.9692307692307693</v>
      </c>
      <c r="M19" s="28">
        <f t="shared" si="5"/>
        <v>99.384615384615387</v>
      </c>
      <c r="N19" s="48">
        <f t="shared" si="6"/>
        <v>0.35000000000000003</v>
      </c>
      <c r="O19" s="71">
        <v>4.6500000000000004</v>
      </c>
      <c r="P19" s="31">
        <f t="shared" si="7"/>
        <v>93</v>
      </c>
      <c r="Q19" s="37">
        <f t="shared" si="8"/>
        <v>0.30537634408602155</v>
      </c>
      <c r="R19" s="51">
        <v>125</v>
      </c>
      <c r="S19" s="51">
        <v>100</v>
      </c>
      <c r="T19" s="74">
        <v>4.6500000000000004</v>
      </c>
      <c r="U19" s="77"/>
      <c r="V19" s="77"/>
      <c r="W19" s="77"/>
      <c r="X19" s="82">
        <v>153154</v>
      </c>
      <c r="Z19" s="77" t="s">
        <v>388</v>
      </c>
      <c r="AA19" s="77">
        <f>VLOOKUP(Z19,'CFN HPV'!A:L,12,FALSE)</f>
        <v>6.8</v>
      </c>
      <c r="AB19" s="145">
        <f>I19</f>
        <v>5.3833333333333337</v>
      </c>
      <c r="AC19" s="77">
        <f>AB19-AA19</f>
        <v>-1.4166666666666661</v>
      </c>
      <c r="AD19" s="183"/>
    </row>
    <row r="20" spans="1:30">
      <c r="A20" s="33" t="s">
        <v>352</v>
      </c>
      <c r="B20" s="33" t="s">
        <v>114</v>
      </c>
      <c r="C20" s="33" t="s">
        <v>115</v>
      </c>
      <c r="D20" s="189">
        <v>20</v>
      </c>
      <c r="E20" s="189" t="s">
        <v>2</v>
      </c>
      <c r="F20" s="189">
        <v>32</v>
      </c>
      <c r="G20" s="57">
        <v>3.23</v>
      </c>
      <c r="H20" s="57">
        <f t="shared" si="0"/>
        <v>64.599999999999994</v>
      </c>
      <c r="I20" s="42">
        <f t="shared" si="1"/>
        <v>5.3833333333333337</v>
      </c>
      <c r="J20" s="27">
        <f t="shared" si="2"/>
        <v>107.66666666666667</v>
      </c>
      <c r="K20" s="41">
        <f t="shared" si="3"/>
        <v>0.4</v>
      </c>
      <c r="L20" s="47">
        <f t="shared" si="4"/>
        <v>4.9692307692307693</v>
      </c>
      <c r="M20" s="28">
        <f t="shared" si="5"/>
        <v>99.384615384615387</v>
      </c>
      <c r="N20" s="48">
        <f t="shared" si="6"/>
        <v>0.35000000000000003</v>
      </c>
      <c r="O20" s="71">
        <v>4.6500000000000004</v>
      </c>
      <c r="P20" s="31">
        <f t="shared" si="7"/>
        <v>93</v>
      </c>
      <c r="Q20" s="37">
        <f t="shared" si="8"/>
        <v>0.30537634408602155</v>
      </c>
      <c r="R20" s="51">
        <v>125</v>
      </c>
      <c r="S20" s="51">
        <v>100</v>
      </c>
      <c r="T20" s="74">
        <v>4.6500000000000004</v>
      </c>
      <c r="U20" s="77"/>
      <c r="V20" s="77"/>
      <c r="W20" s="77"/>
      <c r="X20" s="82">
        <v>153154</v>
      </c>
      <c r="Z20" s="77" t="s">
        <v>389</v>
      </c>
      <c r="AA20" s="77">
        <f>VLOOKUP(Z20,'CFN HPV'!A:L,12,FALSE)</f>
        <v>7.5</v>
      </c>
      <c r="AB20" s="145">
        <f>I20</f>
        <v>5.3833333333333337</v>
      </c>
      <c r="AC20" s="77">
        <f>AB20-AA20</f>
        <v>-2.1166666666666663</v>
      </c>
      <c r="AD20" s="183"/>
    </row>
    <row r="21" spans="1:30">
      <c r="A21" s="33" t="s">
        <v>352</v>
      </c>
      <c r="B21" s="33" t="s">
        <v>137</v>
      </c>
      <c r="C21" s="33" t="s">
        <v>138</v>
      </c>
      <c r="D21" s="189">
        <v>20</v>
      </c>
      <c r="E21" s="189" t="s">
        <v>2</v>
      </c>
      <c r="F21" s="189">
        <v>32</v>
      </c>
      <c r="G21" s="57">
        <v>4.58</v>
      </c>
      <c r="H21" s="57">
        <f t="shared" si="0"/>
        <v>91.6</v>
      </c>
      <c r="I21" s="42">
        <f t="shared" si="1"/>
        <v>7.6333333333333337</v>
      </c>
      <c r="J21" s="27">
        <f t="shared" si="2"/>
        <v>152.66666666666669</v>
      </c>
      <c r="K21" s="41">
        <f t="shared" si="3"/>
        <v>0.4</v>
      </c>
      <c r="L21" s="47">
        <f t="shared" si="4"/>
        <v>7.046153846153846</v>
      </c>
      <c r="M21" s="28">
        <f t="shared" si="5"/>
        <v>140.92307692307691</v>
      </c>
      <c r="N21" s="48">
        <f t="shared" si="6"/>
        <v>0.35</v>
      </c>
      <c r="O21" s="71">
        <v>6.75</v>
      </c>
      <c r="P21" s="31">
        <f t="shared" si="7"/>
        <v>135</v>
      </c>
      <c r="Q21" s="37">
        <f t="shared" si="8"/>
        <v>0.32148148148148148</v>
      </c>
      <c r="R21" s="51">
        <v>195</v>
      </c>
      <c r="S21" s="51">
        <v>156</v>
      </c>
      <c r="T21" s="74">
        <v>6.75</v>
      </c>
      <c r="U21" s="77"/>
      <c r="V21" s="77"/>
      <c r="W21" s="77">
        <v>6.5</v>
      </c>
      <c r="X21" s="82">
        <v>153154</v>
      </c>
      <c r="Z21" s="77"/>
      <c r="AA21" s="77"/>
      <c r="AB21" s="145"/>
      <c r="AC21" s="77"/>
      <c r="AD21" s="183"/>
    </row>
    <row r="22" spans="1:30">
      <c r="A22" s="202" t="s">
        <v>352</v>
      </c>
      <c r="B22" s="202" t="s">
        <v>139</v>
      </c>
      <c r="C22" s="202" t="s">
        <v>140</v>
      </c>
      <c r="D22" s="189">
        <v>20</v>
      </c>
      <c r="E22" s="189" t="s">
        <v>2</v>
      </c>
      <c r="F22" s="189">
        <v>32</v>
      </c>
      <c r="G22" s="57">
        <v>4.58</v>
      </c>
      <c r="H22" s="57">
        <f t="shared" si="0"/>
        <v>91.6</v>
      </c>
      <c r="I22" s="42">
        <f t="shared" si="1"/>
        <v>7.6333333333333337</v>
      </c>
      <c r="J22" s="27">
        <f t="shared" si="2"/>
        <v>152.66666666666669</v>
      </c>
      <c r="K22" s="41">
        <f t="shared" si="3"/>
        <v>0.4</v>
      </c>
      <c r="L22" s="47">
        <f t="shared" si="4"/>
        <v>7.046153846153846</v>
      </c>
      <c r="M22" s="28">
        <f t="shared" si="5"/>
        <v>140.92307692307691</v>
      </c>
      <c r="N22" s="48">
        <f t="shared" si="6"/>
        <v>0.35</v>
      </c>
      <c r="O22" s="71">
        <v>6.75</v>
      </c>
      <c r="P22" s="31">
        <f t="shared" si="7"/>
        <v>135</v>
      </c>
      <c r="Q22" s="37">
        <f t="shared" si="8"/>
        <v>0.32148148148148148</v>
      </c>
      <c r="R22" s="51">
        <v>195</v>
      </c>
      <c r="S22" s="51">
        <v>156</v>
      </c>
      <c r="T22" s="74">
        <v>6.75</v>
      </c>
      <c r="U22" s="77"/>
      <c r="V22" s="77"/>
      <c r="W22" s="77">
        <v>6.5</v>
      </c>
      <c r="X22" s="82">
        <v>153154</v>
      </c>
      <c r="Z22" s="77" t="s">
        <v>390</v>
      </c>
      <c r="AA22" s="77">
        <f>VLOOKUP(Z22,'CFN HPV'!A:L,12,FALSE)</f>
        <v>8</v>
      </c>
      <c r="AB22" s="145">
        <f>I22</f>
        <v>7.6333333333333337</v>
      </c>
      <c r="AC22" s="77">
        <f>AB22-AA22</f>
        <v>-0.36666666666666625</v>
      </c>
      <c r="AD22" s="183"/>
    </row>
    <row r="23" spans="1:30">
      <c r="A23" s="199" t="s">
        <v>352</v>
      </c>
      <c r="B23" s="199" t="s">
        <v>141</v>
      </c>
      <c r="C23" s="199" t="s">
        <v>142</v>
      </c>
      <c r="D23" s="189">
        <v>24</v>
      </c>
      <c r="E23" s="189" t="s">
        <v>2</v>
      </c>
      <c r="F23" s="189">
        <v>32</v>
      </c>
      <c r="G23" s="57">
        <v>4.58</v>
      </c>
      <c r="H23" s="57">
        <f t="shared" si="0"/>
        <v>109.92</v>
      </c>
      <c r="I23" s="42">
        <f t="shared" si="1"/>
        <v>7.6333333333333337</v>
      </c>
      <c r="J23" s="27">
        <f t="shared" si="2"/>
        <v>183.20000000000002</v>
      </c>
      <c r="K23" s="41">
        <f t="shared" si="3"/>
        <v>0.4</v>
      </c>
      <c r="L23" s="47">
        <f t="shared" si="4"/>
        <v>7.046153846153846</v>
      </c>
      <c r="M23" s="28">
        <f t="shared" si="5"/>
        <v>169.1076923076923</v>
      </c>
      <c r="N23" s="48">
        <f t="shared" si="6"/>
        <v>0.35</v>
      </c>
      <c r="O23" s="71">
        <v>6.75</v>
      </c>
      <c r="P23" s="31">
        <f t="shared" si="7"/>
        <v>162</v>
      </c>
      <c r="Q23" s="37">
        <f t="shared" si="8"/>
        <v>0.32148148148148148</v>
      </c>
      <c r="R23" s="51">
        <v>195</v>
      </c>
      <c r="S23" s="51">
        <v>156</v>
      </c>
      <c r="T23" s="74">
        <v>6.75</v>
      </c>
      <c r="U23" s="77"/>
      <c r="V23" s="77"/>
      <c r="W23" s="77">
        <v>6.5</v>
      </c>
      <c r="X23" s="82">
        <v>153154</v>
      </c>
      <c r="Z23" s="77" t="s">
        <v>391</v>
      </c>
      <c r="AA23" s="77">
        <f>VLOOKUP(Z23,'CFN HPV'!A:L,12,FALSE)</f>
        <v>8.75</v>
      </c>
      <c r="AB23" s="145">
        <f>I23</f>
        <v>7.6333333333333337</v>
      </c>
      <c r="AC23" s="77">
        <f>AB23-AA23</f>
        <v>-1.1166666666666663</v>
      </c>
      <c r="AD23" s="183"/>
    </row>
    <row r="24" spans="1:30">
      <c r="A24" s="33" t="s">
        <v>352</v>
      </c>
      <c r="B24" s="33" t="s">
        <v>143</v>
      </c>
      <c r="C24" s="33" t="s">
        <v>144</v>
      </c>
      <c r="D24" s="189">
        <v>20</v>
      </c>
      <c r="E24" s="189" t="s">
        <v>2</v>
      </c>
      <c r="F24" s="189">
        <v>32</v>
      </c>
      <c r="G24" s="57">
        <v>4.58</v>
      </c>
      <c r="H24" s="57">
        <f t="shared" si="0"/>
        <v>91.6</v>
      </c>
      <c r="I24" s="42">
        <f t="shared" si="1"/>
        <v>7.6333333333333337</v>
      </c>
      <c r="J24" s="27">
        <f t="shared" si="2"/>
        <v>152.66666666666669</v>
      </c>
      <c r="K24" s="41">
        <f t="shared" si="3"/>
        <v>0.4</v>
      </c>
      <c r="L24" s="47">
        <f t="shared" si="4"/>
        <v>7.046153846153846</v>
      </c>
      <c r="M24" s="28">
        <f t="shared" si="5"/>
        <v>140.92307692307691</v>
      </c>
      <c r="N24" s="48">
        <f t="shared" si="6"/>
        <v>0.35</v>
      </c>
      <c r="O24" s="71">
        <v>6.75</v>
      </c>
      <c r="P24" s="31">
        <f t="shared" si="7"/>
        <v>135</v>
      </c>
      <c r="Q24" s="37">
        <f t="shared" si="8"/>
        <v>0.32148148148148148</v>
      </c>
      <c r="R24" s="51">
        <v>195</v>
      </c>
      <c r="S24" s="51">
        <v>156</v>
      </c>
      <c r="T24" s="74">
        <v>6.75</v>
      </c>
      <c r="U24" s="77"/>
      <c r="V24" s="77"/>
      <c r="W24" s="77">
        <v>6.5</v>
      </c>
      <c r="X24" s="82">
        <v>153154</v>
      </c>
      <c r="Z24" s="77" t="s">
        <v>393</v>
      </c>
      <c r="AA24" s="77">
        <f>VLOOKUP(Z24,'CFN HPV'!A:L,12,FALSE)</f>
        <v>10.25</v>
      </c>
      <c r="AB24" s="145">
        <f>I24</f>
        <v>7.6333333333333337</v>
      </c>
      <c r="AC24" s="77">
        <f>AB24-AA24</f>
        <v>-2.6166666666666663</v>
      </c>
      <c r="AD24" s="183"/>
    </row>
    <row r="25" spans="1:30" s="10" customFormat="1">
      <c r="A25" s="199" t="s">
        <v>352</v>
      </c>
      <c r="B25" s="199" t="s">
        <v>135</v>
      </c>
      <c r="C25" s="199" t="s">
        <v>136</v>
      </c>
      <c r="D25" s="189">
        <v>30</v>
      </c>
      <c r="E25" s="189" t="s">
        <v>2</v>
      </c>
      <c r="F25" s="189">
        <v>32</v>
      </c>
      <c r="G25" s="58">
        <v>1.0900000000000001</v>
      </c>
      <c r="H25" s="58">
        <f t="shared" si="0"/>
        <v>32.700000000000003</v>
      </c>
      <c r="I25" s="44">
        <f t="shared" si="1"/>
        <v>1.8166666666666669</v>
      </c>
      <c r="J25" s="81">
        <f t="shared" si="2"/>
        <v>54.500000000000007</v>
      </c>
      <c r="K25" s="43">
        <f t="shared" si="3"/>
        <v>0.4</v>
      </c>
      <c r="L25" s="49">
        <f t="shared" si="4"/>
        <v>1.676923076923077</v>
      </c>
      <c r="M25" s="30">
        <f t="shared" si="5"/>
        <v>50.307692307692307</v>
      </c>
      <c r="N25" s="50">
        <f t="shared" si="6"/>
        <v>0.35</v>
      </c>
      <c r="O25" s="72">
        <v>1.6</v>
      </c>
      <c r="P25" s="32">
        <f t="shared" si="7"/>
        <v>48</v>
      </c>
      <c r="Q25" s="38">
        <f t="shared" si="8"/>
        <v>0.31874999999999998</v>
      </c>
      <c r="R25" s="52">
        <v>73.5</v>
      </c>
      <c r="S25" s="52">
        <v>58.8</v>
      </c>
      <c r="T25" s="75">
        <v>1.6</v>
      </c>
      <c r="U25" s="78"/>
      <c r="V25" s="78"/>
      <c r="W25" s="78"/>
      <c r="X25" s="84">
        <v>153154</v>
      </c>
      <c r="Z25" s="33"/>
      <c r="AA25" s="33"/>
      <c r="AB25" s="145"/>
      <c r="AC25" s="77"/>
      <c r="AD25" s="183"/>
    </row>
    <row r="26" spans="1:30" s="10" customFormat="1">
      <c r="A26" s="4" t="s">
        <v>367</v>
      </c>
      <c r="B26" s="4" t="s">
        <v>52</v>
      </c>
      <c r="C26" s="4" t="s">
        <v>53</v>
      </c>
      <c r="D26" s="12">
        <v>120</v>
      </c>
      <c r="E26" s="12" t="s">
        <v>2</v>
      </c>
      <c r="F26" s="12">
        <f>VLOOKUP(B26,Pallets!B:F,5,FALSE)</f>
        <v>24</v>
      </c>
      <c r="G26" s="57">
        <v>1.19</v>
      </c>
      <c r="H26" s="57">
        <f t="shared" si="0"/>
        <v>142.79999999999998</v>
      </c>
      <c r="I26" s="42">
        <f t="shared" si="1"/>
        <v>1.9833333333333334</v>
      </c>
      <c r="J26" s="27">
        <f t="shared" si="2"/>
        <v>238</v>
      </c>
      <c r="K26" s="41">
        <f t="shared" si="3"/>
        <v>0.4</v>
      </c>
      <c r="L26" s="47">
        <f t="shared" si="4"/>
        <v>1.8307692307692307</v>
      </c>
      <c r="M26" s="28">
        <f t="shared" si="5"/>
        <v>219.69230769230768</v>
      </c>
      <c r="N26" s="48">
        <f t="shared" si="6"/>
        <v>0.35000000000000003</v>
      </c>
      <c r="O26" s="71">
        <f>G26/(1-0.3)</f>
        <v>1.7</v>
      </c>
      <c r="P26" s="71">
        <f t="shared" si="7"/>
        <v>204</v>
      </c>
      <c r="Q26" s="37">
        <f t="shared" si="8"/>
        <v>0.3</v>
      </c>
      <c r="R26" s="53">
        <v>259.89999999999998</v>
      </c>
      <c r="S26" s="53">
        <v>238.48</v>
      </c>
      <c r="T26" s="77"/>
      <c r="U26" s="77"/>
      <c r="V26" s="77">
        <v>2.1</v>
      </c>
      <c r="W26" s="77"/>
      <c r="X26" s="83">
        <v>153155</v>
      </c>
      <c r="Z26" s="79"/>
      <c r="AA26" s="79"/>
      <c r="AB26" s="144"/>
      <c r="AC26" s="79"/>
      <c r="AD26" s="183"/>
    </row>
    <row r="27" spans="1:30">
      <c r="A27" s="33" t="s">
        <v>367</v>
      </c>
      <c r="B27" s="33" t="s">
        <v>50</v>
      </c>
      <c r="C27" s="33" t="s">
        <v>51</v>
      </c>
      <c r="D27" s="34">
        <v>80</v>
      </c>
      <c r="E27" s="34" t="s">
        <v>2</v>
      </c>
      <c r="F27" s="34">
        <f>VLOOKUP(B27,Pallets!B:F,5,FALSE)</f>
        <v>24</v>
      </c>
      <c r="G27" s="57">
        <v>1.78</v>
      </c>
      <c r="H27" s="57">
        <f t="shared" si="0"/>
        <v>142.4</v>
      </c>
      <c r="I27" s="42">
        <f t="shared" si="1"/>
        <v>2.9666666666666668</v>
      </c>
      <c r="J27" s="27">
        <f t="shared" si="2"/>
        <v>237.33333333333334</v>
      </c>
      <c r="K27" s="41">
        <f t="shared" si="3"/>
        <v>0.4</v>
      </c>
      <c r="L27" s="47">
        <f t="shared" si="4"/>
        <v>2.7384615384615385</v>
      </c>
      <c r="M27" s="28">
        <f t="shared" si="5"/>
        <v>219.07692307692309</v>
      </c>
      <c r="N27" s="48">
        <f t="shared" si="6"/>
        <v>0.35</v>
      </c>
      <c r="O27" s="71">
        <f>G27/(1-0.3)</f>
        <v>2.5428571428571431</v>
      </c>
      <c r="P27" s="71">
        <f t="shared" si="7"/>
        <v>203.42857142857144</v>
      </c>
      <c r="Q27" s="37">
        <f t="shared" si="8"/>
        <v>0.30000000000000004</v>
      </c>
      <c r="R27" s="51">
        <v>259.17</v>
      </c>
      <c r="S27" s="51">
        <v>237.81</v>
      </c>
      <c r="T27" s="77"/>
      <c r="U27" s="77"/>
      <c r="V27" s="77"/>
      <c r="W27" s="77"/>
      <c r="X27" s="82">
        <v>153155</v>
      </c>
      <c r="Z27" s="77"/>
      <c r="AA27" s="77"/>
      <c r="AB27" s="145"/>
      <c r="AC27" s="77"/>
      <c r="AD27" s="183"/>
    </row>
    <row r="28" spans="1:30">
      <c r="A28" s="7" t="s">
        <v>367</v>
      </c>
      <c r="B28" s="7" t="s">
        <v>48</v>
      </c>
      <c r="C28" s="7" t="s">
        <v>49</v>
      </c>
      <c r="D28" s="14">
        <v>40</v>
      </c>
      <c r="E28" s="14" t="s">
        <v>2</v>
      </c>
      <c r="F28" s="14">
        <f>VLOOKUP(B28,Pallets!B:F,5,FALSE)</f>
        <v>24</v>
      </c>
      <c r="G28" s="58">
        <v>3.56</v>
      </c>
      <c r="H28" s="58">
        <f t="shared" si="0"/>
        <v>142.4</v>
      </c>
      <c r="I28" s="44">
        <f t="shared" si="1"/>
        <v>5.9333333333333336</v>
      </c>
      <c r="J28" s="81">
        <f t="shared" si="2"/>
        <v>237.33333333333334</v>
      </c>
      <c r="K28" s="43">
        <f t="shared" si="3"/>
        <v>0.4</v>
      </c>
      <c r="L28" s="49">
        <f t="shared" si="4"/>
        <v>5.476923076923077</v>
      </c>
      <c r="M28" s="30">
        <f t="shared" si="5"/>
        <v>219.07692307692309</v>
      </c>
      <c r="N28" s="50">
        <f t="shared" si="6"/>
        <v>0.35</v>
      </c>
      <c r="O28" s="72">
        <f>G28/(1-0.3)</f>
        <v>5.0857142857142863</v>
      </c>
      <c r="P28" s="72">
        <f t="shared" si="7"/>
        <v>203.42857142857144</v>
      </c>
      <c r="Q28" s="38">
        <f t="shared" si="8"/>
        <v>0.30000000000000004</v>
      </c>
      <c r="R28" s="52">
        <v>259.17</v>
      </c>
      <c r="S28" s="52">
        <v>237.81</v>
      </c>
      <c r="T28" s="78"/>
      <c r="U28" s="78"/>
      <c r="V28" s="78"/>
      <c r="W28" s="78"/>
      <c r="X28" s="84">
        <v>153155</v>
      </c>
      <c r="Z28" s="78"/>
      <c r="AA28" s="78"/>
      <c r="AB28" s="160"/>
      <c r="AC28" s="78"/>
      <c r="AD28" s="183"/>
    </row>
    <row r="29" spans="1:30">
      <c r="A29" s="33" t="s">
        <v>355</v>
      </c>
      <c r="B29" s="33" t="s">
        <v>94</v>
      </c>
      <c r="C29" s="33" t="s">
        <v>95</v>
      </c>
      <c r="D29" s="34">
        <v>80</v>
      </c>
      <c r="E29" s="34" t="s">
        <v>2</v>
      </c>
      <c r="F29" s="34">
        <v>24</v>
      </c>
      <c r="G29" s="57">
        <v>0.49</v>
      </c>
      <c r="H29" s="57">
        <f t="shared" si="0"/>
        <v>39.200000000000003</v>
      </c>
      <c r="I29" s="65">
        <f t="shared" si="1"/>
        <v>0.81666666666666665</v>
      </c>
      <c r="J29" s="27">
        <f t="shared" si="2"/>
        <v>65.333333333333329</v>
      </c>
      <c r="K29" s="41">
        <f t="shared" si="3"/>
        <v>0.4</v>
      </c>
      <c r="L29" s="47">
        <f t="shared" si="4"/>
        <v>0.75384615384615383</v>
      </c>
      <c r="M29" s="28">
        <f t="shared" si="5"/>
        <v>60.307692307692307</v>
      </c>
      <c r="N29" s="48">
        <f t="shared" si="6"/>
        <v>0.35</v>
      </c>
      <c r="O29" s="71">
        <f>G29/(1-0.3)</f>
        <v>0.70000000000000007</v>
      </c>
      <c r="P29" s="71">
        <f t="shared" si="7"/>
        <v>56.000000000000007</v>
      </c>
      <c r="Q29" s="37">
        <f t="shared" si="8"/>
        <v>0.3000000000000001</v>
      </c>
      <c r="R29" s="9" t="s">
        <v>3</v>
      </c>
      <c r="S29" s="79"/>
      <c r="T29" s="79"/>
      <c r="U29" s="79"/>
      <c r="V29" s="79"/>
      <c r="X29" s="83">
        <v>153153</v>
      </c>
      <c r="Z29" s="163" t="s">
        <v>870</v>
      </c>
      <c r="AA29" s="77">
        <f>VLOOKUP(Z29,'CFN HPV'!A:L,12,FALSE)</f>
        <v>1.74</v>
      </c>
      <c r="AB29" s="145">
        <f>I29</f>
        <v>0.81666666666666665</v>
      </c>
      <c r="AC29" s="79">
        <f>AB29-AA29</f>
        <v>-0.92333333333333334</v>
      </c>
      <c r="AD29" s="183"/>
    </row>
    <row r="30" spans="1:30">
      <c r="A30" s="86" t="s">
        <v>353</v>
      </c>
      <c r="B30" s="86" t="s">
        <v>145</v>
      </c>
      <c r="C30" s="86" t="s">
        <v>146</v>
      </c>
      <c r="D30" s="87">
        <v>100</v>
      </c>
      <c r="E30" s="87" t="s">
        <v>2</v>
      </c>
      <c r="F30" s="34">
        <f>VLOOKUP(B30,Pallets!B:F,5,FALSE)</f>
        <v>42</v>
      </c>
      <c r="G30" s="57">
        <v>0.28999999999999998</v>
      </c>
      <c r="H30" s="57">
        <f t="shared" si="0"/>
        <v>28.999999999999996</v>
      </c>
      <c r="I30" s="42">
        <f t="shared" si="1"/>
        <v>0.48333333333333334</v>
      </c>
      <c r="J30" s="27">
        <f t="shared" si="2"/>
        <v>48.333333333333336</v>
      </c>
      <c r="K30" s="41">
        <f t="shared" si="3"/>
        <v>0.4</v>
      </c>
      <c r="L30" s="47">
        <f t="shared" si="4"/>
        <v>0.44615384615384612</v>
      </c>
      <c r="M30" s="28">
        <f t="shared" si="5"/>
        <v>44.615384615384613</v>
      </c>
      <c r="N30" s="48">
        <f t="shared" si="6"/>
        <v>0.35</v>
      </c>
      <c r="O30" s="71">
        <f>G30/(1-0.3)</f>
        <v>0.41428571428571426</v>
      </c>
      <c r="P30" s="71">
        <f t="shared" si="7"/>
        <v>41.428571428571423</v>
      </c>
      <c r="Q30" s="37">
        <f t="shared" si="8"/>
        <v>0.3</v>
      </c>
      <c r="R30" s="51">
        <v>52.78</v>
      </c>
      <c r="S30" s="51">
        <v>48.43</v>
      </c>
      <c r="T30" s="77"/>
      <c r="U30" s="77"/>
      <c r="V30" s="77"/>
      <c r="W30" s="77"/>
      <c r="X30" s="82">
        <v>153153</v>
      </c>
      <c r="Z30" s="77"/>
      <c r="AA30" s="77"/>
      <c r="AB30" s="145"/>
      <c r="AC30" s="77"/>
      <c r="AD30" s="183"/>
    </row>
    <row r="31" spans="1:30">
      <c r="A31" s="86" t="s">
        <v>353</v>
      </c>
      <c r="B31" s="86" t="s">
        <v>147</v>
      </c>
      <c r="C31" s="86" t="s">
        <v>148</v>
      </c>
      <c r="D31" s="87">
        <v>100</v>
      </c>
      <c r="E31" s="87" t="s">
        <v>2</v>
      </c>
      <c r="F31" s="34">
        <f>VLOOKUP(B31,Pallets!B:F,5,FALSE)</f>
        <v>42</v>
      </c>
      <c r="G31" s="57"/>
      <c r="H31" s="57">
        <v>0</v>
      </c>
      <c r="I31" s="42"/>
      <c r="J31" s="27"/>
      <c r="K31" s="41"/>
      <c r="L31" s="47"/>
      <c r="M31" s="28"/>
      <c r="N31" s="48"/>
      <c r="O31" s="71"/>
      <c r="P31" s="71"/>
      <c r="Q31" s="37"/>
      <c r="R31" s="35" t="s">
        <v>3</v>
      </c>
      <c r="S31" s="35" t="s">
        <v>3</v>
      </c>
      <c r="T31" s="77"/>
      <c r="U31" s="77"/>
      <c r="V31" s="77"/>
      <c r="W31" s="77"/>
      <c r="X31" s="82">
        <v>153153</v>
      </c>
      <c r="Z31" s="77"/>
      <c r="AA31" s="77"/>
      <c r="AB31" s="145"/>
      <c r="AC31" s="77"/>
      <c r="AD31" s="183"/>
    </row>
    <row r="32" spans="1:30">
      <c r="A32" s="86" t="s">
        <v>353</v>
      </c>
      <c r="B32" s="86" t="s">
        <v>149</v>
      </c>
      <c r="C32" s="86" t="s">
        <v>150</v>
      </c>
      <c r="D32" s="87">
        <v>100</v>
      </c>
      <c r="E32" s="87" t="s">
        <v>2</v>
      </c>
      <c r="F32" s="34">
        <f>VLOOKUP(B32,Pallets!B:F,5,FALSE)</f>
        <v>30</v>
      </c>
      <c r="G32" s="57">
        <v>0.5</v>
      </c>
      <c r="H32" s="57">
        <f>D32*G32</f>
        <v>50</v>
      </c>
      <c r="I32" s="42">
        <f>G32/(1-0.4)</f>
        <v>0.83333333333333337</v>
      </c>
      <c r="J32" s="27">
        <f>D32*I32</f>
        <v>83.333333333333343</v>
      </c>
      <c r="K32" s="41">
        <f>(I32-G32)/I32</f>
        <v>0.4</v>
      </c>
      <c r="L32" s="47">
        <f>G32/(1-0.35)</f>
        <v>0.76923076923076916</v>
      </c>
      <c r="M32" s="28">
        <f>D32*L32</f>
        <v>76.92307692307692</v>
      </c>
      <c r="N32" s="48">
        <f>(L32-G32)/L32</f>
        <v>0.34999999999999992</v>
      </c>
      <c r="O32" s="71">
        <f>G32/(1-0.3)</f>
        <v>0.7142857142857143</v>
      </c>
      <c r="P32" s="71">
        <f>D32*O32</f>
        <v>71.428571428571431</v>
      </c>
      <c r="Q32" s="37">
        <f>(O32-G32)/O32</f>
        <v>0.3</v>
      </c>
      <c r="R32" s="35" t="s">
        <v>3</v>
      </c>
      <c r="S32" s="35" t="s">
        <v>3</v>
      </c>
      <c r="T32" s="77"/>
      <c r="U32" s="77"/>
      <c r="V32" s="77"/>
      <c r="W32" s="77"/>
      <c r="X32" s="82">
        <v>153153</v>
      </c>
      <c r="Z32" s="77"/>
      <c r="AA32" s="77"/>
      <c r="AB32" s="145"/>
      <c r="AC32" s="77"/>
      <c r="AD32" s="183"/>
    </row>
    <row r="33" spans="1:30">
      <c r="A33" s="86" t="s">
        <v>353</v>
      </c>
      <c r="B33" s="86" t="s">
        <v>151</v>
      </c>
      <c r="C33" s="86" t="s">
        <v>152</v>
      </c>
      <c r="D33" s="87">
        <v>50</v>
      </c>
      <c r="E33" s="87" t="s">
        <v>2</v>
      </c>
      <c r="F33" s="34">
        <f>VLOOKUP(B33,Pallets!B:F,5,FALSE)</f>
        <v>30</v>
      </c>
      <c r="G33" s="57"/>
      <c r="H33" s="57">
        <v>0</v>
      </c>
      <c r="I33" s="42"/>
      <c r="J33" s="27"/>
      <c r="K33" s="41"/>
      <c r="L33" s="47"/>
      <c r="M33" s="28"/>
      <c r="N33" s="48"/>
      <c r="O33" s="71"/>
      <c r="P33" s="71"/>
      <c r="Q33" s="37"/>
      <c r="R33" s="35" t="s">
        <v>3</v>
      </c>
      <c r="S33" s="35" t="s">
        <v>3</v>
      </c>
      <c r="T33" s="77"/>
      <c r="U33" s="77"/>
      <c r="V33" s="77"/>
      <c r="W33" s="77"/>
      <c r="X33" s="82">
        <v>153153</v>
      </c>
      <c r="Z33" s="77"/>
      <c r="AA33" s="77"/>
      <c r="AB33" s="145"/>
      <c r="AC33" s="77"/>
      <c r="AD33" s="183"/>
    </row>
    <row r="34" spans="1:30">
      <c r="A34" s="86" t="s">
        <v>353</v>
      </c>
      <c r="B34" s="86" t="s">
        <v>153</v>
      </c>
      <c r="C34" s="86" t="s">
        <v>154</v>
      </c>
      <c r="D34" s="87">
        <v>45</v>
      </c>
      <c r="E34" s="87" t="s">
        <v>2</v>
      </c>
      <c r="F34" s="34">
        <f>VLOOKUP(B34,Pallets!B:F,5,FALSE)</f>
        <v>32</v>
      </c>
      <c r="G34" s="57">
        <v>1.07</v>
      </c>
      <c r="H34" s="57">
        <f t="shared" ref="H34:H65" si="9">D34*G34</f>
        <v>48.150000000000006</v>
      </c>
      <c r="I34" s="42">
        <f t="shared" ref="I34:I41" si="10">G34/(1-0.4)</f>
        <v>1.7833333333333334</v>
      </c>
      <c r="J34" s="27">
        <f t="shared" ref="J34:J41" si="11">D34*I34</f>
        <v>80.25</v>
      </c>
      <c r="K34" s="41">
        <f t="shared" ref="K34:K41" si="12">(I34-G34)/I34</f>
        <v>0.4</v>
      </c>
      <c r="L34" s="47">
        <f t="shared" ref="L34:L41" si="13">G34/(1-0.35)</f>
        <v>1.6461538461538463</v>
      </c>
      <c r="M34" s="28">
        <f t="shared" ref="M34:M41" si="14">D34*L34</f>
        <v>74.07692307692308</v>
      </c>
      <c r="N34" s="48">
        <f t="shared" ref="N34:N41" si="15">(L34-G34)/L34</f>
        <v>0.35000000000000003</v>
      </c>
      <c r="O34" s="71">
        <f t="shared" ref="O34:O41" si="16">G34/(1-0.3)</f>
        <v>1.5285714285714287</v>
      </c>
      <c r="P34" s="71">
        <f t="shared" ref="P34:P41" si="17">D34*O34</f>
        <v>68.785714285714292</v>
      </c>
      <c r="Q34" s="37">
        <f t="shared" ref="Q34:Q41" si="18">(O34-G34)/O34</f>
        <v>0.3</v>
      </c>
      <c r="R34" s="35" t="s">
        <v>3</v>
      </c>
      <c r="S34" s="35" t="s">
        <v>3</v>
      </c>
      <c r="T34" s="77"/>
      <c r="U34" s="77"/>
      <c r="V34" s="77"/>
      <c r="W34" s="77"/>
      <c r="X34" s="82">
        <v>153153</v>
      </c>
      <c r="Z34" s="77"/>
      <c r="AA34" s="77"/>
      <c r="AB34" s="145"/>
      <c r="AC34" s="77"/>
      <c r="AD34" s="183"/>
    </row>
    <row r="35" spans="1:30">
      <c r="A35" s="86" t="s">
        <v>353</v>
      </c>
      <c r="B35" s="86" t="s">
        <v>155</v>
      </c>
      <c r="C35" s="86" t="s">
        <v>156</v>
      </c>
      <c r="D35" s="87">
        <v>25</v>
      </c>
      <c r="E35" s="87" t="s">
        <v>2</v>
      </c>
      <c r="F35" s="34">
        <f>VLOOKUP(B35,Pallets!B:F,5,FALSE)</f>
        <v>52</v>
      </c>
      <c r="G35" s="57">
        <v>1.6</v>
      </c>
      <c r="H35" s="57">
        <f t="shared" si="9"/>
        <v>40</v>
      </c>
      <c r="I35" s="42">
        <f t="shared" si="10"/>
        <v>2.666666666666667</v>
      </c>
      <c r="J35" s="27">
        <f t="shared" si="11"/>
        <v>66.666666666666671</v>
      </c>
      <c r="K35" s="41">
        <f t="shared" si="12"/>
        <v>0.4</v>
      </c>
      <c r="L35" s="47">
        <f t="shared" si="13"/>
        <v>2.4615384615384617</v>
      </c>
      <c r="M35" s="28">
        <f t="shared" si="14"/>
        <v>61.53846153846154</v>
      </c>
      <c r="N35" s="48">
        <f t="shared" si="15"/>
        <v>0.35</v>
      </c>
      <c r="O35" s="71">
        <f t="shared" si="16"/>
        <v>2.285714285714286</v>
      </c>
      <c r="P35" s="71">
        <f t="shared" si="17"/>
        <v>57.142857142857153</v>
      </c>
      <c r="Q35" s="37">
        <f t="shared" si="18"/>
        <v>0.30000000000000004</v>
      </c>
      <c r="R35" s="51">
        <v>72.89</v>
      </c>
      <c r="S35" s="51">
        <v>66.88</v>
      </c>
      <c r="T35" s="77"/>
      <c r="U35" s="77"/>
      <c r="V35" s="77"/>
      <c r="W35" s="77"/>
      <c r="X35" s="82">
        <v>153153</v>
      </c>
      <c r="Z35" s="77" t="s">
        <v>402</v>
      </c>
      <c r="AA35" s="77">
        <f>VLOOKUP(Z35,'CFN HPV'!A:L,12,FALSE)</f>
        <v>3.02</v>
      </c>
      <c r="AB35" s="145">
        <f t="shared" ref="AB35:AB41" si="19">I35</f>
        <v>2.666666666666667</v>
      </c>
      <c r="AC35" s="77">
        <f t="shared" ref="AC35:AC41" si="20">AB35-AA35</f>
        <v>-0.35333333333333306</v>
      </c>
      <c r="AD35" s="183"/>
    </row>
    <row r="36" spans="1:30">
      <c r="A36" s="86" t="s">
        <v>353</v>
      </c>
      <c r="B36" s="86" t="s">
        <v>157</v>
      </c>
      <c r="C36" s="86" t="s">
        <v>158</v>
      </c>
      <c r="D36" s="87">
        <v>20</v>
      </c>
      <c r="E36" s="87" t="s">
        <v>2</v>
      </c>
      <c r="F36" s="34">
        <f>VLOOKUP(B36,Pallets!B:F,5,FALSE)</f>
        <v>40</v>
      </c>
      <c r="G36" s="57">
        <v>1.88</v>
      </c>
      <c r="H36" s="57">
        <f t="shared" si="9"/>
        <v>37.599999999999994</v>
      </c>
      <c r="I36" s="42">
        <f t="shared" si="10"/>
        <v>3.1333333333333333</v>
      </c>
      <c r="J36" s="27">
        <f t="shared" si="11"/>
        <v>62.666666666666664</v>
      </c>
      <c r="K36" s="41">
        <f t="shared" si="12"/>
        <v>0.4</v>
      </c>
      <c r="L36" s="47">
        <f t="shared" si="13"/>
        <v>2.8923076923076922</v>
      </c>
      <c r="M36" s="28">
        <f t="shared" si="14"/>
        <v>57.846153846153847</v>
      </c>
      <c r="N36" s="48">
        <f t="shared" si="15"/>
        <v>0.35000000000000003</v>
      </c>
      <c r="O36" s="71">
        <f t="shared" si="16"/>
        <v>2.6857142857142859</v>
      </c>
      <c r="P36" s="71">
        <f t="shared" si="17"/>
        <v>53.714285714285722</v>
      </c>
      <c r="Q36" s="37">
        <f t="shared" si="18"/>
        <v>0.3000000000000001</v>
      </c>
      <c r="R36" s="51">
        <v>68.47</v>
      </c>
      <c r="S36" s="51">
        <v>62.83</v>
      </c>
      <c r="T36" s="77"/>
      <c r="U36" s="77"/>
      <c r="V36" s="77"/>
      <c r="W36" s="77"/>
      <c r="X36" s="82">
        <v>153153</v>
      </c>
      <c r="Z36" s="77" t="s">
        <v>403</v>
      </c>
      <c r="AA36" s="77">
        <f>VLOOKUP(Z36,'CFN HPV'!A:L,12,FALSE)</f>
        <v>3.35</v>
      </c>
      <c r="AB36" s="145">
        <f t="shared" si="19"/>
        <v>3.1333333333333333</v>
      </c>
      <c r="AC36" s="77">
        <f t="shared" si="20"/>
        <v>-0.21666666666666679</v>
      </c>
      <c r="AD36" s="183"/>
    </row>
    <row r="37" spans="1:30">
      <c r="A37" s="86" t="s">
        <v>353</v>
      </c>
      <c r="B37" s="86" t="s">
        <v>159</v>
      </c>
      <c r="C37" s="86" t="s">
        <v>160</v>
      </c>
      <c r="D37" s="87">
        <v>15</v>
      </c>
      <c r="E37" s="87" t="s">
        <v>2</v>
      </c>
      <c r="F37" s="34">
        <f>VLOOKUP(B37,Pallets!B:F,5,FALSE)</f>
        <v>48</v>
      </c>
      <c r="G37" s="57">
        <v>2.72</v>
      </c>
      <c r="H37" s="57">
        <f t="shared" si="9"/>
        <v>40.800000000000004</v>
      </c>
      <c r="I37" s="42">
        <f t="shared" si="10"/>
        <v>4.5333333333333341</v>
      </c>
      <c r="J37" s="27">
        <f t="shared" si="11"/>
        <v>68.000000000000014</v>
      </c>
      <c r="K37" s="41">
        <f t="shared" si="12"/>
        <v>0.40000000000000008</v>
      </c>
      <c r="L37" s="47">
        <f t="shared" si="13"/>
        <v>4.1846153846153848</v>
      </c>
      <c r="M37" s="28">
        <f t="shared" si="14"/>
        <v>62.769230769230774</v>
      </c>
      <c r="N37" s="48">
        <f t="shared" si="15"/>
        <v>0.35</v>
      </c>
      <c r="O37" s="71">
        <f t="shared" si="16"/>
        <v>3.8857142857142861</v>
      </c>
      <c r="P37" s="71">
        <f t="shared" si="17"/>
        <v>58.285714285714292</v>
      </c>
      <c r="Q37" s="37">
        <f t="shared" si="18"/>
        <v>0.30000000000000004</v>
      </c>
      <c r="R37" s="51">
        <v>74.2</v>
      </c>
      <c r="S37" s="51">
        <v>68.09</v>
      </c>
      <c r="T37" s="77"/>
      <c r="U37" s="77"/>
      <c r="V37" s="77"/>
      <c r="W37" s="77"/>
      <c r="X37" s="82">
        <v>153153</v>
      </c>
      <c r="Z37" s="77" t="s">
        <v>544</v>
      </c>
      <c r="AA37" s="77">
        <f>VLOOKUP(Z37,'CFN HPV'!A:L,12,FALSE)</f>
        <v>4.09</v>
      </c>
      <c r="AB37" s="145">
        <f t="shared" si="19"/>
        <v>4.5333333333333341</v>
      </c>
      <c r="AC37" s="77">
        <f t="shared" si="20"/>
        <v>0.44333333333333425</v>
      </c>
      <c r="AD37" s="183"/>
    </row>
    <row r="38" spans="1:30">
      <c r="A38" s="86" t="s">
        <v>353</v>
      </c>
      <c r="B38" s="86" t="s">
        <v>161</v>
      </c>
      <c r="C38" s="86" t="s">
        <v>162</v>
      </c>
      <c r="D38" s="87">
        <v>15</v>
      </c>
      <c r="E38" s="87" t="s">
        <v>2</v>
      </c>
      <c r="F38" s="34">
        <f>VLOOKUP(B38,Pallets!B:F,5,FALSE)</f>
        <v>42</v>
      </c>
      <c r="G38" s="57">
        <v>3.39</v>
      </c>
      <c r="H38" s="57">
        <f t="shared" si="9"/>
        <v>50.85</v>
      </c>
      <c r="I38" s="42">
        <f t="shared" si="10"/>
        <v>5.65</v>
      </c>
      <c r="J38" s="27">
        <f t="shared" si="11"/>
        <v>84.75</v>
      </c>
      <c r="K38" s="41">
        <f t="shared" si="12"/>
        <v>0.4</v>
      </c>
      <c r="L38" s="47">
        <f t="shared" si="13"/>
        <v>5.2153846153846155</v>
      </c>
      <c r="M38" s="28">
        <f t="shared" si="14"/>
        <v>78.230769230769226</v>
      </c>
      <c r="N38" s="48">
        <f t="shared" si="15"/>
        <v>0.35</v>
      </c>
      <c r="O38" s="71">
        <f t="shared" si="16"/>
        <v>4.8428571428571434</v>
      </c>
      <c r="P38" s="71">
        <f t="shared" si="17"/>
        <v>72.642857142857153</v>
      </c>
      <c r="Q38" s="37">
        <f t="shared" si="18"/>
        <v>0.30000000000000004</v>
      </c>
      <c r="R38" s="51">
        <v>92.64</v>
      </c>
      <c r="S38" s="51">
        <v>85</v>
      </c>
      <c r="T38" s="77"/>
      <c r="U38" s="77"/>
      <c r="V38" s="77"/>
      <c r="W38" s="77"/>
      <c r="X38" s="82">
        <v>153153</v>
      </c>
      <c r="Z38" s="77" t="s">
        <v>404</v>
      </c>
      <c r="AA38" s="77">
        <f>VLOOKUP(Z38,'CFN HPV'!A:L,12,FALSE)</f>
        <v>6.58</v>
      </c>
      <c r="AB38" s="145">
        <f t="shared" si="19"/>
        <v>5.65</v>
      </c>
      <c r="AC38" s="77">
        <f t="shared" si="20"/>
        <v>-0.92999999999999972</v>
      </c>
      <c r="AD38" s="183"/>
    </row>
    <row r="39" spans="1:30">
      <c r="A39" s="86" t="s">
        <v>353</v>
      </c>
      <c r="B39" s="86" t="s">
        <v>163</v>
      </c>
      <c r="C39" s="86" t="s">
        <v>164</v>
      </c>
      <c r="D39" s="87">
        <v>12</v>
      </c>
      <c r="E39" s="87" t="s">
        <v>2</v>
      </c>
      <c r="F39" s="34">
        <f>VLOOKUP(B39,Pallets!B:F,5,FALSE)</f>
        <v>42</v>
      </c>
      <c r="G39" s="57">
        <v>5.0199999999999996</v>
      </c>
      <c r="H39" s="57">
        <f t="shared" si="9"/>
        <v>60.239999999999995</v>
      </c>
      <c r="I39" s="42">
        <f t="shared" si="10"/>
        <v>8.3666666666666671</v>
      </c>
      <c r="J39" s="27">
        <f t="shared" si="11"/>
        <v>100.4</v>
      </c>
      <c r="K39" s="41">
        <f t="shared" si="12"/>
        <v>0.40000000000000008</v>
      </c>
      <c r="L39" s="47">
        <f t="shared" si="13"/>
        <v>7.7230769230769223</v>
      </c>
      <c r="M39" s="28">
        <f t="shared" si="14"/>
        <v>92.67692307692306</v>
      </c>
      <c r="N39" s="48">
        <f t="shared" si="15"/>
        <v>0.35</v>
      </c>
      <c r="O39" s="71">
        <f t="shared" si="16"/>
        <v>7.1714285714285717</v>
      </c>
      <c r="P39" s="71">
        <f t="shared" si="17"/>
        <v>86.057142857142864</v>
      </c>
      <c r="Q39" s="37">
        <f t="shared" si="18"/>
        <v>0.3000000000000001</v>
      </c>
      <c r="R39" s="51">
        <v>109.67</v>
      </c>
      <c r="S39" s="51">
        <v>100.63</v>
      </c>
      <c r="T39" s="77"/>
      <c r="U39" s="77"/>
      <c r="V39" s="77"/>
      <c r="W39" s="77"/>
      <c r="X39" s="82">
        <v>153153</v>
      </c>
      <c r="Z39" s="77" t="s">
        <v>405</v>
      </c>
      <c r="AA39" s="77">
        <f>VLOOKUP(Z39,'CFN HPV'!A:L,12,FALSE)</f>
        <v>7.52</v>
      </c>
      <c r="AB39" s="145">
        <f t="shared" si="19"/>
        <v>8.3666666666666671</v>
      </c>
      <c r="AC39" s="77">
        <f t="shared" si="20"/>
        <v>0.84666666666666757</v>
      </c>
      <c r="AD39" s="183"/>
    </row>
    <row r="40" spans="1:30">
      <c r="A40" s="86" t="s">
        <v>353</v>
      </c>
      <c r="B40" s="86" t="s">
        <v>165</v>
      </c>
      <c r="C40" s="86" t="s">
        <v>166</v>
      </c>
      <c r="D40" s="87">
        <v>50</v>
      </c>
      <c r="E40" s="87" t="s">
        <v>2</v>
      </c>
      <c r="F40" s="34">
        <f>VLOOKUP(B40,Pallets!B:F,5,FALSE)</f>
        <v>48</v>
      </c>
      <c r="G40" s="57">
        <v>1.2</v>
      </c>
      <c r="H40" s="57">
        <f t="shared" si="9"/>
        <v>60</v>
      </c>
      <c r="I40" s="42">
        <f t="shared" si="10"/>
        <v>2</v>
      </c>
      <c r="J40" s="27">
        <f t="shared" si="11"/>
        <v>100</v>
      </c>
      <c r="K40" s="41">
        <f t="shared" si="12"/>
        <v>0.4</v>
      </c>
      <c r="L40" s="47">
        <f t="shared" si="13"/>
        <v>1.846153846153846</v>
      </c>
      <c r="M40" s="28">
        <f t="shared" si="14"/>
        <v>92.307692307692307</v>
      </c>
      <c r="N40" s="48">
        <f t="shared" si="15"/>
        <v>0.35</v>
      </c>
      <c r="O40" s="71">
        <f t="shared" si="16"/>
        <v>1.7142857142857144</v>
      </c>
      <c r="P40" s="71">
        <f t="shared" si="17"/>
        <v>85.714285714285722</v>
      </c>
      <c r="Q40" s="37">
        <f t="shared" si="18"/>
        <v>0.3000000000000001</v>
      </c>
      <c r="R40" s="51">
        <v>115.48</v>
      </c>
      <c r="S40" s="51">
        <v>105.96</v>
      </c>
      <c r="T40" s="77"/>
      <c r="U40" s="77"/>
      <c r="V40" s="77">
        <v>1.68</v>
      </c>
      <c r="W40" s="77"/>
      <c r="X40" s="82">
        <v>153153</v>
      </c>
      <c r="Z40" s="77" t="s">
        <v>406</v>
      </c>
      <c r="AA40" s="77">
        <f>VLOOKUP(Z40,'CFN HPV'!A:L,12,FALSE)</f>
        <v>2.37</v>
      </c>
      <c r="AB40" s="145">
        <f t="shared" si="19"/>
        <v>2</v>
      </c>
      <c r="AC40" s="77">
        <f t="shared" si="20"/>
        <v>-0.37000000000000011</v>
      </c>
      <c r="AD40" s="183"/>
    </row>
    <row r="41" spans="1:30">
      <c r="A41" s="86" t="s">
        <v>353</v>
      </c>
      <c r="B41" s="86" t="s">
        <v>167</v>
      </c>
      <c r="C41" s="86" t="s">
        <v>168</v>
      </c>
      <c r="D41" s="87">
        <v>120</v>
      </c>
      <c r="E41" s="87" t="s">
        <v>2</v>
      </c>
      <c r="F41" s="34">
        <f>VLOOKUP(B41,Pallets!B:F,5,FALSE)</f>
        <v>42</v>
      </c>
      <c r="G41" s="57">
        <v>0.32</v>
      </c>
      <c r="H41" s="57">
        <f t="shared" si="9"/>
        <v>38.4</v>
      </c>
      <c r="I41" s="42">
        <f t="shared" si="10"/>
        <v>0.53333333333333333</v>
      </c>
      <c r="J41" s="27">
        <f t="shared" si="11"/>
        <v>64</v>
      </c>
      <c r="K41" s="41">
        <f t="shared" si="12"/>
        <v>0.39999999999999997</v>
      </c>
      <c r="L41" s="47">
        <f t="shared" si="13"/>
        <v>0.49230769230769228</v>
      </c>
      <c r="M41" s="28">
        <f t="shared" si="14"/>
        <v>59.076923076923073</v>
      </c>
      <c r="N41" s="48">
        <f t="shared" si="15"/>
        <v>0.34999999999999992</v>
      </c>
      <c r="O41" s="71">
        <f t="shared" si="16"/>
        <v>0.45714285714285718</v>
      </c>
      <c r="P41" s="71">
        <f t="shared" si="17"/>
        <v>54.857142857142861</v>
      </c>
      <c r="Q41" s="37">
        <f t="shared" si="18"/>
        <v>0.30000000000000004</v>
      </c>
      <c r="R41" s="35" t="s">
        <v>3</v>
      </c>
      <c r="S41" s="35" t="s">
        <v>3</v>
      </c>
      <c r="T41" s="77"/>
      <c r="U41" s="77"/>
      <c r="V41" s="77"/>
      <c r="W41" s="77"/>
      <c r="X41" s="82">
        <v>153153</v>
      </c>
      <c r="Z41" s="77" t="s">
        <v>439</v>
      </c>
      <c r="AA41" s="77">
        <f>VLOOKUP(Z41,'CFN HPV'!A:L,12,FALSE)</f>
        <v>2.58</v>
      </c>
      <c r="AB41" s="145">
        <f t="shared" si="19"/>
        <v>0.53333333333333333</v>
      </c>
      <c r="AC41" s="77">
        <f t="shared" si="20"/>
        <v>-2.0466666666666669</v>
      </c>
      <c r="AD41" s="183"/>
    </row>
    <row r="42" spans="1:30">
      <c r="A42" s="86" t="s">
        <v>353</v>
      </c>
      <c r="B42" s="86" t="s">
        <v>169</v>
      </c>
      <c r="C42" s="86" t="s">
        <v>170</v>
      </c>
      <c r="D42" s="87">
        <v>120</v>
      </c>
      <c r="E42" s="87" t="s">
        <v>2</v>
      </c>
      <c r="F42" s="34">
        <f>VLOOKUP(B42,Pallets!B:F,5,FALSE)</f>
        <v>42</v>
      </c>
      <c r="G42" s="57"/>
      <c r="H42" s="57">
        <f t="shared" si="9"/>
        <v>0</v>
      </c>
      <c r="I42" s="42"/>
      <c r="J42" s="65"/>
      <c r="K42" s="41"/>
      <c r="L42" s="47"/>
      <c r="M42" s="68"/>
      <c r="N42" s="48"/>
      <c r="O42" s="71"/>
      <c r="P42" s="71"/>
      <c r="Q42" s="36"/>
      <c r="R42" s="35" t="s">
        <v>3</v>
      </c>
      <c r="S42" s="35" t="s">
        <v>3</v>
      </c>
      <c r="T42" s="77"/>
      <c r="U42" s="77"/>
      <c r="V42" s="77"/>
      <c r="W42" s="77"/>
      <c r="X42" s="82">
        <v>153153</v>
      </c>
      <c r="Z42" s="77"/>
      <c r="AA42" s="77"/>
      <c r="AB42" s="145"/>
      <c r="AC42" s="77"/>
      <c r="AD42" s="183"/>
    </row>
    <row r="43" spans="1:30">
      <c r="A43" s="86" t="s">
        <v>353</v>
      </c>
      <c r="B43" s="86" t="s">
        <v>171</v>
      </c>
      <c r="C43" s="86" t="s">
        <v>172</v>
      </c>
      <c r="D43" s="87">
        <v>100</v>
      </c>
      <c r="E43" s="87" t="s">
        <v>2</v>
      </c>
      <c r="F43" s="34">
        <f>VLOOKUP(B43,Pallets!B:F,5,FALSE)</f>
        <v>42</v>
      </c>
      <c r="G43" s="57">
        <v>0.4</v>
      </c>
      <c r="H43" s="57">
        <f t="shared" si="9"/>
        <v>40</v>
      </c>
      <c r="I43" s="42">
        <f>G43/(1-0.4)</f>
        <v>0.66666666666666674</v>
      </c>
      <c r="J43" s="65">
        <f>D43*I43</f>
        <v>66.666666666666671</v>
      </c>
      <c r="K43" s="41">
        <f>(I43-G43)/I43</f>
        <v>0.4</v>
      </c>
      <c r="L43" s="47">
        <f>G43/(1-0.35)</f>
        <v>0.61538461538461542</v>
      </c>
      <c r="M43" s="68">
        <f>D43*L43</f>
        <v>61.53846153846154</v>
      </c>
      <c r="N43" s="48">
        <f>(L43-G43)/L43</f>
        <v>0.35</v>
      </c>
      <c r="O43" s="71">
        <f>G43/(1-0.3)</f>
        <v>0.57142857142857151</v>
      </c>
      <c r="P43" s="71">
        <f>D43*O43</f>
        <v>57.142857142857153</v>
      </c>
      <c r="Q43" s="37">
        <f>(O43-G43)/O43</f>
        <v>0.30000000000000004</v>
      </c>
      <c r="R43" s="35" t="s">
        <v>3</v>
      </c>
      <c r="S43" s="35" t="s">
        <v>3</v>
      </c>
      <c r="T43" s="77"/>
      <c r="U43" s="77"/>
      <c r="V43" s="77"/>
      <c r="W43" s="77"/>
      <c r="X43" s="82">
        <v>153153</v>
      </c>
      <c r="Z43" s="77"/>
      <c r="AA43" s="77"/>
      <c r="AB43" s="145"/>
      <c r="AC43" s="77"/>
      <c r="AD43" s="183"/>
    </row>
    <row r="44" spans="1:30">
      <c r="A44" s="86" t="s">
        <v>353</v>
      </c>
      <c r="B44" s="86" t="s">
        <v>173</v>
      </c>
      <c r="C44" s="86" t="s">
        <v>174</v>
      </c>
      <c r="D44" s="87">
        <v>100</v>
      </c>
      <c r="E44" s="87" t="s">
        <v>2</v>
      </c>
      <c r="F44" s="34">
        <f>VLOOKUP(B44,Pallets!B:F,5,FALSE)</f>
        <v>30</v>
      </c>
      <c r="G44" s="57">
        <v>0.87</v>
      </c>
      <c r="H44" s="57">
        <f t="shared" si="9"/>
        <v>87</v>
      </c>
      <c r="I44" s="42">
        <f>G44/(1-0.4)</f>
        <v>1.45</v>
      </c>
      <c r="J44" s="65">
        <f>D44*I44</f>
        <v>145</v>
      </c>
      <c r="K44" s="41">
        <f>(I44-G44)/I44</f>
        <v>0.39999999999999997</v>
      </c>
      <c r="L44" s="47">
        <f>G44/(1-0.35)</f>
        <v>1.3384615384615384</v>
      </c>
      <c r="M44" s="68">
        <f>D44*L44</f>
        <v>133.84615384615384</v>
      </c>
      <c r="N44" s="48">
        <f>(L44-G44)/L44</f>
        <v>0.35</v>
      </c>
      <c r="O44" s="71">
        <f>G44/(1-0.3)</f>
        <v>1.2428571428571429</v>
      </c>
      <c r="P44" s="71">
        <f>D44*O44</f>
        <v>124.28571428571429</v>
      </c>
      <c r="Q44" s="37">
        <f>(O44-G44)/O44</f>
        <v>0.30000000000000004</v>
      </c>
      <c r="R44" s="35" t="s">
        <v>3</v>
      </c>
      <c r="S44" s="35" t="s">
        <v>3</v>
      </c>
      <c r="T44" s="77"/>
      <c r="U44" s="77"/>
      <c r="V44" s="77"/>
      <c r="W44" s="77"/>
      <c r="X44" s="82">
        <v>153153</v>
      </c>
      <c r="Z44" s="77"/>
      <c r="AA44" s="77"/>
      <c r="AB44" s="145"/>
      <c r="AC44" s="77"/>
      <c r="AD44" s="183"/>
    </row>
    <row r="45" spans="1:30">
      <c r="A45" s="86" t="s">
        <v>353</v>
      </c>
      <c r="B45" s="86" t="s">
        <v>175</v>
      </c>
      <c r="C45" s="86" t="s">
        <v>176</v>
      </c>
      <c r="D45" s="87">
        <v>20</v>
      </c>
      <c r="E45" s="87" t="s">
        <v>2</v>
      </c>
      <c r="F45" s="34">
        <f>VLOOKUP(B45,Pallets!B:F,5,FALSE)</f>
        <v>52</v>
      </c>
      <c r="G45" s="57">
        <v>1.98</v>
      </c>
      <c r="H45" s="57">
        <f t="shared" si="9"/>
        <v>39.6</v>
      </c>
      <c r="I45" s="42">
        <f>G45/(1-0.4)</f>
        <v>3.3000000000000003</v>
      </c>
      <c r="J45" s="27">
        <f>D45*I45</f>
        <v>66</v>
      </c>
      <c r="K45" s="41">
        <f>(I45-G45)/I45</f>
        <v>0.40000000000000008</v>
      </c>
      <c r="L45" s="47">
        <f>G45/(1-0.35)</f>
        <v>3.046153846153846</v>
      </c>
      <c r="M45" s="28">
        <f>D45*L45</f>
        <v>60.92307692307692</v>
      </c>
      <c r="N45" s="48">
        <f>(L45-G45)/L45</f>
        <v>0.35</v>
      </c>
      <c r="O45" s="71">
        <f>G45/(1-0.3)</f>
        <v>2.8285714285714287</v>
      </c>
      <c r="P45" s="71">
        <f>D45*O45</f>
        <v>56.571428571428577</v>
      </c>
      <c r="Q45" s="37">
        <f>(O45-G45)/O45</f>
        <v>0.30000000000000004</v>
      </c>
      <c r="R45" s="51">
        <v>72.069999999999993</v>
      </c>
      <c r="S45" s="51">
        <v>66.13</v>
      </c>
      <c r="T45" s="77"/>
      <c r="U45" s="77"/>
      <c r="V45" s="77"/>
      <c r="W45" s="77"/>
      <c r="X45" s="82">
        <v>153153</v>
      </c>
      <c r="Z45" s="77" t="s">
        <v>407</v>
      </c>
      <c r="AA45" s="77">
        <f>VLOOKUP(Z45,'CFN HPV'!A:L,12,FALSE)</f>
        <v>5.67</v>
      </c>
      <c r="AB45" s="145">
        <f>I45</f>
        <v>3.3000000000000003</v>
      </c>
      <c r="AC45" s="77">
        <f>AB45-AA45</f>
        <v>-2.3699999999999997</v>
      </c>
      <c r="AD45" s="183"/>
    </row>
    <row r="46" spans="1:30">
      <c r="A46" s="86" t="s">
        <v>353</v>
      </c>
      <c r="B46" s="86" t="s">
        <v>189</v>
      </c>
      <c r="C46" s="86" t="s">
        <v>190</v>
      </c>
      <c r="D46" s="87">
        <v>20</v>
      </c>
      <c r="E46" s="87" t="s">
        <v>2</v>
      </c>
      <c r="F46" s="34">
        <f>VLOOKUP(B46,Pallets!B:F,5,FALSE)</f>
        <v>40</v>
      </c>
      <c r="G46" s="57"/>
      <c r="H46" s="57">
        <f t="shared" si="9"/>
        <v>0</v>
      </c>
      <c r="I46" s="42"/>
      <c r="J46" s="65"/>
      <c r="K46" s="41"/>
      <c r="L46" s="47"/>
      <c r="M46" s="68"/>
      <c r="N46" s="48"/>
      <c r="O46" s="71"/>
      <c r="P46" s="71"/>
      <c r="Q46" s="36"/>
      <c r="R46" s="35" t="s">
        <v>3</v>
      </c>
      <c r="S46" s="35" t="s">
        <v>3</v>
      </c>
      <c r="T46" s="77"/>
      <c r="U46" s="77"/>
      <c r="V46" s="77"/>
      <c r="W46" s="77"/>
      <c r="X46" s="82">
        <v>153153</v>
      </c>
      <c r="Z46" s="77" t="s">
        <v>437</v>
      </c>
      <c r="AA46" s="77">
        <f>VLOOKUP(Z46,'CFN HPV'!A:L,12,FALSE)</f>
        <v>4.32</v>
      </c>
      <c r="AB46" s="145">
        <f>I46</f>
        <v>0</v>
      </c>
      <c r="AC46" s="77">
        <f>AB46-AA46</f>
        <v>-4.32</v>
      </c>
      <c r="AD46" s="183"/>
    </row>
    <row r="47" spans="1:30">
      <c r="A47" s="86" t="s">
        <v>353</v>
      </c>
      <c r="B47" s="86" t="s">
        <v>191</v>
      </c>
      <c r="C47" s="86" t="s">
        <v>192</v>
      </c>
      <c r="D47" s="87">
        <v>20</v>
      </c>
      <c r="E47" s="87" t="s">
        <v>2</v>
      </c>
      <c r="F47" s="34">
        <f>VLOOKUP(B47,Pallets!B:F,5,FALSE)</f>
        <v>32</v>
      </c>
      <c r="G47" s="57">
        <v>4.55</v>
      </c>
      <c r="H47" s="57">
        <f t="shared" si="9"/>
        <v>91</v>
      </c>
      <c r="I47" s="42">
        <f>G47/(1-0.4)</f>
        <v>7.583333333333333</v>
      </c>
      <c r="J47" s="27">
        <f>D47*I47</f>
        <v>151.66666666666666</v>
      </c>
      <c r="K47" s="41">
        <f>(I47-G47)/I47</f>
        <v>0.4</v>
      </c>
      <c r="L47" s="47">
        <f>G47/(1-0.35)</f>
        <v>6.9999999999999991</v>
      </c>
      <c r="M47" s="28">
        <f>D47*L47</f>
        <v>139.99999999999997</v>
      </c>
      <c r="N47" s="48">
        <f>(L47-G47)/L47</f>
        <v>0.34999999999999992</v>
      </c>
      <c r="O47" s="71">
        <f>G47/(1-0.3)</f>
        <v>6.5</v>
      </c>
      <c r="P47" s="71">
        <f>D47*O47</f>
        <v>130</v>
      </c>
      <c r="Q47" s="37">
        <f>(O47-G47)/O47</f>
        <v>0.30000000000000004</v>
      </c>
      <c r="R47" s="35" t="s">
        <v>3</v>
      </c>
      <c r="S47" s="35" t="s">
        <v>3</v>
      </c>
      <c r="T47" s="77"/>
      <c r="U47" s="77"/>
      <c r="V47" s="77"/>
      <c r="W47" s="77"/>
      <c r="X47" s="82">
        <v>153153</v>
      </c>
      <c r="Z47" s="77" t="s">
        <v>438</v>
      </c>
      <c r="AA47" s="77">
        <f>VLOOKUP(Z47,'CFN HPV'!A:L,12,FALSE)</f>
        <v>8.94</v>
      </c>
      <c r="AB47" s="145">
        <f>I47</f>
        <v>7.583333333333333</v>
      </c>
      <c r="AC47" s="77">
        <f>AB47-AA47</f>
        <v>-1.3566666666666665</v>
      </c>
      <c r="AD47" s="183"/>
    </row>
    <row r="48" spans="1:30">
      <c r="A48" s="86" t="s">
        <v>353</v>
      </c>
      <c r="B48" s="86" t="s">
        <v>195</v>
      </c>
      <c r="C48" s="86" t="s">
        <v>196</v>
      </c>
      <c r="D48" s="87">
        <v>100</v>
      </c>
      <c r="E48" s="87" t="s">
        <v>2</v>
      </c>
      <c r="F48" s="34">
        <f>VLOOKUP(B48,Pallets!B:F,5,FALSE)</f>
        <v>42</v>
      </c>
      <c r="G48" s="57">
        <v>0.96</v>
      </c>
      <c r="H48" s="57">
        <f t="shared" si="9"/>
        <v>96</v>
      </c>
      <c r="I48" s="42">
        <f>G48/(1-0.4)</f>
        <v>1.6</v>
      </c>
      <c r="J48" s="27">
        <f>D48*I48</f>
        <v>160</v>
      </c>
      <c r="K48" s="41">
        <f>(I48-G48)/I48</f>
        <v>0.40000000000000008</v>
      </c>
      <c r="L48" s="47">
        <f>G48/(1-0.35)</f>
        <v>1.4769230769230768</v>
      </c>
      <c r="M48" s="28">
        <f>D48*L48</f>
        <v>147.69230769230768</v>
      </c>
      <c r="N48" s="48">
        <f>(L48-G48)/L48</f>
        <v>0.35</v>
      </c>
      <c r="O48" s="71">
        <f>G48/(1-0.3)</f>
        <v>1.3714285714285714</v>
      </c>
      <c r="P48" s="71">
        <f>D48*O48</f>
        <v>137.14285714285714</v>
      </c>
      <c r="Q48" s="37">
        <f>(O48-G48)/O48</f>
        <v>0.30000000000000004</v>
      </c>
      <c r="R48" s="51">
        <v>174.72</v>
      </c>
      <c r="S48" s="51">
        <v>160.32</v>
      </c>
      <c r="T48" s="77"/>
      <c r="U48" s="77"/>
      <c r="V48" s="77"/>
      <c r="W48" s="77"/>
      <c r="X48" s="82">
        <v>153153</v>
      </c>
      <c r="Z48" s="77"/>
      <c r="AA48" s="77"/>
      <c r="AB48" s="145"/>
      <c r="AC48" s="77"/>
      <c r="AD48" s="183"/>
    </row>
    <row r="49" spans="1:30">
      <c r="A49" s="86" t="s">
        <v>353</v>
      </c>
      <c r="B49" s="86" t="s">
        <v>197</v>
      </c>
      <c r="C49" s="86" t="s">
        <v>198</v>
      </c>
      <c r="D49" s="87">
        <v>100</v>
      </c>
      <c r="E49" s="87" t="s">
        <v>2</v>
      </c>
      <c r="F49" s="34">
        <f>VLOOKUP(B49,Pallets!B:F,5,FALSE)</f>
        <v>42</v>
      </c>
      <c r="G49" s="57">
        <v>1.1499999999999999</v>
      </c>
      <c r="H49" s="57">
        <f t="shared" si="9"/>
        <v>114.99999999999999</v>
      </c>
      <c r="I49" s="42">
        <f>G49/(1-0.4)</f>
        <v>1.9166666666666665</v>
      </c>
      <c r="J49" s="27">
        <f>D49*I49</f>
        <v>191.66666666666666</v>
      </c>
      <c r="K49" s="41">
        <f>(I49-G49)/I49</f>
        <v>0.4</v>
      </c>
      <c r="L49" s="47">
        <f>G49/(1-0.35)</f>
        <v>1.7692307692307689</v>
      </c>
      <c r="M49" s="28">
        <f>D49*L49</f>
        <v>176.92307692307691</v>
      </c>
      <c r="N49" s="48">
        <f>(L49-G49)/L49</f>
        <v>0.34999999999999992</v>
      </c>
      <c r="O49" s="71">
        <f>G49/(1-0.3)</f>
        <v>1.6428571428571428</v>
      </c>
      <c r="P49" s="71">
        <f>D49*O49</f>
        <v>164.28571428571428</v>
      </c>
      <c r="Q49" s="37">
        <f>(O49-G49)/O49</f>
        <v>0.30000000000000004</v>
      </c>
      <c r="R49" s="51">
        <v>209.3</v>
      </c>
      <c r="S49" s="51">
        <v>192.05</v>
      </c>
      <c r="T49" s="77"/>
      <c r="U49" s="77"/>
      <c r="V49" s="77"/>
      <c r="W49" s="77"/>
      <c r="X49" s="82">
        <v>153153</v>
      </c>
      <c r="Z49" s="77"/>
      <c r="AA49" s="77"/>
      <c r="AB49" s="145"/>
      <c r="AC49" s="77"/>
      <c r="AD49" s="183"/>
    </row>
    <row r="50" spans="1:30">
      <c r="A50" s="86" t="s">
        <v>353</v>
      </c>
      <c r="B50" s="86" t="s">
        <v>199</v>
      </c>
      <c r="C50" s="86" t="s">
        <v>200</v>
      </c>
      <c r="D50" s="87">
        <v>100</v>
      </c>
      <c r="E50" s="87" t="s">
        <v>2</v>
      </c>
      <c r="F50" s="34">
        <f>VLOOKUP(B50,Pallets!B:F,5,FALSE)</f>
        <v>30</v>
      </c>
      <c r="G50" s="57">
        <v>2.0299999999999998</v>
      </c>
      <c r="H50" s="57">
        <f t="shared" si="9"/>
        <v>202.99999999999997</v>
      </c>
      <c r="I50" s="42">
        <f>G50/(1-0.4)</f>
        <v>3.3833333333333333</v>
      </c>
      <c r="J50" s="27">
        <f>D50*I50</f>
        <v>338.33333333333331</v>
      </c>
      <c r="K50" s="41">
        <f>(I50-G50)/I50</f>
        <v>0.40000000000000008</v>
      </c>
      <c r="L50" s="47">
        <f>G50/(1-0.35)</f>
        <v>3.1230769230769226</v>
      </c>
      <c r="M50" s="28">
        <f>D50*L50</f>
        <v>312.30769230769226</v>
      </c>
      <c r="N50" s="48">
        <f>(L50-G50)/L50</f>
        <v>0.35</v>
      </c>
      <c r="O50" s="71">
        <f>G50/(1-0.3)</f>
        <v>2.9</v>
      </c>
      <c r="P50" s="71">
        <f>D50*O50</f>
        <v>290</v>
      </c>
      <c r="Q50" s="37">
        <f>(O50-G50)/O50</f>
        <v>0.30000000000000004</v>
      </c>
      <c r="R50" s="51">
        <v>369.46</v>
      </c>
      <c r="S50" s="51">
        <v>339.01</v>
      </c>
      <c r="T50" s="77"/>
      <c r="U50" s="77"/>
      <c r="V50" s="77"/>
      <c r="W50" s="77"/>
      <c r="X50" s="82">
        <v>153153</v>
      </c>
      <c r="Z50" s="77" t="s">
        <v>408</v>
      </c>
      <c r="AA50" s="77">
        <f>VLOOKUP(Z50,'CFN HPV'!A:L,12,FALSE)</f>
        <v>4.0999999999999996</v>
      </c>
      <c r="AB50" s="145">
        <f>I50</f>
        <v>3.3833333333333333</v>
      </c>
      <c r="AC50" s="77">
        <f>AB50-AA50</f>
        <v>-0.71666666666666634</v>
      </c>
      <c r="AD50" s="183"/>
    </row>
    <row r="51" spans="1:30">
      <c r="A51" s="86" t="s">
        <v>353</v>
      </c>
      <c r="B51" s="86" t="s">
        <v>201</v>
      </c>
      <c r="C51" s="86" t="s">
        <v>202</v>
      </c>
      <c r="D51" s="87">
        <v>80</v>
      </c>
      <c r="E51" s="87" t="s">
        <v>2</v>
      </c>
      <c r="F51" s="34">
        <f>VLOOKUP(B51,Pallets!B:F,5,FALSE)</f>
        <v>24</v>
      </c>
      <c r="G51" s="57">
        <v>4.32</v>
      </c>
      <c r="H51" s="57">
        <f t="shared" si="9"/>
        <v>345.6</v>
      </c>
      <c r="I51" s="42">
        <f>G51/(1-0.4)</f>
        <v>7.2000000000000011</v>
      </c>
      <c r="J51" s="27">
        <f>D51*I51</f>
        <v>576.00000000000011</v>
      </c>
      <c r="K51" s="41">
        <f>(I51-G51)/I51</f>
        <v>0.4</v>
      </c>
      <c r="L51" s="47">
        <f>G51/(1-0.35)</f>
        <v>6.6461538461538465</v>
      </c>
      <c r="M51" s="28">
        <f>D51*L51</f>
        <v>531.69230769230774</v>
      </c>
      <c r="N51" s="48">
        <f>(L51-G51)/L51</f>
        <v>0.35</v>
      </c>
      <c r="O51" s="71">
        <f>G51/(1-0.3)</f>
        <v>6.1714285714285726</v>
      </c>
      <c r="P51" s="71">
        <f>D51*O51</f>
        <v>493.71428571428578</v>
      </c>
      <c r="Q51" s="37">
        <f>(O51-G51)/O51</f>
        <v>0.3000000000000001</v>
      </c>
      <c r="R51" s="35" t="s">
        <v>3</v>
      </c>
      <c r="S51" s="35" t="s">
        <v>3</v>
      </c>
      <c r="T51" s="77"/>
      <c r="U51" s="77"/>
      <c r="V51" s="77"/>
      <c r="W51" s="77"/>
      <c r="X51" s="82">
        <v>153153</v>
      </c>
      <c r="Z51" s="74"/>
      <c r="AA51" s="77"/>
      <c r="AB51" s="145"/>
      <c r="AC51" s="77"/>
      <c r="AD51" s="183"/>
    </row>
    <row r="52" spans="1:30">
      <c r="A52" s="86" t="s">
        <v>353</v>
      </c>
      <c r="B52" s="86" t="s">
        <v>203</v>
      </c>
      <c r="C52" s="86" t="s">
        <v>204</v>
      </c>
      <c r="D52" s="87">
        <v>80</v>
      </c>
      <c r="E52" s="87" t="s">
        <v>2</v>
      </c>
      <c r="F52" s="34">
        <f>VLOOKUP(B52,Pallets!B:F,5,FALSE)</f>
        <v>24</v>
      </c>
      <c r="G52" s="57"/>
      <c r="H52" s="57">
        <f t="shared" si="9"/>
        <v>0</v>
      </c>
      <c r="I52" s="42"/>
      <c r="J52" s="65"/>
      <c r="K52" s="41"/>
      <c r="L52" s="47"/>
      <c r="M52" s="68"/>
      <c r="N52" s="48"/>
      <c r="O52" s="71"/>
      <c r="P52" s="71"/>
      <c r="Q52" s="36"/>
      <c r="R52" s="35" t="s">
        <v>3</v>
      </c>
      <c r="S52" s="35" t="s">
        <v>3</v>
      </c>
      <c r="T52" s="77"/>
      <c r="U52" s="77"/>
      <c r="V52" s="77"/>
      <c r="W52" s="77"/>
      <c r="X52" s="82">
        <v>153153</v>
      </c>
      <c r="Z52" s="74" t="s">
        <v>409</v>
      </c>
      <c r="AA52" s="77">
        <f>VLOOKUP(Z52,'CFN HPV'!A:L,12,FALSE)</f>
        <v>5.12</v>
      </c>
      <c r="AB52" s="145">
        <f>I52</f>
        <v>0</v>
      </c>
      <c r="AC52" s="77">
        <f>AB52-AA52</f>
        <v>-5.12</v>
      </c>
      <c r="AD52" s="183"/>
    </row>
    <row r="53" spans="1:30">
      <c r="A53" s="86" t="s">
        <v>353</v>
      </c>
      <c r="B53" s="86" t="s">
        <v>205</v>
      </c>
      <c r="C53" s="86" t="s">
        <v>206</v>
      </c>
      <c r="D53" s="87">
        <v>40</v>
      </c>
      <c r="E53" s="87" t="s">
        <v>2</v>
      </c>
      <c r="F53" s="34">
        <f>VLOOKUP(B53,Pallets!B:F,5,FALSE)</f>
        <v>24</v>
      </c>
      <c r="G53" s="57"/>
      <c r="H53" s="57">
        <f t="shared" si="9"/>
        <v>0</v>
      </c>
      <c r="I53" s="42"/>
      <c r="J53" s="65"/>
      <c r="K53" s="41"/>
      <c r="L53" s="47"/>
      <c r="M53" s="68"/>
      <c r="N53" s="48"/>
      <c r="O53" s="71"/>
      <c r="P53" s="71"/>
      <c r="Q53" s="36"/>
      <c r="R53" s="35" t="s">
        <v>3</v>
      </c>
      <c r="S53" s="35" t="s">
        <v>3</v>
      </c>
      <c r="T53" s="77"/>
      <c r="U53" s="77"/>
      <c r="V53" s="77"/>
      <c r="W53" s="77"/>
      <c r="X53" s="82">
        <v>153153</v>
      </c>
      <c r="Z53" s="74"/>
      <c r="AA53" s="77"/>
      <c r="AB53" s="145"/>
      <c r="AC53" s="77"/>
      <c r="AD53" s="183"/>
    </row>
    <row r="54" spans="1:30">
      <c r="A54" s="86" t="s">
        <v>353</v>
      </c>
      <c r="B54" s="86" t="s">
        <v>211</v>
      </c>
      <c r="C54" s="86" t="s">
        <v>918</v>
      </c>
      <c r="D54" s="87">
        <v>10</v>
      </c>
      <c r="E54" s="87" t="s">
        <v>2</v>
      </c>
      <c r="F54" s="34">
        <f>VLOOKUP(B54,Pallets!B:F,5,FALSE)</f>
        <v>24</v>
      </c>
      <c r="G54" s="57">
        <v>11.2</v>
      </c>
      <c r="H54" s="57">
        <f t="shared" si="9"/>
        <v>112</v>
      </c>
      <c r="I54" s="42">
        <f>G54/(1-0.4)</f>
        <v>18.666666666666668</v>
      </c>
      <c r="J54" s="65">
        <f>D54*I54</f>
        <v>186.66666666666669</v>
      </c>
      <c r="K54" s="41">
        <f>(I54-G54)/I54</f>
        <v>0.40000000000000008</v>
      </c>
      <c r="L54" s="47">
        <f>G54/(1-0.35)</f>
        <v>17.23076923076923</v>
      </c>
      <c r="M54" s="68">
        <f>D54*L54</f>
        <v>172.30769230769229</v>
      </c>
      <c r="N54" s="48">
        <f>(L54-G54)/L54</f>
        <v>0.35000000000000003</v>
      </c>
      <c r="O54" s="71">
        <f>G54/(1-0.3)</f>
        <v>16</v>
      </c>
      <c r="P54" s="71">
        <f>D54*O54</f>
        <v>160</v>
      </c>
      <c r="Q54" s="37">
        <f>(O54-G54)/O54</f>
        <v>0.30000000000000004</v>
      </c>
      <c r="R54" s="35" t="s">
        <v>3</v>
      </c>
      <c r="S54" s="35" t="s">
        <v>3</v>
      </c>
      <c r="T54" s="77"/>
      <c r="U54" s="77"/>
      <c r="V54" s="77"/>
      <c r="W54" s="77"/>
      <c r="X54" s="82">
        <v>153153</v>
      </c>
      <c r="Z54" s="74" t="s">
        <v>412</v>
      </c>
      <c r="AA54" s="77">
        <f>VLOOKUP(Z54,'CFN HPV'!A:L,12,FALSE)</f>
        <v>13.38</v>
      </c>
      <c r="AB54" s="145">
        <f t="shared" ref="AB54:AB77" si="21">I54</f>
        <v>18.666666666666668</v>
      </c>
      <c r="AC54" s="77">
        <f t="shared" ref="AC54:AC77" si="22">AB54-AA54</f>
        <v>5.2866666666666671</v>
      </c>
      <c r="AD54" s="183"/>
    </row>
    <row r="55" spans="1:30">
      <c r="A55" s="86" t="s">
        <v>353</v>
      </c>
      <c r="B55" s="86" t="s">
        <v>911</v>
      </c>
      <c r="C55" s="86" t="s">
        <v>912</v>
      </c>
      <c r="D55" s="87">
        <v>10</v>
      </c>
      <c r="E55" s="87" t="s">
        <v>2</v>
      </c>
      <c r="F55" s="34">
        <v>24</v>
      </c>
      <c r="G55" s="57">
        <v>5.5</v>
      </c>
      <c r="H55" s="57">
        <f t="shared" si="9"/>
        <v>55</v>
      </c>
      <c r="I55" s="42">
        <f>G55/(1-0.4)</f>
        <v>9.1666666666666679</v>
      </c>
      <c r="J55" s="27">
        <f>D55*I55</f>
        <v>91.666666666666686</v>
      </c>
      <c r="K55" s="41">
        <f>(I55-G55)/I55</f>
        <v>0.40000000000000008</v>
      </c>
      <c r="L55" s="47">
        <f>G55/(1-0.35)</f>
        <v>8.4615384615384617</v>
      </c>
      <c r="M55" s="28">
        <f>D55*L55</f>
        <v>84.615384615384613</v>
      </c>
      <c r="N55" s="48">
        <f>(L55-G55)/L55</f>
        <v>0.35000000000000003</v>
      </c>
      <c r="O55" s="71">
        <f>G55/(1-0.3)</f>
        <v>7.8571428571428577</v>
      </c>
      <c r="P55" s="71">
        <f>D55*O55</f>
        <v>78.571428571428584</v>
      </c>
      <c r="Q55" s="37">
        <f>(O55-G55)/O55</f>
        <v>0.30000000000000004</v>
      </c>
      <c r="R55" s="35" t="s">
        <v>3</v>
      </c>
      <c r="S55" s="35" t="s">
        <v>3</v>
      </c>
      <c r="T55" s="77"/>
      <c r="U55" s="77"/>
      <c r="V55" s="77"/>
      <c r="W55" s="77"/>
      <c r="X55" s="82">
        <v>153153</v>
      </c>
      <c r="Z55" s="74" t="s">
        <v>644</v>
      </c>
      <c r="AA55" s="77">
        <f>VLOOKUP(Z55,'CFN HPV'!A:L,12,FALSE)</f>
        <v>10.63</v>
      </c>
      <c r="AB55" s="145">
        <f t="shared" si="21"/>
        <v>9.1666666666666679</v>
      </c>
      <c r="AC55" s="77">
        <f t="shared" si="22"/>
        <v>-1.4633333333333329</v>
      </c>
      <c r="AD55" s="183"/>
    </row>
    <row r="56" spans="1:30">
      <c r="A56" s="86" t="s">
        <v>353</v>
      </c>
      <c r="B56" s="86" t="s">
        <v>213</v>
      </c>
      <c r="C56" s="86" t="s">
        <v>214</v>
      </c>
      <c r="D56" s="87">
        <v>30</v>
      </c>
      <c r="E56" s="87" t="s">
        <v>2</v>
      </c>
      <c r="F56" s="34">
        <f>VLOOKUP(B56,Pallets!B:F,5,FALSE)</f>
        <v>42</v>
      </c>
      <c r="G56" s="57">
        <v>2.08</v>
      </c>
      <c r="H56" s="57">
        <f t="shared" si="9"/>
        <v>62.400000000000006</v>
      </c>
      <c r="I56" s="42">
        <f>G56/(1-0.4)</f>
        <v>3.4666666666666668</v>
      </c>
      <c r="J56" s="27">
        <f>D56*I56</f>
        <v>104</v>
      </c>
      <c r="K56" s="41">
        <f>(I56-G56)/I56</f>
        <v>0.4</v>
      </c>
      <c r="L56" s="47">
        <f>G56/(1-0.35)</f>
        <v>3.2</v>
      </c>
      <c r="M56" s="28">
        <f>D56*L56</f>
        <v>96</v>
      </c>
      <c r="N56" s="48">
        <f>(L56-G56)/L56</f>
        <v>0.35000000000000003</v>
      </c>
      <c r="O56" s="71">
        <f>G56/(1-0.3)</f>
        <v>2.9714285714285715</v>
      </c>
      <c r="P56" s="71">
        <f>D56*O56</f>
        <v>89.142857142857139</v>
      </c>
      <c r="Q56" s="37">
        <f>(O56-G56)/O56</f>
        <v>0.3</v>
      </c>
      <c r="R56" s="51">
        <v>113.57</v>
      </c>
      <c r="S56" s="51">
        <v>104.21</v>
      </c>
      <c r="T56" s="77"/>
      <c r="U56" s="77"/>
      <c r="V56" s="77"/>
      <c r="W56" s="77"/>
      <c r="X56" s="82">
        <v>153153</v>
      </c>
      <c r="Z56" s="77" t="s">
        <v>432</v>
      </c>
      <c r="AA56" s="77">
        <f>VLOOKUP(Z56,'CFN HPV'!A:L,12,FALSE)</f>
        <v>3.94</v>
      </c>
      <c r="AB56" s="145">
        <f t="shared" si="21"/>
        <v>3.4666666666666668</v>
      </c>
      <c r="AC56" s="77">
        <f t="shared" si="22"/>
        <v>-0.47333333333333316</v>
      </c>
      <c r="AD56" s="183"/>
    </row>
    <row r="57" spans="1:30">
      <c r="A57" s="86" t="s">
        <v>353</v>
      </c>
      <c r="B57" s="86" t="s">
        <v>215</v>
      </c>
      <c r="C57" s="86" t="s">
        <v>216</v>
      </c>
      <c r="D57" s="87">
        <v>30</v>
      </c>
      <c r="E57" s="87" t="s">
        <v>2</v>
      </c>
      <c r="F57" s="34">
        <f>VLOOKUP(B57,Pallets!B:F,5,FALSE)</f>
        <v>42</v>
      </c>
      <c r="G57" s="57">
        <v>2.3199999999999998</v>
      </c>
      <c r="H57" s="57">
        <f t="shared" si="9"/>
        <v>69.599999999999994</v>
      </c>
      <c r="I57" s="42">
        <f>G57/(1-0.4)</f>
        <v>3.8666666666666667</v>
      </c>
      <c r="J57" s="27">
        <f>D57*I57</f>
        <v>116</v>
      </c>
      <c r="K57" s="41">
        <f>(I57-G57)/I57</f>
        <v>0.4</v>
      </c>
      <c r="L57" s="47">
        <f>G57/(1-0.35)</f>
        <v>3.569230769230769</v>
      </c>
      <c r="M57" s="28">
        <f>D57*L57</f>
        <v>107.07692307692307</v>
      </c>
      <c r="N57" s="48">
        <f>(L57-G57)/L57</f>
        <v>0.35</v>
      </c>
      <c r="O57" s="71">
        <f>G57/(1-0.3)</f>
        <v>3.3142857142857141</v>
      </c>
      <c r="P57" s="71">
        <f>D57*O57</f>
        <v>99.428571428571416</v>
      </c>
      <c r="Q57" s="37">
        <f>(O57-G57)/O57</f>
        <v>0.3</v>
      </c>
      <c r="R57" s="51">
        <v>126.67</v>
      </c>
      <c r="S57" s="51">
        <v>116.23</v>
      </c>
      <c r="T57" s="77"/>
      <c r="U57" s="77"/>
      <c r="V57" s="77"/>
      <c r="W57" s="77"/>
      <c r="X57" s="82">
        <v>153153</v>
      </c>
      <c r="Z57" s="77" t="s">
        <v>433</v>
      </c>
      <c r="AA57" s="77">
        <f>VLOOKUP(Z57,'CFN HPV'!A:L,12,FALSE)</f>
        <v>3.69</v>
      </c>
      <c r="AB57" s="145">
        <f t="shared" si="21"/>
        <v>3.8666666666666667</v>
      </c>
      <c r="AC57" s="77">
        <f t="shared" si="22"/>
        <v>0.17666666666666675</v>
      </c>
      <c r="AD57" s="183"/>
    </row>
    <row r="58" spans="1:30">
      <c r="A58" s="86" t="s">
        <v>353</v>
      </c>
      <c r="B58" s="86" t="s">
        <v>217</v>
      </c>
      <c r="C58" s="86" t="s">
        <v>218</v>
      </c>
      <c r="D58" s="87">
        <v>10</v>
      </c>
      <c r="E58" s="87" t="s">
        <v>2</v>
      </c>
      <c r="F58" s="34">
        <f>VLOOKUP(B58,Pallets!B:F,5,FALSE)</f>
        <v>24</v>
      </c>
      <c r="G58" s="57"/>
      <c r="H58" s="57">
        <f t="shared" si="9"/>
        <v>0</v>
      </c>
      <c r="I58" s="42"/>
      <c r="J58" s="65"/>
      <c r="K58" s="41"/>
      <c r="L58" s="47"/>
      <c r="M58" s="68"/>
      <c r="N58" s="48"/>
      <c r="O58" s="71"/>
      <c r="P58" s="71"/>
      <c r="Q58" s="36"/>
      <c r="R58" s="35" t="s">
        <v>3</v>
      </c>
      <c r="S58" s="35" t="s">
        <v>3</v>
      </c>
      <c r="T58" s="77"/>
      <c r="U58" s="77"/>
      <c r="V58" s="77"/>
      <c r="W58" s="77"/>
      <c r="X58" s="82">
        <v>153153</v>
      </c>
      <c r="Z58" s="74" t="s">
        <v>410</v>
      </c>
      <c r="AA58" s="77">
        <f>VLOOKUP(Z58,'CFN HPV'!A:L,12,FALSE)</f>
        <v>9.14</v>
      </c>
      <c r="AB58" s="145">
        <f t="shared" si="21"/>
        <v>0</v>
      </c>
      <c r="AC58" s="77">
        <f t="shared" si="22"/>
        <v>-9.14</v>
      </c>
      <c r="AD58" s="183"/>
    </row>
    <row r="59" spans="1:30">
      <c r="A59" s="86" t="s">
        <v>353</v>
      </c>
      <c r="B59" s="86" t="s">
        <v>223</v>
      </c>
      <c r="C59" s="86" t="s">
        <v>224</v>
      </c>
      <c r="D59" s="87">
        <v>30</v>
      </c>
      <c r="E59" s="87" t="s">
        <v>2</v>
      </c>
      <c r="F59" s="34">
        <f>VLOOKUP(B59,Pallets!B:F,5,FALSE)</f>
        <v>48</v>
      </c>
      <c r="G59" s="57">
        <v>2.9</v>
      </c>
      <c r="H59" s="57">
        <f t="shared" si="9"/>
        <v>87</v>
      </c>
      <c r="I59" s="42">
        <f>G59/(1-0.4)</f>
        <v>4.833333333333333</v>
      </c>
      <c r="J59" s="27">
        <f>D59*I59</f>
        <v>145</v>
      </c>
      <c r="K59" s="41">
        <f>(I59-G59)/I59</f>
        <v>0.39999999999999997</v>
      </c>
      <c r="L59" s="47">
        <f>G59/(1-0.35)</f>
        <v>4.4615384615384617</v>
      </c>
      <c r="M59" s="28">
        <f>D59*L59</f>
        <v>133.84615384615384</v>
      </c>
      <c r="N59" s="48">
        <f>(L59-G59)/L59</f>
        <v>0.35000000000000003</v>
      </c>
      <c r="O59" s="71">
        <f>G59/(1-0.3)</f>
        <v>4.1428571428571432</v>
      </c>
      <c r="P59" s="71">
        <f>D59*O59</f>
        <v>124.28571428571429</v>
      </c>
      <c r="Q59" s="37">
        <f>(O59-G59)/O59</f>
        <v>0.3000000000000001</v>
      </c>
      <c r="R59" s="51">
        <v>158.34</v>
      </c>
      <c r="S59" s="51">
        <v>145.29</v>
      </c>
      <c r="T59" s="77"/>
      <c r="U59" s="77">
        <v>4.1500000000000004</v>
      </c>
      <c r="V59" s="77"/>
      <c r="W59" s="77"/>
      <c r="X59" s="82">
        <v>153153</v>
      </c>
      <c r="Z59" s="77" t="s">
        <v>434</v>
      </c>
      <c r="AA59" s="77">
        <f>VLOOKUP(Z59,'CFN HPV'!A:L,12,FALSE)</f>
        <v>4.25</v>
      </c>
      <c r="AB59" s="145">
        <f t="shared" si="21"/>
        <v>4.833333333333333</v>
      </c>
      <c r="AC59" s="77">
        <f t="shared" si="22"/>
        <v>0.58333333333333304</v>
      </c>
      <c r="AD59" s="183"/>
    </row>
    <row r="60" spans="1:30">
      <c r="A60" s="86" t="s">
        <v>353</v>
      </c>
      <c r="B60" s="86" t="s">
        <v>225</v>
      </c>
      <c r="C60" s="86" t="s">
        <v>226</v>
      </c>
      <c r="D60" s="87">
        <v>20</v>
      </c>
      <c r="E60" s="87" t="s">
        <v>2</v>
      </c>
      <c r="F60" s="34">
        <f>VLOOKUP(B60,Pallets!B:F,5,FALSE)</f>
        <v>48</v>
      </c>
      <c r="G60" s="57">
        <v>3.2</v>
      </c>
      <c r="H60" s="57">
        <f t="shared" si="9"/>
        <v>64</v>
      </c>
      <c r="I60" s="42">
        <f>G60/(1-0.4)</f>
        <v>5.3333333333333339</v>
      </c>
      <c r="J60" s="27">
        <f>D60*I60</f>
        <v>106.66666666666669</v>
      </c>
      <c r="K60" s="41">
        <f>(I60-G60)/I60</f>
        <v>0.4</v>
      </c>
      <c r="L60" s="47">
        <f>G60/(1-0.35)</f>
        <v>4.9230769230769234</v>
      </c>
      <c r="M60" s="28">
        <f>D60*L60</f>
        <v>98.461538461538467</v>
      </c>
      <c r="N60" s="48">
        <f>(L60-G60)/L60</f>
        <v>0.35</v>
      </c>
      <c r="O60" s="71">
        <f>G60/(1-0.3)</f>
        <v>4.5714285714285721</v>
      </c>
      <c r="P60" s="71">
        <f>D60*O60</f>
        <v>91.428571428571445</v>
      </c>
      <c r="Q60" s="37">
        <f>(O60-G60)/O60</f>
        <v>0.30000000000000004</v>
      </c>
      <c r="R60" s="51">
        <v>116.48</v>
      </c>
      <c r="S60" s="51">
        <v>106.88</v>
      </c>
      <c r="T60" s="77"/>
      <c r="U60" s="77">
        <v>4.8</v>
      </c>
      <c r="V60" s="77">
        <v>4.83</v>
      </c>
      <c r="W60" s="77"/>
      <c r="X60" s="82">
        <v>153153</v>
      </c>
      <c r="Z60" s="77" t="s">
        <v>435</v>
      </c>
      <c r="AA60" s="77">
        <f>VLOOKUP(Z60,'CFN HPV'!A:L,12,FALSE)</f>
        <v>4.75</v>
      </c>
      <c r="AB60" s="145">
        <f t="shared" si="21"/>
        <v>5.3333333333333339</v>
      </c>
      <c r="AC60" s="77">
        <f t="shared" si="22"/>
        <v>0.58333333333333393</v>
      </c>
      <c r="AD60" s="183"/>
    </row>
    <row r="61" spans="1:30">
      <c r="A61" s="86" t="s">
        <v>353</v>
      </c>
      <c r="B61" s="86" t="s">
        <v>227</v>
      </c>
      <c r="C61" s="86" t="s">
        <v>228</v>
      </c>
      <c r="D61" s="87">
        <v>20</v>
      </c>
      <c r="E61" s="87" t="s">
        <v>2</v>
      </c>
      <c r="F61" s="34">
        <f>VLOOKUP(B61,Pallets!B:F,5,FALSE)</f>
        <v>32</v>
      </c>
      <c r="G61" s="57">
        <v>3.66</v>
      </c>
      <c r="H61" s="57">
        <f t="shared" si="9"/>
        <v>73.2</v>
      </c>
      <c r="I61" s="42">
        <f>G61/(1-0.4)</f>
        <v>6.1000000000000005</v>
      </c>
      <c r="J61" s="27">
        <f>D61*I61</f>
        <v>122.00000000000001</v>
      </c>
      <c r="K61" s="41">
        <f>(I61-G61)/I61</f>
        <v>0.4</v>
      </c>
      <c r="L61" s="47">
        <f>G61/(1-0.35)</f>
        <v>5.6307692307692312</v>
      </c>
      <c r="M61" s="28">
        <f>D61*L61</f>
        <v>112.61538461538463</v>
      </c>
      <c r="N61" s="48">
        <f>(L61-G61)/L61</f>
        <v>0.35000000000000003</v>
      </c>
      <c r="O61" s="71">
        <f>G61/(1-0.3)</f>
        <v>5.2285714285714295</v>
      </c>
      <c r="P61" s="71">
        <f>D61*O61</f>
        <v>104.57142857142858</v>
      </c>
      <c r="Q61" s="37">
        <f>(O61-G61)/O61</f>
        <v>0.3000000000000001</v>
      </c>
      <c r="R61" s="51">
        <v>133.22</v>
      </c>
      <c r="S61" s="51">
        <v>122.24</v>
      </c>
      <c r="T61" s="77"/>
      <c r="U61" s="77"/>
      <c r="V61" s="77">
        <v>3.92</v>
      </c>
      <c r="W61" s="77"/>
      <c r="X61" s="82">
        <v>153153</v>
      </c>
      <c r="Z61" s="77" t="s">
        <v>422</v>
      </c>
      <c r="AA61" s="77">
        <f>VLOOKUP(Z61,'CFN HPV'!A:L,12,FALSE)</f>
        <v>4.7699999999999996</v>
      </c>
      <c r="AB61" s="145">
        <f t="shared" si="21"/>
        <v>6.1000000000000005</v>
      </c>
      <c r="AC61" s="77">
        <f t="shared" si="22"/>
        <v>1.330000000000001</v>
      </c>
      <c r="AD61" s="183"/>
    </row>
    <row r="62" spans="1:30">
      <c r="A62" s="86" t="s">
        <v>353</v>
      </c>
      <c r="B62" s="86" t="s">
        <v>229</v>
      </c>
      <c r="C62" s="86" t="s">
        <v>230</v>
      </c>
      <c r="D62" s="87">
        <v>10</v>
      </c>
      <c r="E62" s="87" t="s">
        <v>2</v>
      </c>
      <c r="F62" s="34">
        <f>VLOOKUP(B62,Pallets!B:F,5,FALSE)</f>
        <v>24</v>
      </c>
      <c r="G62" s="57"/>
      <c r="H62" s="57">
        <f t="shared" si="9"/>
        <v>0</v>
      </c>
      <c r="I62" s="42"/>
      <c r="J62" s="65"/>
      <c r="K62" s="41"/>
      <c r="L62" s="47"/>
      <c r="M62" s="68"/>
      <c r="N62" s="48"/>
      <c r="O62" s="71"/>
      <c r="P62" s="71"/>
      <c r="Q62" s="36"/>
      <c r="R62" s="35" t="s">
        <v>3</v>
      </c>
      <c r="S62" s="35" t="s">
        <v>3</v>
      </c>
      <c r="T62" s="77"/>
      <c r="U62" s="77"/>
      <c r="V62" s="77"/>
      <c r="W62" s="77"/>
      <c r="X62" s="82">
        <v>153153</v>
      </c>
      <c r="Z62" s="74" t="s">
        <v>440</v>
      </c>
      <c r="AA62" s="77">
        <f>VLOOKUP(Z62,'CFN HPV'!A:L,12,FALSE)</f>
        <v>9.66</v>
      </c>
      <c r="AB62" s="145">
        <f t="shared" si="21"/>
        <v>0</v>
      </c>
      <c r="AC62" s="77">
        <f t="shared" si="22"/>
        <v>-9.66</v>
      </c>
      <c r="AD62" s="183"/>
    </row>
    <row r="63" spans="1:30">
      <c r="A63" s="86" t="s">
        <v>353</v>
      </c>
      <c r="B63" s="86" t="s">
        <v>233</v>
      </c>
      <c r="C63" s="86" t="s">
        <v>234</v>
      </c>
      <c r="D63" s="87">
        <v>8</v>
      </c>
      <c r="E63" s="87" t="s">
        <v>2</v>
      </c>
      <c r="F63" s="34">
        <f>VLOOKUP(B63,Pallets!B:F,5,FALSE)</f>
        <v>24</v>
      </c>
      <c r="G63" s="57">
        <v>12.09</v>
      </c>
      <c r="H63" s="57">
        <f t="shared" si="9"/>
        <v>96.72</v>
      </c>
      <c r="I63" s="42">
        <f t="shared" ref="I63:I70" si="23">G63/(1-0.4)</f>
        <v>20.150000000000002</v>
      </c>
      <c r="J63" s="27">
        <f t="shared" ref="J63:J70" si="24">D63*I63</f>
        <v>161.20000000000002</v>
      </c>
      <c r="K63" s="41">
        <f t="shared" ref="K63:K70" si="25">(I63-G63)/I63</f>
        <v>0.40000000000000008</v>
      </c>
      <c r="L63" s="47">
        <f t="shared" ref="L63:L70" si="26">G63/(1-0.35)</f>
        <v>18.599999999999998</v>
      </c>
      <c r="M63" s="28">
        <f t="shared" ref="M63:M70" si="27">D63*L63</f>
        <v>148.79999999999998</v>
      </c>
      <c r="N63" s="48">
        <f t="shared" ref="N63:N70" si="28">(L63-G63)/L63</f>
        <v>0.34999999999999992</v>
      </c>
      <c r="O63" s="71">
        <f t="shared" ref="O63:O70" si="29">G63/(1-0.3)</f>
        <v>17.271428571428572</v>
      </c>
      <c r="P63" s="71">
        <f t="shared" ref="P63:P70" si="30">D63*O63</f>
        <v>138.17142857142858</v>
      </c>
      <c r="Q63" s="37">
        <f t="shared" ref="Q63:Q70" si="31">(O63-G63)/O63</f>
        <v>0.30000000000000004</v>
      </c>
      <c r="R63" s="51">
        <v>176.03</v>
      </c>
      <c r="S63" s="51">
        <v>161.52000000000001</v>
      </c>
      <c r="T63" s="77"/>
      <c r="U63" s="77">
        <v>18.600000000000001</v>
      </c>
      <c r="V63" s="77">
        <v>18.03</v>
      </c>
      <c r="W63" s="77"/>
      <c r="X63" s="82">
        <v>153153</v>
      </c>
      <c r="Z63" s="77" t="s">
        <v>424</v>
      </c>
      <c r="AA63" s="77">
        <f>VLOOKUP(Z63,'CFN HPV'!A:L,12,FALSE)</f>
        <v>15.77</v>
      </c>
      <c r="AB63" s="145">
        <f t="shared" si="21"/>
        <v>20.150000000000002</v>
      </c>
      <c r="AC63" s="77">
        <f t="shared" si="22"/>
        <v>4.3800000000000026</v>
      </c>
      <c r="AD63" s="183"/>
    </row>
    <row r="64" spans="1:30">
      <c r="A64" s="86" t="s">
        <v>353</v>
      </c>
      <c r="B64" s="86" t="s">
        <v>235</v>
      </c>
      <c r="C64" s="86" t="s">
        <v>236</v>
      </c>
      <c r="D64" s="87">
        <v>10</v>
      </c>
      <c r="E64" s="87" t="s">
        <v>2</v>
      </c>
      <c r="F64" s="34">
        <f>VLOOKUP(B64,Pallets!B:F,5,FALSE)</f>
        <v>24</v>
      </c>
      <c r="G64" s="57">
        <v>10.220000000000001</v>
      </c>
      <c r="H64" s="57">
        <f t="shared" si="9"/>
        <v>102.2</v>
      </c>
      <c r="I64" s="42">
        <f t="shared" si="23"/>
        <v>17.033333333333335</v>
      </c>
      <c r="J64" s="27">
        <f t="shared" si="24"/>
        <v>170.33333333333334</v>
      </c>
      <c r="K64" s="41">
        <f t="shared" si="25"/>
        <v>0.4</v>
      </c>
      <c r="L64" s="47">
        <f t="shared" si="26"/>
        <v>15.723076923076924</v>
      </c>
      <c r="M64" s="28">
        <f t="shared" si="27"/>
        <v>157.23076923076923</v>
      </c>
      <c r="N64" s="48">
        <f t="shared" si="28"/>
        <v>0.35</v>
      </c>
      <c r="O64" s="71">
        <f t="shared" si="29"/>
        <v>14.600000000000001</v>
      </c>
      <c r="P64" s="71">
        <f t="shared" si="30"/>
        <v>146</v>
      </c>
      <c r="Q64" s="37">
        <f t="shared" si="31"/>
        <v>0.30000000000000004</v>
      </c>
      <c r="R64" s="51">
        <v>186</v>
      </c>
      <c r="S64" s="51">
        <v>170.67</v>
      </c>
      <c r="T64" s="77"/>
      <c r="U64" s="77">
        <v>15.06</v>
      </c>
      <c r="V64" s="77">
        <v>14.6</v>
      </c>
      <c r="W64" s="77"/>
      <c r="X64" s="82">
        <v>153153</v>
      </c>
      <c r="Z64" s="77" t="s">
        <v>425</v>
      </c>
      <c r="AA64" s="77">
        <f>VLOOKUP(Z64,'CFN HPV'!A:L,12,FALSE)</f>
        <v>12.31</v>
      </c>
      <c r="AB64" s="145">
        <f t="shared" si="21"/>
        <v>17.033333333333335</v>
      </c>
      <c r="AC64" s="77">
        <f t="shared" si="22"/>
        <v>4.7233333333333345</v>
      </c>
      <c r="AD64" s="183"/>
    </row>
    <row r="65" spans="1:30">
      <c r="A65" s="86" t="s">
        <v>353</v>
      </c>
      <c r="B65" s="86" t="s">
        <v>237</v>
      </c>
      <c r="C65" s="86" t="s">
        <v>238</v>
      </c>
      <c r="D65" s="87">
        <v>7</v>
      </c>
      <c r="E65" s="87" t="s">
        <v>2</v>
      </c>
      <c r="F65" s="34">
        <f>VLOOKUP(B65,Pallets!B:F,5,FALSE)</f>
        <v>24</v>
      </c>
      <c r="G65" s="57">
        <v>12.5</v>
      </c>
      <c r="H65" s="57">
        <f t="shared" si="9"/>
        <v>87.5</v>
      </c>
      <c r="I65" s="42">
        <f t="shared" si="23"/>
        <v>20.833333333333336</v>
      </c>
      <c r="J65" s="27">
        <f t="shared" si="24"/>
        <v>145.83333333333334</v>
      </c>
      <c r="K65" s="41">
        <f t="shared" si="25"/>
        <v>0.40000000000000008</v>
      </c>
      <c r="L65" s="47">
        <f t="shared" si="26"/>
        <v>19.23076923076923</v>
      </c>
      <c r="M65" s="28">
        <f t="shared" si="27"/>
        <v>134.61538461538461</v>
      </c>
      <c r="N65" s="48">
        <f t="shared" si="28"/>
        <v>0.35</v>
      </c>
      <c r="O65" s="71">
        <f t="shared" si="29"/>
        <v>17.857142857142858</v>
      </c>
      <c r="P65" s="71">
        <f t="shared" si="30"/>
        <v>125</v>
      </c>
      <c r="Q65" s="37">
        <f t="shared" si="31"/>
        <v>0.30000000000000004</v>
      </c>
      <c r="R65" s="51">
        <v>159.25</v>
      </c>
      <c r="S65" s="51">
        <v>146.13</v>
      </c>
      <c r="T65" s="77"/>
      <c r="U65" s="77">
        <v>16.82</v>
      </c>
      <c r="V65" s="77"/>
      <c r="W65" s="77"/>
      <c r="X65" s="82">
        <v>153153</v>
      </c>
      <c r="Z65" s="77" t="s">
        <v>426</v>
      </c>
      <c r="AA65" s="77">
        <f>VLOOKUP(Z65,'CFN HPV'!A:L,12,FALSE)</f>
        <v>17.28</v>
      </c>
      <c r="AB65" s="145">
        <f t="shared" si="21"/>
        <v>20.833333333333336</v>
      </c>
      <c r="AC65" s="77">
        <f t="shared" si="22"/>
        <v>3.5533333333333346</v>
      </c>
      <c r="AD65" s="183"/>
    </row>
    <row r="66" spans="1:30">
      <c r="A66" s="86" t="s">
        <v>353</v>
      </c>
      <c r="B66" s="86" t="s">
        <v>241</v>
      </c>
      <c r="C66" s="86" t="s">
        <v>242</v>
      </c>
      <c r="D66" s="87">
        <v>10</v>
      </c>
      <c r="E66" s="87" t="s">
        <v>2</v>
      </c>
      <c r="F66" s="34">
        <f>VLOOKUP(B66,Pallets!B:F,5,FALSE)</f>
        <v>32</v>
      </c>
      <c r="G66" s="57">
        <v>12.8</v>
      </c>
      <c r="H66" s="57">
        <f t="shared" ref="H66:H97" si="32">D66*G66</f>
        <v>128</v>
      </c>
      <c r="I66" s="42">
        <f t="shared" si="23"/>
        <v>21.333333333333336</v>
      </c>
      <c r="J66" s="27">
        <f t="shared" si="24"/>
        <v>213.33333333333337</v>
      </c>
      <c r="K66" s="41">
        <f t="shared" si="25"/>
        <v>0.4</v>
      </c>
      <c r="L66" s="47">
        <f t="shared" si="26"/>
        <v>19.692307692307693</v>
      </c>
      <c r="M66" s="28">
        <f t="shared" si="27"/>
        <v>196.92307692307693</v>
      </c>
      <c r="N66" s="48">
        <f t="shared" si="28"/>
        <v>0.35</v>
      </c>
      <c r="O66" s="71">
        <f t="shared" si="29"/>
        <v>18.285714285714288</v>
      </c>
      <c r="P66" s="71">
        <f t="shared" si="30"/>
        <v>182.85714285714289</v>
      </c>
      <c r="Q66" s="37">
        <f t="shared" si="31"/>
        <v>0.30000000000000004</v>
      </c>
      <c r="R66" s="35" t="s">
        <v>3</v>
      </c>
      <c r="S66" s="35" t="s">
        <v>3</v>
      </c>
      <c r="T66" s="77"/>
      <c r="U66" s="77"/>
      <c r="V66" s="77"/>
      <c r="W66" s="77"/>
      <c r="X66" s="82">
        <v>153153</v>
      </c>
      <c r="Z66" s="74" t="s">
        <v>427</v>
      </c>
      <c r="AA66" s="77">
        <f>VLOOKUP(Z66,'CFN HPV'!A:L,12,FALSE)</f>
        <v>18.32</v>
      </c>
      <c r="AB66" s="145">
        <f t="shared" si="21"/>
        <v>21.333333333333336</v>
      </c>
      <c r="AC66" s="77">
        <f t="shared" si="22"/>
        <v>3.0133333333333354</v>
      </c>
      <c r="AD66" s="183"/>
    </row>
    <row r="67" spans="1:30">
      <c r="A67" s="86" t="s">
        <v>353</v>
      </c>
      <c r="B67" s="86" t="s">
        <v>245</v>
      </c>
      <c r="C67" s="86" t="s">
        <v>246</v>
      </c>
      <c r="D67" s="87">
        <v>7</v>
      </c>
      <c r="E67" s="87" t="s">
        <v>2</v>
      </c>
      <c r="F67" s="34">
        <f>VLOOKUP(B67,Pallets!B:F,5,FALSE)</f>
        <v>24</v>
      </c>
      <c r="G67" s="57">
        <v>14.2</v>
      </c>
      <c r="H67" s="57">
        <f t="shared" si="32"/>
        <v>99.399999999999991</v>
      </c>
      <c r="I67" s="42">
        <f t="shared" si="23"/>
        <v>23.666666666666668</v>
      </c>
      <c r="J67" s="27">
        <f t="shared" si="24"/>
        <v>165.66666666666669</v>
      </c>
      <c r="K67" s="41">
        <f t="shared" si="25"/>
        <v>0.40000000000000008</v>
      </c>
      <c r="L67" s="47">
        <f t="shared" si="26"/>
        <v>21.846153846153843</v>
      </c>
      <c r="M67" s="28">
        <f t="shared" si="27"/>
        <v>152.92307692307691</v>
      </c>
      <c r="N67" s="48">
        <f t="shared" si="28"/>
        <v>0.34999999999999992</v>
      </c>
      <c r="O67" s="71">
        <f t="shared" si="29"/>
        <v>20.285714285714285</v>
      </c>
      <c r="P67" s="71">
        <f t="shared" si="30"/>
        <v>142</v>
      </c>
      <c r="Q67" s="37">
        <f t="shared" si="31"/>
        <v>0.3</v>
      </c>
      <c r="R67" s="51">
        <v>180.91</v>
      </c>
      <c r="S67" s="51">
        <v>166</v>
      </c>
      <c r="T67" s="77"/>
      <c r="U67" s="77">
        <v>23.76</v>
      </c>
      <c r="V67" s="77"/>
      <c r="W67" s="77"/>
      <c r="X67" s="82">
        <v>153153</v>
      </c>
      <c r="Z67" s="77" t="s">
        <v>428</v>
      </c>
      <c r="AA67" s="77">
        <f>VLOOKUP(Z67,'CFN HPV'!A:L,12,FALSE)</f>
        <v>23.48</v>
      </c>
      <c r="AB67" s="145">
        <f t="shared" si="21"/>
        <v>23.666666666666668</v>
      </c>
      <c r="AC67" s="77">
        <f t="shared" si="22"/>
        <v>0.18666666666666742</v>
      </c>
      <c r="AD67" s="183"/>
    </row>
    <row r="68" spans="1:30">
      <c r="A68" s="86" t="s">
        <v>353</v>
      </c>
      <c r="B68" s="86" t="s">
        <v>249</v>
      </c>
      <c r="C68" s="86" t="s">
        <v>250</v>
      </c>
      <c r="D68" s="87">
        <v>10</v>
      </c>
      <c r="E68" s="87" t="s">
        <v>2</v>
      </c>
      <c r="F68" s="34">
        <f>VLOOKUP(B68,Pallets!B:F,5,FALSE)</f>
        <v>24</v>
      </c>
      <c r="G68" s="57">
        <v>12</v>
      </c>
      <c r="H68" s="57">
        <f t="shared" si="32"/>
        <v>120</v>
      </c>
      <c r="I68" s="42">
        <f t="shared" si="23"/>
        <v>20</v>
      </c>
      <c r="J68" s="27">
        <f t="shared" si="24"/>
        <v>200</v>
      </c>
      <c r="K68" s="41">
        <f t="shared" si="25"/>
        <v>0.4</v>
      </c>
      <c r="L68" s="47">
        <f t="shared" si="26"/>
        <v>18.46153846153846</v>
      </c>
      <c r="M68" s="28">
        <f t="shared" si="27"/>
        <v>184.61538461538458</v>
      </c>
      <c r="N68" s="48">
        <f t="shared" si="28"/>
        <v>0.34999999999999992</v>
      </c>
      <c r="O68" s="71">
        <f t="shared" si="29"/>
        <v>17.142857142857142</v>
      </c>
      <c r="P68" s="71">
        <f t="shared" si="30"/>
        <v>171.42857142857142</v>
      </c>
      <c r="Q68" s="37">
        <f t="shared" si="31"/>
        <v>0.3</v>
      </c>
      <c r="R68" s="51">
        <v>218.4</v>
      </c>
      <c r="S68" s="51">
        <v>200.4</v>
      </c>
      <c r="T68" s="77"/>
      <c r="U68" s="77">
        <v>17.600000000000001</v>
      </c>
      <c r="V68" s="77"/>
      <c r="W68" s="77"/>
      <c r="X68" s="82">
        <v>153153</v>
      </c>
      <c r="Z68" s="77" t="s">
        <v>429</v>
      </c>
      <c r="AA68" s="77">
        <f>VLOOKUP(Z68,'CFN HPV'!A:L,12,FALSE)</f>
        <v>21.92</v>
      </c>
      <c r="AB68" s="145">
        <f t="shared" si="21"/>
        <v>20</v>
      </c>
      <c r="AC68" s="77">
        <f t="shared" si="22"/>
        <v>-1.9200000000000017</v>
      </c>
      <c r="AD68" s="183"/>
    </row>
    <row r="69" spans="1:30">
      <c r="A69" s="86" t="s">
        <v>353</v>
      </c>
      <c r="B69" s="86" t="s">
        <v>253</v>
      </c>
      <c r="C69" s="86" t="s">
        <v>254</v>
      </c>
      <c r="D69" s="87">
        <v>12</v>
      </c>
      <c r="E69" s="87" t="s">
        <v>2</v>
      </c>
      <c r="F69" s="34">
        <f>VLOOKUP(B69,Pallets!B:F,5,FALSE)</f>
        <v>32</v>
      </c>
      <c r="G69" s="57">
        <v>4.45</v>
      </c>
      <c r="H69" s="57">
        <f t="shared" si="32"/>
        <v>53.400000000000006</v>
      </c>
      <c r="I69" s="42">
        <f t="shared" si="23"/>
        <v>7.416666666666667</v>
      </c>
      <c r="J69" s="65">
        <f t="shared" si="24"/>
        <v>89</v>
      </c>
      <c r="K69" s="41">
        <f t="shared" si="25"/>
        <v>0.4</v>
      </c>
      <c r="L69" s="47">
        <f t="shared" si="26"/>
        <v>6.8461538461538458</v>
      </c>
      <c r="M69" s="68">
        <f t="shared" si="27"/>
        <v>82.153846153846146</v>
      </c>
      <c r="N69" s="48">
        <f t="shared" si="28"/>
        <v>0.34999999999999992</v>
      </c>
      <c r="O69" s="71">
        <f t="shared" si="29"/>
        <v>6.3571428571428577</v>
      </c>
      <c r="P69" s="71">
        <f t="shared" si="30"/>
        <v>76.285714285714292</v>
      </c>
      <c r="Q69" s="37">
        <f t="shared" si="31"/>
        <v>0.30000000000000004</v>
      </c>
      <c r="R69" s="35" t="s">
        <v>3</v>
      </c>
      <c r="S69" s="35" t="s">
        <v>3</v>
      </c>
      <c r="T69" s="77"/>
      <c r="U69" s="77"/>
      <c r="V69" s="77"/>
      <c r="W69" s="77"/>
      <c r="X69" s="82">
        <v>153153</v>
      </c>
      <c r="Y69" s="33"/>
      <c r="Z69" s="74" t="s">
        <v>431</v>
      </c>
      <c r="AA69" s="183">
        <f>VLOOKUP(Z69,'CFN HPV'!A:L,12,FALSE)</f>
        <v>9.84</v>
      </c>
      <c r="AB69" s="145">
        <f t="shared" si="21"/>
        <v>7.416666666666667</v>
      </c>
      <c r="AC69" s="77">
        <f t="shared" si="22"/>
        <v>-2.4233333333333329</v>
      </c>
      <c r="AD69" s="183"/>
    </row>
    <row r="70" spans="1:30">
      <c r="A70" s="86" t="s">
        <v>353</v>
      </c>
      <c r="B70" s="86" t="s">
        <v>259</v>
      </c>
      <c r="C70" s="86" t="s">
        <v>260</v>
      </c>
      <c r="D70" s="87">
        <v>10</v>
      </c>
      <c r="E70" s="87" t="s">
        <v>2</v>
      </c>
      <c r="F70" s="34">
        <f>VLOOKUP(B70,Pallets!B:F,5,FALSE)</f>
        <v>24</v>
      </c>
      <c r="G70" s="57">
        <v>15</v>
      </c>
      <c r="H70" s="57">
        <f t="shared" si="32"/>
        <v>150</v>
      </c>
      <c r="I70" s="42">
        <f t="shared" si="23"/>
        <v>25</v>
      </c>
      <c r="J70" s="27">
        <f t="shared" si="24"/>
        <v>250</v>
      </c>
      <c r="K70" s="41">
        <f t="shared" si="25"/>
        <v>0.4</v>
      </c>
      <c r="L70" s="47">
        <f t="shared" si="26"/>
        <v>23.076923076923077</v>
      </c>
      <c r="M70" s="28">
        <f t="shared" si="27"/>
        <v>230.76923076923077</v>
      </c>
      <c r="N70" s="48">
        <f t="shared" si="28"/>
        <v>0.35</v>
      </c>
      <c r="O70" s="71">
        <f t="shared" si="29"/>
        <v>21.428571428571431</v>
      </c>
      <c r="P70" s="71">
        <f t="shared" si="30"/>
        <v>214.28571428571431</v>
      </c>
      <c r="Q70" s="37">
        <f t="shared" si="31"/>
        <v>0.30000000000000004</v>
      </c>
      <c r="R70" s="51">
        <v>273</v>
      </c>
      <c r="S70" s="51">
        <v>250.5</v>
      </c>
      <c r="T70" s="77"/>
      <c r="U70" s="77">
        <v>25</v>
      </c>
      <c r="V70" s="77"/>
      <c r="W70" s="77"/>
      <c r="X70" s="82">
        <v>153153</v>
      </c>
      <c r="Z70" s="77" t="s">
        <v>430</v>
      </c>
      <c r="AA70" s="77">
        <f>VLOOKUP(Z70,'CFN HPV'!A:L,12,FALSE)</f>
        <v>26.08</v>
      </c>
      <c r="AB70" s="145">
        <f t="shared" si="21"/>
        <v>25</v>
      </c>
      <c r="AC70" s="77">
        <f t="shared" si="22"/>
        <v>-1.0799999999999983</v>
      </c>
      <c r="AD70" s="183"/>
    </row>
    <row r="71" spans="1:30">
      <c r="A71" s="86" t="s">
        <v>353</v>
      </c>
      <c r="B71" s="86" t="s">
        <v>261</v>
      </c>
      <c r="C71" s="86" t="s">
        <v>1158</v>
      </c>
      <c r="D71" s="87">
        <v>10</v>
      </c>
      <c r="E71" s="87" t="s">
        <v>2</v>
      </c>
      <c r="F71" s="34">
        <f>VLOOKUP(B71,Pallets!B:F,5,FALSE)</f>
        <v>24</v>
      </c>
      <c r="G71" s="57"/>
      <c r="H71" s="57">
        <f t="shared" si="32"/>
        <v>0</v>
      </c>
      <c r="I71" s="42"/>
      <c r="J71" s="65"/>
      <c r="K71" s="41"/>
      <c r="L71" s="47"/>
      <c r="M71" s="68"/>
      <c r="N71" s="48"/>
      <c r="O71" s="71"/>
      <c r="P71" s="71"/>
      <c r="Q71" s="36"/>
      <c r="R71" s="35" t="s">
        <v>3</v>
      </c>
      <c r="S71" s="35" t="s">
        <v>3</v>
      </c>
      <c r="T71" s="77"/>
      <c r="U71" s="77"/>
      <c r="V71" s="77"/>
      <c r="W71" s="77"/>
      <c r="X71" s="82">
        <v>153153</v>
      </c>
      <c r="Z71" s="74" t="s">
        <v>415</v>
      </c>
      <c r="AA71" s="77">
        <f>VLOOKUP(Z71,'CFN HPV'!A:L,12,FALSE)</f>
        <v>22.68</v>
      </c>
      <c r="AB71" s="145">
        <f t="shared" si="21"/>
        <v>0</v>
      </c>
      <c r="AC71" s="77">
        <f t="shared" si="22"/>
        <v>-22.68</v>
      </c>
      <c r="AD71" s="183"/>
    </row>
    <row r="72" spans="1:30">
      <c r="A72" s="86" t="s">
        <v>353</v>
      </c>
      <c r="B72" s="86" t="s">
        <v>263</v>
      </c>
      <c r="C72" s="86" t="s">
        <v>1159</v>
      </c>
      <c r="D72" s="87">
        <v>10</v>
      </c>
      <c r="E72" s="87" t="s">
        <v>2</v>
      </c>
      <c r="F72" s="34">
        <f>VLOOKUP(B72,Pallets!B:F,5,FALSE)</f>
        <v>24</v>
      </c>
      <c r="G72" s="57">
        <v>12.86</v>
      </c>
      <c r="H72" s="57">
        <f t="shared" si="32"/>
        <v>128.6</v>
      </c>
      <c r="I72" s="42">
        <f t="shared" ref="I72:I86" si="33">G72/(1-0.4)</f>
        <v>21.433333333333334</v>
      </c>
      <c r="J72" s="65">
        <f t="shared" ref="J72:J86" si="34">D72*I72</f>
        <v>214.33333333333334</v>
      </c>
      <c r="K72" s="41">
        <f t="shared" ref="K72:K86" si="35">(I72-G72)/I72</f>
        <v>0.4</v>
      </c>
      <c r="L72" s="47">
        <f t="shared" ref="L72:L86" si="36">G72/(1-0.35)</f>
        <v>19.784615384615382</v>
      </c>
      <c r="M72" s="68">
        <f t="shared" ref="M72:M86" si="37">D72*L72</f>
        <v>197.84615384615381</v>
      </c>
      <c r="N72" s="48">
        <f t="shared" ref="N72:N86" si="38">(L72-G72)/L72</f>
        <v>0.34999999999999992</v>
      </c>
      <c r="O72" s="71">
        <f t="shared" ref="O72:O86" si="39">G72/(1-0.3)</f>
        <v>18.37142857142857</v>
      </c>
      <c r="P72" s="71">
        <f t="shared" ref="P72:P86" si="40">D72*O72</f>
        <v>183.71428571428569</v>
      </c>
      <c r="Q72" s="37">
        <f t="shared" ref="Q72:Q86" si="41">(O72-G72)/O72</f>
        <v>0.3</v>
      </c>
      <c r="R72" s="35" t="s">
        <v>3</v>
      </c>
      <c r="S72" s="35" t="s">
        <v>3</v>
      </c>
      <c r="T72" s="77"/>
      <c r="U72" s="77"/>
      <c r="V72" s="77"/>
      <c r="W72" s="77"/>
      <c r="X72" s="82">
        <v>153153</v>
      </c>
      <c r="Z72" s="74" t="s">
        <v>416</v>
      </c>
      <c r="AA72" s="77">
        <f>VLOOKUP(Z72,'CFN HPV'!A:L,12,FALSE)</f>
        <v>22.64</v>
      </c>
      <c r="AB72" s="145">
        <f t="shared" si="21"/>
        <v>21.433333333333334</v>
      </c>
      <c r="AC72" s="77">
        <f t="shared" si="22"/>
        <v>-1.206666666666667</v>
      </c>
      <c r="AD72" s="183"/>
    </row>
    <row r="73" spans="1:30">
      <c r="A73" s="86" t="s">
        <v>353</v>
      </c>
      <c r="B73" s="86" t="s">
        <v>267</v>
      </c>
      <c r="C73" s="86" t="s">
        <v>268</v>
      </c>
      <c r="D73" s="87">
        <v>8</v>
      </c>
      <c r="E73" s="87" t="s">
        <v>2</v>
      </c>
      <c r="F73" s="34">
        <f>VLOOKUP(B73,Pallets!B:F,5,FALSE)</f>
        <v>24</v>
      </c>
      <c r="G73" s="57">
        <v>11.86</v>
      </c>
      <c r="H73" s="57">
        <f t="shared" si="32"/>
        <v>94.88</v>
      </c>
      <c r="I73" s="42">
        <f t="shared" si="33"/>
        <v>19.766666666666666</v>
      </c>
      <c r="J73" s="27">
        <f t="shared" si="34"/>
        <v>158.13333333333333</v>
      </c>
      <c r="K73" s="41">
        <f t="shared" si="35"/>
        <v>0.4</v>
      </c>
      <c r="L73" s="47">
        <f t="shared" si="36"/>
        <v>18.246153846153845</v>
      </c>
      <c r="M73" s="28">
        <f t="shared" si="37"/>
        <v>145.96923076923076</v>
      </c>
      <c r="N73" s="48">
        <f t="shared" si="38"/>
        <v>0.35</v>
      </c>
      <c r="O73" s="71">
        <f t="shared" si="39"/>
        <v>16.942857142857143</v>
      </c>
      <c r="P73" s="71">
        <f t="shared" si="40"/>
        <v>135.54285714285714</v>
      </c>
      <c r="Q73" s="37">
        <f t="shared" si="41"/>
        <v>0.30000000000000004</v>
      </c>
      <c r="R73" s="35" t="s">
        <v>3</v>
      </c>
      <c r="S73" s="35" t="s">
        <v>3</v>
      </c>
      <c r="T73" s="77"/>
      <c r="U73" s="77"/>
      <c r="V73" s="77"/>
      <c r="W73" s="77"/>
      <c r="X73" s="82">
        <v>153153</v>
      </c>
      <c r="Z73" s="74" t="s">
        <v>418</v>
      </c>
      <c r="AA73" s="77">
        <f>VLOOKUP(Z73,'CFN HPV'!A:L,12,FALSE)</f>
        <v>16.05</v>
      </c>
      <c r="AB73" s="145">
        <f t="shared" si="21"/>
        <v>19.766666666666666</v>
      </c>
      <c r="AC73" s="77">
        <f t="shared" si="22"/>
        <v>3.716666666666665</v>
      </c>
      <c r="AD73" s="183"/>
    </row>
    <row r="74" spans="1:30">
      <c r="A74" s="86" t="s">
        <v>353</v>
      </c>
      <c r="B74" s="86" t="s">
        <v>271</v>
      </c>
      <c r="C74" s="86" t="s">
        <v>908</v>
      </c>
      <c r="D74" s="87">
        <v>10</v>
      </c>
      <c r="E74" s="87" t="s">
        <v>2</v>
      </c>
      <c r="F74" s="34">
        <f>VLOOKUP(B74,Pallets!B:F,5,FALSE)</f>
        <v>24</v>
      </c>
      <c r="G74" s="57">
        <v>11.96</v>
      </c>
      <c r="H74" s="57">
        <f t="shared" si="32"/>
        <v>119.60000000000001</v>
      </c>
      <c r="I74" s="42">
        <f t="shared" si="33"/>
        <v>19.933333333333337</v>
      </c>
      <c r="J74" s="27">
        <f t="shared" si="34"/>
        <v>199.33333333333337</v>
      </c>
      <c r="K74" s="41">
        <f t="shared" si="35"/>
        <v>0.40000000000000008</v>
      </c>
      <c r="L74" s="47">
        <f t="shared" si="36"/>
        <v>18.400000000000002</v>
      </c>
      <c r="M74" s="28">
        <f t="shared" si="37"/>
        <v>184.00000000000003</v>
      </c>
      <c r="N74" s="48">
        <f t="shared" si="38"/>
        <v>0.35000000000000003</v>
      </c>
      <c r="O74" s="71">
        <f t="shared" si="39"/>
        <v>17.085714285714289</v>
      </c>
      <c r="P74" s="71">
        <f t="shared" si="40"/>
        <v>170.85714285714289</v>
      </c>
      <c r="Q74" s="37">
        <f t="shared" si="41"/>
        <v>0.3000000000000001</v>
      </c>
      <c r="R74" s="35" t="s">
        <v>3</v>
      </c>
      <c r="S74" s="35" t="s">
        <v>3</v>
      </c>
      <c r="T74" s="77"/>
      <c r="U74" s="77"/>
      <c r="V74" s="77"/>
      <c r="W74" s="77"/>
      <c r="X74" s="82">
        <v>153153</v>
      </c>
      <c r="Z74" s="77" t="s">
        <v>417</v>
      </c>
      <c r="AA74" s="77">
        <f>VLOOKUP(Z74,'CFN HPV'!A:L,12,FALSE)</f>
        <v>29.96</v>
      </c>
      <c r="AB74" s="145">
        <f t="shared" si="21"/>
        <v>19.933333333333337</v>
      </c>
      <c r="AC74" s="77">
        <f t="shared" si="22"/>
        <v>-10.026666666666664</v>
      </c>
      <c r="AD74" s="183"/>
    </row>
    <row r="75" spans="1:30">
      <c r="A75" s="86" t="s">
        <v>353</v>
      </c>
      <c r="B75" s="86" t="s">
        <v>275</v>
      </c>
      <c r="C75" s="86" t="s">
        <v>276</v>
      </c>
      <c r="D75" s="87">
        <v>10</v>
      </c>
      <c r="E75" s="87" t="s">
        <v>2</v>
      </c>
      <c r="F75" s="34">
        <f>VLOOKUP(B75,Pallets!B:F,5,FALSE)</f>
        <v>24</v>
      </c>
      <c r="G75" s="57">
        <v>12.8</v>
      </c>
      <c r="H75" s="57">
        <f t="shared" si="32"/>
        <v>128</v>
      </c>
      <c r="I75" s="42">
        <f t="shared" si="33"/>
        <v>21.333333333333336</v>
      </c>
      <c r="J75" s="27">
        <f t="shared" si="34"/>
        <v>213.33333333333337</v>
      </c>
      <c r="K75" s="41">
        <f t="shared" si="35"/>
        <v>0.4</v>
      </c>
      <c r="L75" s="47">
        <f t="shared" si="36"/>
        <v>19.692307692307693</v>
      </c>
      <c r="M75" s="28">
        <f t="shared" si="37"/>
        <v>196.92307692307693</v>
      </c>
      <c r="N75" s="48">
        <f t="shared" si="38"/>
        <v>0.35</v>
      </c>
      <c r="O75" s="71">
        <f t="shared" si="39"/>
        <v>18.285714285714288</v>
      </c>
      <c r="P75" s="71">
        <f t="shared" si="40"/>
        <v>182.85714285714289</v>
      </c>
      <c r="Q75" s="37">
        <f t="shared" si="41"/>
        <v>0.30000000000000004</v>
      </c>
      <c r="R75" s="51">
        <v>232.96</v>
      </c>
      <c r="S75" s="51">
        <v>213.76</v>
      </c>
      <c r="T75" s="77"/>
      <c r="U75" s="77"/>
      <c r="V75" s="77"/>
      <c r="W75" s="77"/>
      <c r="X75" s="82">
        <v>153153</v>
      </c>
      <c r="Z75" s="77" t="s">
        <v>419</v>
      </c>
      <c r="AA75" s="77">
        <f>VLOOKUP(Z75,'CFN HPV'!A:L,12,FALSE)</f>
        <v>31.94</v>
      </c>
      <c r="AB75" s="145">
        <f t="shared" si="21"/>
        <v>21.333333333333336</v>
      </c>
      <c r="AC75" s="77">
        <f t="shared" si="22"/>
        <v>-10.606666666666666</v>
      </c>
      <c r="AD75" s="183"/>
    </row>
    <row r="76" spans="1:30">
      <c r="A76" s="86" t="s">
        <v>353</v>
      </c>
      <c r="B76" s="86" t="s">
        <v>277</v>
      </c>
      <c r="C76" s="86" t="s">
        <v>278</v>
      </c>
      <c r="D76" s="87">
        <v>40</v>
      </c>
      <c r="E76" s="87" t="s">
        <v>2</v>
      </c>
      <c r="F76" s="34">
        <f>VLOOKUP(B76,Pallets!B:F,5,FALSE)</f>
        <v>24</v>
      </c>
      <c r="G76" s="57">
        <v>2.4500000000000002</v>
      </c>
      <c r="H76" s="57">
        <f t="shared" si="32"/>
        <v>98</v>
      </c>
      <c r="I76" s="42">
        <f t="shared" si="33"/>
        <v>4.0833333333333339</v>
      </c>
      <c r="J76" s="65">
        <f t="shared" si="34"/>
        <v>163.33333333333337</v>
      </c>
      <c r="K76" s="41">
        <f t="shared" si="35"/>
        <v>0.4</v>
      </c>
      <c r="L76" s="47">
        <f t="shared" si="36"/>
        <v>3.7692307692307692</v>
      </c>
      <c r="M76" s="68">
        <f t="shared" si="37"/>
        <v>150.76923076923077</v>
      </c>
      <c r="N76" s="48">
        <f t="shared" si="38"/>
        <v>0.34999999999999992</v>
      </c>
      <c r="O76" s="71">
        <f t="shared" si="39"/>
        <v>3.5000000000000004</v>
      </c>
      <c r="P76" s="71">
        <f t="shared" si="40"/>
        <v>140.00000000000003</v>
      </c>
      <c r="Q76" s="37">
        <f t="shared" si="41"/>
        <v>0.30000000000000004</v>
      </c>
      <c r="R76" s="35" t="s">
        <v>3</v>
      </c>
      <c r="S76" s="35" t="s">
        <v>3</v>
      </c>
      <c r="T76" s="77"/>
      <c r="U76" s="77"/>
      <c r="V76" s="77"/>
      <c r="W76" s="77"/>
      <c r="X76" s="82">
        <v>153153</v>
      </c>
      <c r="Z76" s="77" t="s">
        <v>401</v>
      </c>
      <c r="AA76" s="77">
        <f>VLOOKUP(Z76,'CFN HPV'!A:L,12,FALSE)</f>
        <v>4.53</v>
      </c>
      <c r="AB76" s="145">
        <f t="shared" si="21"/>
        <v>4.0833333333333339</v>
      </c>
      <c r="AC76" s="77">
        <f t="shared" si="22"/>
        <v>-0.44666666666666632</v>
      </c>
      <c r="AD76" s="183"/>
    </row>
    <row r="77" spans="1:30">
      <c r="A77" s="33" t="s">
        <v>353</v>
      </c>
      <c r="B77" s="33" t="s">
        <v>283</v>
      </c>
      <c r="C77" s="33" t="s">
        <v>284</v>
      </c>
      <c r="D77" s="34">
        <v>20</v>
      </c>
      <c r="E77" s="34" t="s">
        <v>2</v>
      </c>
      <c r="F77" s="34">
        <v>24</v>
      </c>
      <c r="G77" s="57">
        <v>5.35</v>
      </c>
      <c r="H77" s="57">
        <f t="shared" si="32"/>
        <v>107</v>
      </c>
      <c r="I77" s="42">
        <f t="shared" si="33"/>
        <v>8.9166666666666661</v>
      </c>
      <c r="J77" s="27">
        <f t="shared" si="34"/>
        <v>178.33333333333331</v>
      </c>
      <c r="K77" s="41">
        <f t="shared" si="35"/>
        <v>0.4</v>
      </c>
      <c r="L77" s="47">
        <f t="shared" si="36"/>
        <v>8.2307692307692299</v>
      </c>
      <c r="M77" s="28">
        <f t="shared" si="37"/>
        <v>164.61538461538458</v>
      </c>
      <c r="N77" s="48">
        <f t="shared" si="38"/>
        <v>0.35</v>
      </c>
      <c r="O77" s="71">
        <f t="shared" si="39"/>
        <v>7.6428571428571432</v>
      </c>
      <c r="P77" s="71">
        <f t="shared" si="40"/>
        <v>152.85714285714286</v>
      </c>
      <c r="Q77" s="37">
        <f t="shared" si="41"/>
        <v>0.3000000000000001</v>
      </c>
      <c r="R77" s="51">
        <f>J77</f>
        <v>178.33333333333331</v>
      </c>
      <c r="S77" s="51">
        <f>M77</f>
        <v>164.61538461538458</v>
      </c>
      <c r="T77" s="77"/>
      <c r="U77" s="77"/>
      <c r="V77" s="77"/>
      <c r="W77" s="77"/>
      <c r="X77" s="82">
        <v>153153</v>
      </c>
      <c r="Z77" s="34" t="s">
        <v>423</v>
      </c>
      <c r="AA77" s="77">
        <f>VLOOKUP(Z77,'CFN HPV'!A:L,12,FALSE)</f>
        <v>9.68</v>
      </c>
      <c r="AB77" s="145">
        <f t="shared" si="21"/>
        <v>8.9166666666666661</v>
      </c>
      <c r="AC77" s="77">
        <f t="shared" si="22"/>
        <v>-0.76333333333333364</v>
      </c>
      <c r="AD77" s="183"/>
    </row>
    <row r="78" spans="1:30">
      <c r="A78" s="86" t="s">
        <v>353</v>
      </c>
      <c r="B78" s="86" t="s">
        <v>285</v>
      </c>
      <c r="C78" s="86" t="s">
        <v>286</v>
      </c>
      <c r="D78" s="87">
        <v>20</v>
      </c>
      <c r="E78" s="87" t="s">
        <v>2</v>
      </c>
      <c r="F78" s="34">
        <v>24</v>
      </c>
      <c r="G78" s="57">
        <v>5.35</v>
      </c>
      <c r="H78" s="57">
        <f t="shared" si="32"/>
        <v>107</v>
      </c>
      <c r="I78" s="65">
        <f t="shared" si="33"/>
        <v>8.9166666666666661</v>
      </c>
      <c r="J78" s="27">
        <f t="shared" si="34"/>
        <v>178.33333333333331</v>
      </c>
      <c r="K78" s="41">
        <f t="shared" si="35"/>
        <v>0.4</v>
      </c>
      <c r="L78" s="68">
        <f t="shared" si="36"/>
        <v>8.2307692307692299</v>
      </c>
      <c r="M78" s="28">
        <f t="shared" si="37"/>
        <v>164.61538461538458</v>
      </c>
      <c r="N78" s="48">
        <f t="shared" si="38"/>
        <v>0.35</v>
      </c>
      <c r="O78" s="71">
        <f t="shared" si="39"/>
        <v>7.6428571428571432</v>
      </c>
      <c r="P78" s="71">
        <f t="shared" si="40"/>
        <v>152.85714285714286</v>
      </c>
      <c r="Q78" s="37">
        <f t="shared" si="41"/>
        <v>0.3000000000000001</v>
      </c>
      <c r="R78" s="35" t="s">
        <v>3</v>
      </c>
      <c r="S78" s="77"/>
      <c r="T78" s="77"/>
      <c r="U78" s="77"/>
      <c r="V78" s="77"/>
      <c r="W78" s="82"/>
      <c r="X78" s="82">
        <v>153153</v>
      </c>
      <c r="Y78" s="183"/>
      <c r="Z78" s="82"/>
      <c r="AA78" s="33"/>
      <c r="AB78" s="164"/>
      <c r="AC78" s="33"/>
      <c r="AD78" s="10"/>
    </row>
    <row r="79" spans="1:30">
      <c r="A79" s="86" t="s">
        <v>353</v>
      </c>
      <c r="B79" s="86" t="s">
        <v>287</v>
      </c>
      <c r="C79" s="86" t="s">
        <v>288</v>
      </c>
      <c r="D79" s="87">
        <v>20</v>
      </c>
      <c r="E79" s="87" t="s">
        <v>2</v>
      </c>
      <c r="F79" s="34">
        <f>VLOOKUP(B79,Pallets!B:F,5,FALSE)</f>
        <v>48</v>
      </c>
      <c r="G79" s="57">
        <v>5.04</v>
      </c>
      <c r="H79" s="57">
        <f t="shared" si="32"/>
        <v>100.8</v>
      </c>
      <c r="I79" s="42">
        <f t="shared" si="33"/>
        <v>8.4</v>
      </c>
      <c r="J79" s="27">
        <f t="shared" si="34"/>
        <v>168</v>
      </c>
      <c r="K79" s="41">
        <f t="shared" si="35"/>
        <v>0.4</v>
      </c>
      <c r="L79" s="47">
        <f t="shared" si="36"/>
        <v>7.7538461538461538</v>
      </c>
      <c r="M79" s="28">
        <f t="shared" si="37"/>
        <v>155.07692307692307</v>
      </c>
      <c r="N79" s="48">
        <f t="shared" si="38"/>
        <v>0.35</v>
      </c>
      <c r="O79" s="71">
        <f t="shared" si="39"/>
        <v>7.2</v>
      </c>
      <c r="P79" s="71">
        <f t="shared" si="40"/>
        <v>144</v>
      </c>
      <c r="Q79" s="37">
        <f t="shared" si="41"/>
        <v>0.3</v>
      </c>
      <c r="R79" s="51">
        <v>183.46</v>
      </c>
      <c r="S79" s="51">
        <v>168.34</v>
      </c>
      <c r="T79" s="77"/>
      <c r="U79" s="77"/>
      <c r="V79" s="77"/>
      <c r="W79" s="77"/>
      <c r="X79" s="82">
        <v>153153</v>
      </c>
      <c r="Z79" s="77"/>
      <c r="AA79" s="77"/>
      <c r="AB79" s="145"/>
      <c r="AC79" s="77"/>
      <c r="AD79" s="183"/>
    </row>
    <row r="80" spans="1:30" ht="15.75" customHeight="1">
      <c r="A80" s="86" t="s">
        <v>353</v>
      </c>
      <c r="B80" s="86" t="s">
        <v>291</v>
      </c>
      <c r="C80" s="86" t="s">
        <v>292</v>
      </c>
      <c r="D80" s="87">
        <v>30</v>
      </c>
      <c r="E80" s="87" t="s">
        <v>2</v>
      </c>
      <c r="F80" s="34">
        <f>VLOOKUP(B80,Pallets!B:F,5,FALSE)</f>
        <v>52</v>
      </c>
      <c r="G80" s="57">
        <v>1.22</v>
      </c>
      <c r="H80" s="57">
        <f t="shared" si="32"/>
        <v>36.6</v>
      </c>
      <c r="I80" s="42">
        <f t="shared" si="33"/>
        <v>2.0333333333333332</v>
      </c>
      <c r="J80" s="27">
        <f t="shared" si="34"/>
        <v>61</v>
      </c>
      <c r="K80" s="41">
        <f t="shared" si="35"/>
        <v>0.39999999999999997</v>
      </c>
      <c r="L80" s="47">
        <f t="shared" si="36"/>
        <v>1.8769230769230769</v>
      </c>
      <c r="M80" s="28">
        <f t="shared" si="37"/>
        <v>56.307692307692307</v>
      </c>
      <c r="N80" s="48">
        <f t="shared" si="38"/>
        <v>0.35000000000000003</v>
      </c>
      <c r="O80" s="71">
        <f t="shared" si="39"/>
        <v>1.7428571428571429</v>
      </c>
      <c r="P80" s="71">
        <f t="shared" si="40"/>
        <v>52.285714285714285</v>
      </c>
      <c r="Q80" s="37">
        <f t="shared" si="41"/>
        <v>0.30000000000000004</v>
      </c>
      <c r="R80" s="51">
        <v>66.61</v>
      </c>
      <c r="S80" s="51">
        <v>61.12</v>
      </c>
      <c r="T80" s="77"/>
      <c r="U80" s="77"/>
      <c r="V80" s="77"/>
      <c r="W80" s="77"/>
      <c r="X80" s="82">
        <v>153153</v>
      </c>
      <c r="Z80" s="77" t="s">
        <v>394</v>
      </c>
      <c r="AA80" s="77">
        <f>VLOOKUP(Z80,'CFN HPV'!A:L,12,FALSE)</f>
        <v>1.99</v>
      </c>
      <c r="AB80" s="145">
        <f>I80</f>
        <v>2.0333333333333332</v>
      </c>
      <c r="AC80" s="77">
        <f>AB80-AA80</f>
        <v>4.3333333333333224E-2</v>
      </c>
      <c r="AD80" s="183"/>
    </row>
    <row r="81" spans="1:37" s="10" customFormat="1">
      <c r="A81" s="86" t="s">
        <v>353</v>
      </c>
      <c r="B81" s="86" t="s">
        <v>293</v>
      </c>
      <c r="C81" s="86" t="s">
        <v>294</v>
      </c>
      <c r="D81" s="87">
        <v>25</v>
      </c>
      <c r="E81" s="87" t="s">
        <v>2</v>
      </c>
      <c r="F81" s="34">
        <f>VLOOKUP(B81,Pallets!B:F,5,FALSE)</f>
        <v>52</v>
      </c>
      <c r="G81" s="57">
        <v>1.49</v>
      </c>
      <c r="H81" s="57">
        <f t="shared" si="32"/>
        <v>37.25</v>
      </c>
      <c r="I81" s="42">
        <f t="shared" si="33"/>
        <v>2.4833333333333334</v>
      </c>
      <c r="J81" s="27">
        <f t="shared" si="34"/>
        <v>62.083333333333336</v>
      </c>
      <c r="K81" s="41">
        <f t="shared" si="35"/>
        <v>0.4</v>
      </c>
      <c r="L81" s="47">
        <f t="shared" si="36"/>
        <v>2.2923076923076922</v>
      </c>
      <c r="M81" s="28">
        <f t="shared" si="37"/>
        <v>57.307692307692307</v>
      </c>
      <c r="N81" s="48">
        <f t="shared" si="38"/>
        <v>0.35</v>
      </c>
      <c r="O81" s="71">
        <f t="shared" si="39"/>
        <v>2.1285714285714286</v>
      </c>
      <c r="P81" s="71">
        <f t="shared" si="40"/>
        <v>53.214285714285715</v>
      </c>
      <c r="Q81" s="37">
        <f t="shared" si="41"/>
        <v>0.3</v>
      </c>
      <c r="R81" s="51">
        <v>67.8</v>
      </c>
      <c r="S81" s="51">
        <v>62.21</v>
      </c>
      <c r="T81" s="77"/>
      <c r="U81" s="77"/>
      <c r="V81" s="77"/>
      <c r="W81" s="77"/>
      <c r="X81" s="82">
        <v>153153</v>
      </c>
      <c r="Y81"/>
      <c r="Z81" s="77" t="s">
        <v>395</v>
      </c>
      <c r="AA81" s="77">
        <f>VLOOKUP(Z81,'CFN HPV'!A:L,12,FALSE)</f>
        <v>2.79</v>
      </c>
      <c r="AB81" s="145">
        <f>I81</f>
        <v>2.4833333333333334</v>
      </c>
      <c r="AC81" s="77">
        <f>AB81-AA81</f>
        <v>-0.30666666666666664</v>
      </c>
      <c r="AD81" s="183"/>
      <c r="AE81"/>
      <c r="AF81"/>
      <c r="AG81"/>
      <c r="AH81"/>
      <c r="AI81"/>
      <c r="AJ81"/>
      <c r="AK81"/>
    </row>
    <row r="82" spans="1:37">
      <c r="A82" s="86" t="s">
        <v>353</v>
      </c>
      <c r="B82" s="86" t="s">
        <v>295</v>
      </c>
      <c r="C82" s="86" t="s">
        <v>296</v>
      </c>
      <c r="D82" s="87">
        <v>25</v>
      </c>
      <c r="E82" s="87" t="s">
        <v>2</v>
      </c>
      <c r="F82" s="34">
        <v>42</v>
      </c>
      <c r="G82" s="57">
        <v>1.71</v>
      </c>
      <c r="H82" s="57">
        <f t="shared" si="32"/>
        <v>42.75</v>
      </c>
      <c r="I82" s="42">
        <f t="shared" si="33"/>
        <v>2.85</v>
      </c>
      <c r="J82" s="27">
        <f t="shared" si="34"/>
        <v>71.25</v>
      </c>
      <c r="K82" s="41">
        <f t="shared" si="35"/>
        <v>0.4</v>
      </c>
      <c r="L82" s="47">
        <f t="shared" si="36"/>
        <v>2.6307692307692307</v>
      </c>
      <c r="M82" s="28">
        <f t="shared" si="37"/>
        <v>65.769230769230774</v>
      </c>
      <c r="N82" s="48">
        <f t="shared" si="38"/>
        <v>0.35000000000000003</v>
      </c>
      <c r="O82" s="71">
        <f t="shared" si="39"/>
        <v>2.4428571428571431</v>
      </c>
      <c r="P82" s="71">
        <f t="shared" si="40"/>
        <v>61.071428571428577</v>
      </c>
      <c r="Q82" s="37">
        <f t="shared" si="41"/>
        <v>0.3000000000000001</v>
      </c>
      <c r="R82" s="51">
        <v>77.81</v>
      </c>
      <c r="S82" s="51">
        <v>71.39</v>
      </c>
      <c r="T82" s="77"/>
      <c r="U82" s="77"/>
      <c r="V82" s="77">
        <v>2.2799999999999998</v>
      </c>
      <c r="W82" s="77"/>
      <c r="X82" s="82">
        <v>153153</v>
      </c>
      <c r="Z82" s="77"/>
      <c r="AA82" s="77"/>
      <c r="AB82" s="145"/>
      <c r="AC82" s="77"/>
      <c r="AD82" s="183"/>
    </row>
    <row r="83" spans="1:37">
      <c r="A83" s="86" t="s">
        <v>353</v>
      </c>
      <c r="B83" s="86" t="s">
        <v>297</v>
      </c>
      <c r="C83" s="86" t="s">
        <v>298</v>
      </c>
      <c r="D83" s="87">
        <v>40</v>
      </c>
      <c r="E83" s="87" t="s">
        <v>2</v>
      </c>
      <c r="F83" s="34">
        <f>VLOOKUP(B83,Pallets!B:F,5,FALSE)</f>
        <v>30</v>
      </c>
      <c r="G83" s="57">
        <v>2.2000000000000002</v>
      </c>
      <c r="H83" s="57">
        <f t="shared" si="32"/>
        <v>88</v>
      </c>
      <c r="I83" s="42">
        <f t="shared" si="33"/>
        <v>3.666666666666667</v>
      </c>
      <c r="J83" s="27">
        <f t="shared" si="34"/>
        <v>146.66666666666669</v>
      </c>
      <c r="K83" s="41">
        <f t="shared" si="35"/>
        <v>0.4</v>
      </c>
      <c r="L83" s="47">
        <f t="shared" si="36"/>
        <v>3.3846153846153846</v>
      </c>
      <c r="M83" s="28">
        <f t="shared" si="37"/>
        <v>135.38461538461539</v>
      </c>
      <c r="N83" s="48">
        <f t="shared" si="38"/>
        <v>0.34999999999999992</v>
      </c>
      <c r="O83" s="71">
        <f t="shared" si="39"/>
        <v>3.1428571428571432</v>
      </c>
      <c r="P83" s="71">
        <f t="shared" si="40"/>
        <v>125.71428571428572</v>
      </c>
      <c r="Q83" s="37">
        <f t="shared" si="41"/>
        <v>0.30000000000000004</v>
      </c>
      <c r="R83" s="51">
        <v>80.08</v>
      </c>
      <c r="S83" s="51">
        <v>73.48</v>
      </c>
      <c r="T83" s="77"/>
      <c r="U83" s="77"/>
      <c r="V83" s="77"/>
      <c r="W83" s="77"/>
      <c r="X83" s="82">
        <v>153153</v>
      </c>
      <c r="Z83" s="77" t="s">
        <v>396</v>
      </c>
      <c r="AA83" s="77">
        <f>VLOOKUP(Z83,'CFN HPV'!A:L,12,FALSE)</f>
        <v>3.2</v>
      </c>
      <c r="AB83" s="145">
        <f t="shared" ref="AB83:AB97" si="42">I83</f>
        <v>3.666666666666667</v>
      </c>
      <c r="AC83" s="77">
        <f t="shared" ref="AC83:AC97" si="43">AB83-AA83</f>
        <v>0.46666666666666679</v>
      </c>
      <c r="AD83" s="183"/>
    </row>
    <row r="84" spans="1:37">
      <c r="A84" s="86" t="s">
        <v>353</v>
      </c>
      <c r="B84" s="86" t="s">
        <v>299</v>
      </c>
      <c r="C84" s="86" t="s">
        <v>300</v>
      </c>
      <c r="D84" s="87">
        <v>38</v>
      </c>
      <c r="E84" s="87" t="s">
        <v>2</v>
      </c>
      <c r="F84" s="34">
        <f>VLOOKUP(B84,Pallets!B:F,5,FALSE)</f>
        <v>30</v>
      </c>
      <c r="G84" s="57">
        <v>2.6</v>
      </c>
      <c r="H84" s="57">
        <f t="shared" si="32"/>
        <v>98.8</v>
      </c>
      <c r="I84" s="42">
        <f t="shared" si="33"/>
        <v>4.3333333333333339</v>
      </c>
      <c r="J84" s="27">
        <f t="shared" si="34"/>
        <v>164.66666666666669</v>
      </c>
      <c r="K84" s="41">
        <f t="shared" si="35"/>
        <v>0.40000000000000008</v>
      </c>
      <c r="L84" s="47">
        <f t="shared" si="36"/>
        <v>4</v>
      </c>
      <c r="M84" s="28">
        <f t="shared" si="37"/>
        <v>152</v>
      </c>
      <c r="N84" s="48">
        <f t="shared" si="38"/>
        <v>0.35</v>
      </c>
      <c r="O84" s="71">
        <f t="shared" si="39"/>
        <v>3.7142857142857149</v>
      </c>
      <c r="P84" s="71">
        <f t="shared" si="40"/>
        <v>141.14285714285717</v>
      </c>
      <c r="Q84" s="37">
        <f t="shared" si="41"/>
        <v>0.3000000000000001</v>
      </c>
      <c r="R84" s="51">
        <v>94.64</v>
      </c>
      <c r="S84" s="51">
        <v>86.84</v>
      </c>
      <c r="T84" s="77"/>
      <c r="U84" s="77"/>
      <c r="V84" s="77">
        <v>3.7</v>
      </c>
      <c r="W84" s="77"/>
      <c r="X84" s="82">
        <v>153153</v>
      </c>
      <c r="Z84" s="77" t="s">
        <v>397</v>
      </c>
      <c r="AA84" s="77">
        <f>VLOOKUP(Z84,'CFN HPV'!A:L,12,FALSE)</f>
        <v>3.86</v>
      </c>
      <c r="AB84" s="145">
        <f t="shared" si="42"/>
        <v>4.3333333333333339</v>
      </c>
      <c r="AC84" s="77">
        <f t="shared" si="43"/>
        <v>0.47333333333333405</v>
      </c>
      <c r="AD84" s="183"/>
    </row>
    <row r="85" spans="1:37">
      <c r="A85" s="86" t="s">
        <v>353</v>
      </c>
      <c r="B85" s="86" t="s">
        <v>305</v>
      </c>
      <c r="C85" s="86" t="s">
        <v>306</v>
      </c>
      <c r="D85" s="87">
        <v>32</v>
      </c>
      <c r="E85" s="87" t="s">
        <v>2</v>
      </c>
      <c r="F85" s="34">
        <f>VLOOKUP(B85,Pallets!B:F,5,FALSE)</f>
        <v>30</v>
      </c>
      <c r="G85" s="57">
        <v>2.98</v>
      </c>
      <c r="H85" s="57">
        <f t="shared" si="32"/>
        <v>95.36</v>
      </c>
      <c r="I85" s="42">
        <f t="shared" si="33"/>
        <v>4.9666666666666668</v>
      </c>
      <c r="J85" s="27">
        <f t="shared" si="34"/>
        <v>158.93333333333334</v>
      </c>
      <c r="K85" s="41">
        <f t="shared" si="35"/>
        <v>0.4</v>
      </c>
      <c r="L85" s="47">
        <f t="shared" si="36"/>
        <v>4.5846153846153843</v>
      </c>
      <c r="M85" s="28">
        <f t="shared" si="37"/>
        <v>146.7076923076923</v>
      </c>
      <c r="N85" s="48">
        <f t="shared" si="38"/>
        <v>0.35</v>
      </c>
      <c r="O85" s="71">
        <f t="shared" si="39"/>
        <v>4.2571428571428571</v>
      </c>
      <c r="P85" s="71">
        <f t="shared" si="40"/>
        <v>136.22857142857143</v>
      </c>
      <c r="Q85" s="37">
        <f t="shared" si="41"/>
        <v>0.3</v>
      </c>
      <c r="R85" s="51">
        <f>J85</f>
        <v>158.93333333333334</v>
      </c>
      <c r="S85" s="51">
        <f>M85</f>
        <v>146.7076923076923</v>
      </c>
      <c r="T85" s="77"/>
      <c r="U85" s="77"/>
      <c r="V85" s="77"/>
      <c r="W85" s="77"/>
      <c r="X85" s="82">
        <v>153153</v>
      </c>
      <c r="Z85" s="77" t="s">
        <v>398</v>
      </c>
      <c r="AA85" s="77">
        <f>VLOOKUP(Z85,'CFN HPV'!A:L,12,FALSE)</f>
        <v>5.64</v>
      </c>
      <c r="AB85" s="145">
        <f t="shared" si="42"/>
        <v>4.9666666666666668</v>
      </c>
      <c r="AC85" s="77">
        <f t="shared" si="43"/>
        <v>-0.6733333333333329</v>
      </c>
      <c r="AD85" s="183"/>
    </row>
    <row r="86" spans="1:37">
      <c r="A86" s="86" t="s">
        <v>353</v>
      </c>
      <c r="B86" s="86" t="s">
        <v>307</v>
      </c>
      <c r="C86" s="86" t="s">
        <v>308</v>
      </c>
      <c r="D86" s="87">
        <v>22</v>
      </c>
      <c r="E86" s="87" t="s">
        <v>2</v>
      </c>
      <c r="F86" s="34">
        <f>VLOOKUP(B86,Pallets!B:F,5,FALSE)</f>
        <v>30</v>
      </c>
      <c r="G86" s="57">
        <v>3.87</v>
      </c>
      <c r="H86" s="57">
        <f t="shared" si="32"/>
        <v>85.14</v>
      </c>
      <c r="I86" s="42">
        <f t="shared" si="33"/>
        <v>6.45</v>
      </c>
      <c r="J86" s="27">
        <f t="shared" si="34"/>
        <v>141.9</v>
      </c>
      <c r="K86" s="41">
        <f t="shared" si="35"/>
        <v>0.4</v>
      </c>
      <c r="L86" s="47">
        <f t="shared" si="36"/>
        <v>5.953846153846154</v>
      </c>
      <c r="M86" s="28">
        <f t="shared" si="37"/>
        <v>130.98461538461538</v>
      </c>
      <c r="N86" s="48">
        <f t="shared" si="38"/>
        <v>0.35</v>
      </c>
      <c r="O86" s="71">
        <f t="shared" si="39"/>
        <v>5.5285714285714294</v>
      </c>
      <c r="P86" s="71">
        <f t="shared" si="40"/>
        <v>121.62857142857145</v>
      </c>
      <c r="Q86" s="37">
        <f t="shared" si="41"/>
        <v>0.3000000000000001</v>
      </c>
      <c r="R86" s="35" t="s">
        <v>3</v>
      </c>
      <c r="S86" s="35" t="s">
        <v>3</v>
      </c>
      <c r="T86" s="77"/>
      <c r="U86" s="77"/>
      <c r="V86" s="77"/>
      <c r="W86" s="77"/>
      <c r="X86" s="82">
        <v>153153</v>
      </c>
      <c r="Z86" s="77" t="s">
        <v>399</v>
      </c>
      <c r="AA86" s="77">
        <f>VLOOKUP(Z86,'CFN HPV'!A:L,12,FALSE)</f>
        <v>6.5</v>
      </c>
      <c r="AB86" s="145">
        <f t="shared" si="42"/>
        <v>6.45</v>
      </c>
      <c r="AC86" s="77">
        <f t="shared" si="43"/>
        <v>-4.9999999999999822E-2</v>
      </c>
      <c r="AD86" s="183"/>
    </row>
    <row r="87" spans="1:37">
      <c r="A87" s="86" t="s">
        <v>353</v>
      </c>
      <c r="B87" s="86" t="s">
        <v>309</v>
      </c>
      <c r="C87" s="86" t="s">
        <v>310</v>
      </c>
      <c r="D87" s="87">
        <v>40</v>
      </c>
      <c r="E87" s="87" t="s">
        <v>2</v>
      </c>
      <c r="F87" s="34">
        <f>VLOOKUP(B87,Pallets!B:F,5,FALSE)</f>
        <v>24</v>
      </c>
      <c r="G87" s="57"/>
      <c r="H87" s="57">
        <f t="shared" si="32"/>
        <v>0</v>
      </c>
      <c r="I87" s="42"/>
      <c r="J87" s="65"/>
      <c r="K87" s="41"/>
      <c r="L87" s="47"/>
      <c r="M87" s="68"/>
      <c r="N87" s="48"/>
      <c r="O87" s="71"/>
      <c r="P87" s="71"/>
      <c r="Q87" s="36"/>
      <c r="R87" s="35" t="s">
        <v>3</v>
      </c>
      <c r="S87" s="35" t="s">
        <v>3</v>
      </c>
      <c r="T87" s="77"/>
      <c r="U87" s="77"/>
      <c r="V87" s="77"/>
      <c r="W87" s="77"/>
      <c r="X87" s="82">
        <v>153153</v>
      </c>
      <c r="Z87" s="77" t="s">
        <v>420</v>
      </c>
      <c r="AA87" s="77">
        <f>VLOOKUP(Z87,'CFN HPV'!A:L,12,FALSE)</f>
        <v>3.73</v>
      </c>
      <c r="AB87" s="145">
        <f t="shared" si="42"/>
        <v>0</v>
      </c>
      <c r="AC87" s="77">
        <f t="shared" si="43"/>
        <v>-3.73</v>
      </c>
      <c r="AD87" s="183"/>
    </row>
    <row r="88" spans="1:37">
      <c r="A88" s="86" t="s">
        <v>353</v>
      </c>
      <c r="B88" s="86" t="s">
        <v>313</v>
      </c>
      <c r="C88" s="86" t="s">
        <v>314</v>
      </c>
      <c r="D88" s="87">
        <v>20</v>
      </c>
      <c r="E88" s="87" t="s">
        <v>2</v>
      </c>
      <c r="F88" s="34">
        <f>VLOOKUP(B88,Pallets!B:F,5,FALSE)</f>
        <v>40</v>
      </c>
      <c r="G88" s="57"/>
      <c r="H88" s="57">
        <f t="shared" si="32"/>
        <v>0</v>
      </c>
      <c r="I88" s="42"/>
      <c r="J88" s="65"/>
      <c r="K88" s="41"/>
      <c r="L88" s="47"/>
      <c r="M88" s="68"/>
      <c r="N88" s="48"/>
      <c r="O88" s="71"/>
      <c r="P88" s="71"/>
      <c r="Q88" s="36"/>
      <c r="R88" s="35" t="s">
        <v>3</v>
      </c>
      <c r="S88" s="35" t="s">
        <v>3</v>
      </c>
      <c r="T88" s="77"/>
      <c r="U88" s="77"/>
      <c r="V88" s="77"/>
      <c r="W88" s="77"/>
      <c r="X88" s="82">
        <v>153153</v>
      </c>
      <c r="Y88" s="10"/>
      <c r="Z88" s="77" t="s">
        <v>421</v>
      </c>
      <c r="AA88" s="77">
        <f>VLOOKUP(Z88,'CFN HPV'!A:L,12,FALSE)</f>
        <v>3.67</v>
      </c>
      <c r="AB88" s="145">
        <f t="shared" si="42"/>
        <v>0</v>
      </c>
      <c r="AC88" s="77">
        <f t="shared" si="43"/>
        <v>-3.67</v>
      </c>
      <c r="AD88" s="183"/>
      <c r="AE88" s="10"/>
      <c r="AF88" s="10"/>
      <c r="AG88" s="10"/>
      <c r="AH88" s="10"/>
      <c r="AI88" s="10"/>
      <c r="AJ88" s="10"/>
      <c r="AK88" s="10"/>
    </row>
    <row r="89" spans="1:37">
      <c r="A89" s="86" t="s">
        <v>353</v>
      </c>
      <c r="B89" s="86" t="s">
        <v>315</v>
      </c>
      <c r="C89" s="86" t="s">
        <v>316</v>
      </c>
      <c r="D89" s="87">
        <v>8</v>
      </c>
      <c r="E89" s="87" t="s">
        <v>2</v>
      </c>
      <c r="F89" s="34">
        <f>VLOOKUP(B89,Pallets!B:F,5,FALSE)</f>
        <v>24</v>
      </c>
      <c r="G89" s="57">
        <v>23.09</v>
      </c>
      <c r="H89" s="57">
        <f t="shared" si="32"/>
        <v>184.72</v>
      </c>
      <c r="I89" s="42">
        <f t="shared" ref="I89:I99" si="44">G89/(1-0.4)</f>
        <v>38.483333333333334</v>
      </c>
      <c r="J89" s="27">
        <f t="shared" ref="J89:J101" si="45">D89*I89</f>
        <v>307.86666666666667</v>
      </c>
      <c r="K89" s="41">
        <f t="shared" ref="K89:K120" si="46">(I89-G89)/I89</f>
        <v>0.4</v>
      </c>
      <c r="L89" s="47">
        <f t="shared" ref="L89:L97" si="47">G89/(1-0.35)</f>
        <v>35.523076923076921</v>
      </c>
      <c r="M89" s="28">
        <f t="shared" ref="M89:M97" si="48">D89*L89</f>
        <v>284.18461538461537</v>
      </c>
      <c r="N89" s="48">
        <f t="shared" ref="N89:N97" si="49">(L89-G89)/L89</f>
        <v>0.35</v>
      </c>
      <c r="O89" s="71">
        <f t="shared" ref="O89:O97" si="50">G89/(1-0.3)</f>
        <v>32.985714285714288</v>
      </c>
      <c r="P89" s="71">
        <f t="shared" ref="P89:P97" si="51">D89*O89</f>
        <v>263.8857142857143</v>
      </c>
      <c r="Q89" s="37">
        <f t="shared" ref="Q89:Q97" si="52">(O89-G89)/O89</f>
        <v>0.30000000000000004</v>
      </c>
      <c r="R89" s="51">
        <v>336.19</v>
      </c>
      <c r="S89" s="51">
        <v>308.48</v>
      </c>
      <c r="T89" s="77">
        <v>43.76</v>
      </c>
      <c r="U89" s="77"/>
      <c r="V89" s="77"/>
      <c r="W89" s="77"/>
      <c r="X89" s="82">
        <v>153153</v>
      </c>
      <c r="Z89" s="77" t="s">
        <v>414</v>
      </c>
      <c r="AA89" s="77">
        <f>VLOOKUP(Z89,'CFN HPV'!A:L,12,FALSE)</f>
        <v>17.5</v>
      </c>
      <c r="AB89" s="145">
        <f t="shared" si="42"/>
        <v>38.483333333333334</v>
      </c>
      <c r="AC89" s="77">
        <f t="shared" si="43"/>
        <v>20.983333333333334</v>
      </c>
      <c r="AD89" s="183"/>
    </row>
    <row r="90" spans="1:37">
      <c r="A90" s="86" t="s">
        <v>353</v>
      </c>
      <c r="B90" s="86" t="s">
        <v>318</v>
      </c>
      <c r="C90" s="86" t="s">
        <v>319</v>
      </c>
      <c r="D90" s="87">
        <v>15</v>
      </c>
      <c r="E90" s="87" t="s">
        <v>2</v>
      </c>
      <c r="F90" s="34">
        <f>VLOOKUP(B90,Pallets!B:F,5,FALSE)</f>
        <v>24</v>
      </c>
      <c r="G90" s="57">
        <v>5.5</v>
      </c>
      <c r="H90" s="57">
        <f t="shared" si="32"/>
        <v>82.5</v>
      </c>
      <c r="I90" s="42">
        <f t="shared" si="44"/>
        <v>9.1666666666666679</v>
      </c>
      <c r="J90" s="27">
        <f t="shared" si="45"/>
        <v>137.50000000000003</v>
      </c>
      <c r="K90" s="41">
        <f t="shared" si="46"/>
        <v>0.40000000000000008</v>
      </c>
      <c r="L90" s="47">
        <f t="shared" si="47"/>
        <v>8.4615384615384617</v>
      </c>
      <c r="M90" s="28">
        <f t="shared" si="48"/>
        <v>126.92307692307692</v>
      </c>
      <c r="N90" s="48">
        <f t="shared" si="49"/>
        <v>0.35000000000000003</v>
      </c>
      <c r="O90" s="71">
        <f t="shared" si="50"/>
        <v>7.8571428571428577</v>
      </c>
      <c r="P90" s="71">
        <f t="shared" si="51"/>
        <v>117.85714285714286</v>
      </c>
      <c r="Q90" s="37">
        <f t="shared" si="52"/>
        <v>0.30000000000000004</v>
      </c>
      <c r="R90" s="35" t="s">
        <v>3</v>
      </c>
      <c r="S90" s="35" t="s">
        <v>3</v>
      </c>
      <c r="T90" s="77"/>
      <c r="U90" s="77"/>
      <c r="V90" s="77"/>
      <c r="W90" s="77"/>
      <c r="X90" s="82">
        <v>153153</v>
      </c>
      <c r="Z90" s="135">
        <v>9154</v>
      </c>
      <c r="AA90" s="77">
        <v>12.35</v>
      </c>
      <c r="AB90" s="145">
        <f t="shared" si="42"/>
        <v>9.1666666666666679</v>
      </c>
      <c r="AC90" s="77">
        <f t="shared" si="43"/>
        <v>-3.1833333333333318</v>
      </c>
      <c r="AD90" s="183"/>
    </row>
    <row r="91" spans="1:37">
      <c r="A91" s="86" t="s">
        <v>353</v>
      </c>
      <c r="B91" s="86" t="s">
        <v>909</v>
      </c>
      <c r="C91" s="86" t="s">
        <v>910</v>
      </c>
      <c r="D91" s="87">
        <v>10</v>
      </c>
      <c r="E91" s="87" t="s">
        <v>2</v>
      </c>
      <c r="F91" s="34">
        <v>24</v>
      </c>
      <c r="G91" s="57">
        <v>12.8</v>
      </c>
      <c r="H91" s="57">
        <f t="shared" si="32"/>
        <v>128</v>
      </c>
      <c r="I91" s="42">
        <f t="shared" si="44"/>
        <v>21.333333333333336</v>
      </c>
      <c r="J91" s="27">
        <f t="shared" si="45"/>
        <v>213.33333333333337</v>
      </c>
      <c r="K91" s="41">
        <f t="shared" si="46"/>
        <v>0.4</v>
      </c>
      <c r="L91" s="47">
        <f t="shared" si="47"/>
        <v>19.692307692307693</v>
      </c>
      <c r="M91" s="28">
        <f t="shared" si="48"/>
        <v>196.92307692307693</v>
      </c>
      <c r="N91" s="48">
        <f t="shared" si="49"/>
        <v>0.35</v>
      </c>
      <c r="O91" s="71">
        <f t="shared" si="50"/>
        <v>18.285714285714288</v>
      </c>
      <c r="P91" s="71">
        <f t="shared" si="51"/>
        <v>182.85714285714289</v>
      </c>
      <c r="Q91" s="37">
        <f t="shared" si="52"/>
        <v>0.30000000000000004</v>
      </c>
      <c r="R91" s="35" t="s">
        <v>3</v>
      </c>
      <c r="S91" s="35" t="s">
        <v>3</v>
      </c>
      <c r="T91" s="77"/>
      <c r="U91" s="77"/>
      <c r="V91" s="77"/>
      <c r="W91" s="77"/>
      <c r="X91" s="82">
        <v>153153</v>
      </c>
      <c r="Z91" s="77" t="s">
        <v>632</v>
      </c>
      <c r="AA91" s="77">
        <v>13.35</v>
      </c>
      <c r="AB91" s="145">
        <f t="shared" si="42"/>
        <v>21.333333333333336</v>
      </c>
      <c r="AC91" s="77">
        <f t="shared" si="43"/>
        <v>7.9833333333333361</v>
      </c>
      <c r="AD91" s="183"/>
    </row>
    <row r="92" spans="1:37">
      <c r="A92" s="86" t="s">
        <v>353</v>
      </c>
      <c r="B92" s="86" t="s">
        <v>322</v>
      </c>
      <c r="C92" s="86" t="s">
        <v>323</v>
      </c>
      <c r="D92" s="87">
        <v>15</v>
      </c>
      <c r="E92" s="87" t="s">
        <v>2</v>
      </c>
      <c r="F92" s="34">
        <f>VLOOKUP(B92,Pallets!B:F,5,FALSE)</f>
        <v>32</v>
      </c>
      <c r="G92" s="159">
        <v>9.56</v>
      </c>
      <c r="H92" s="57">
        <f t="shared" si="32"/>
        <v>143.4</v>
      </c>
      <c r="I92" s="42">
        <f t="shared" si="44"/>
        <v>15.933333333333335</v>
      </c>
      <c r="J92" s="27">
        <f t="shared" si="45"/>
        <v>239.00000000000003</v>
      </c>
      <c r="K92" s="41">
        <f t="shared" si="46"/>
        <v>0.4</v>
      </c>
      <c r="L92" s="47">
        <f t="shared" si="47"/>
        <v>14.707692307692309</v>
      </c>
      <c r="M92" s="28">
        <f t="shared" si="48"/>
        <v>220.61538461538464</v>
      </c>
      <c r="N92" s="48">
        <f t="shared" si="49"/>
        <v>0.35000000000000003</v>
      </c>
      <c r="O92" s="71">
        <f t="shared" si="50"/>
        <v>13.657142857142858</v>
      </c>
      <c r="P92" s="71">
        <f t="shared" si="51"/>
        <v>204.85714285714289</v>
      </c>
      <c r="Q92" s="37">
        <f t="shared" si="52"/>
        <v>0.30000000000000004</v>
      </c>
      <c r="R92" s="35" t="s">
        <v>3</v>
      </c>
      <c r="S92" s="35" t="s">
        <v>3</v>
      </c>
      <c r="T92" s="77"/>
      <c r="U92" s="77"/>
      <c r="V92" s="77"/>
      <c r="W92" s="77"/>
      <c r="X92" s="82">
        <v>153153</v>
      </c>
      <c r="Y92" s="10"/>
      <c r="Z92" s="77" t="s">
        <v>400</v>
      </c>
      <c r="AA92" s="77">
        <f>VLOOKUP(Z92,'CFN HPV'!A:L,12,FALSE)</f>
        <v>22.3</v>
      </c>
      <c r="AB92" s="145">
        <f t="shared" si="42"/>
        <v>15.933333333333335</v>
      </c>
      <c r="AC92" s="77">
        <f t="shared" si="43"/>
        <v>-6.3666666666666654</v>
      </c>
      <c r="AD92" s="183"/>
      <c r="AE92" s="10"/>
      <c r="AF92" s="10"/>
      <c r="AG92" s="10"/>
      <c r="AH92" s="10"/>
      <c r="AI92" s="10"/>
      <c r="AJ92" s="10"/>
      <c r="AK92" s="10"/>
    </row>
    <row r="93" spans="1:37">
      <c r="A93" s="86" t="s">
        <v>353</v>
      </c>
      <c r="B93" s="86" t="s">
        <v>919</v>
      </c>
      <c r="C93" s="86" t="s">
        <v>920</v>
      </c>
      <c r="D93" s="87">
        <v>10</v>
      </c>
      <c r="E93" s="87" t="s">
        <v>2</v>
      </c>
      <c r="F93" s="34">
        <v>24</v>
      </c>
      <c r="G93" s="57">
        <v>8.89</v>
      </c>
      <c r="H93" s="57">
        <f t="shared" si="32"/>
        <v>88.9</v>
      </c>
      <c r="I93" s="42">
        <f t="shared" si="44"/>
        <v>14.816666666666668</v>
      </c>
      <c r="J93" s="27">
        <f t="shared" si="45"/>
        <v>148.16666666666669</v>
      </c>
      <c r="K93" s="41">
        <f t="shared" si="46"/>
        <v>0.4</v>
      </c>
      <c r="L93" s="47">
        <f t="shared" si="47"/>
        <v>13.676923076923078</v>
      </c>
      <c r="M93" s="28">
        <f t="shared" si="48"/>
        <v>136.76923076923077</v>
      </c>
      <c r="N93" s="48">
        <f t="shared" si="49"/>
        <v>0.35000000000000003</v>
      </c>
      <c r="O93" s="71">
        <f t="shared" si="50"/>
        <v>12.700000000000001</v>
      </c>
      <c r="P93" s="71">
        <f t="shared" si="51"/>
        <v>127.00000000000001</v>
      </c>
      <c r="Q93" s="37">
        <f t="shared" si="52"/>
        <v>0.3</v>
      </c>
      <c r="R93" s="51">
        <v>227.14</v>
      </c>
      <c r="S93" s="51">
        <v>208.42</v>
      </c>
      <c r="T93" s="77"/>
      <c r="U93" s="77"/>
      <c r="V93" s="77"/>
      <c r="W93" s="77"/>
      <c r="X93" s="82">
        <v>153153</v>
      </c>
      <c r="Z93" s="77" t="s">
        <v>791</v>
      </c>
      <c r="AA93" s="77">
        <f>VLOOKUP(Z93,'CFN HPV'!A:L,12,FALSE)</f>
        <v>16.68</v>
      </c>
      <c r="AB93" s="145">
        <f t="shared" si="42"/>
        <v>14.816666666666668</v>
      </c>
      <c r="AC93" s="77">
        <f t="shared" si="43"/>
        <v>-1.8633333333333315</v>
      </c>
      <c r="AD93" s="183"/>
    </row>
    <row r="94" spans="1:37">
      <c r="A94" s="86" t="s">
        <v>353</v>
      </c>
      <c r="B94" s="86" t="s">
        <v>330</v>
      </c>
      <c r="C94" s="86" t="s">
        <v>923</v>
      </c>
      <c r="D94" s="87">
        <v>8</v>
      </c>
      <c r="E94" s="87" t="s">
        <v>2</v>
      </c>
      <c r="F94" s="34">
        <f>VLOOKUP(B94,Pallets!B:F,5,FALSE)</f>
        <v>24</v>
      </c>
      <c r="G94" s="57">
        <v>14.04</v>
      </c>
      <c r="H94" s="57">
        <f t="shared" si="32"/>
        <v>112.32</v>
      </c>
      <c r="I94" s="42">
        <f t="shared" si="44"/>
        <v>23.4</v>
      </c>
      <c r="J94" s="27">
        <f t="shared" si="45"/>
        <v>187.2</v>
      </c>
      <c r="K94" s="41">
        <f t="shared" si="46"/>
        <v>0.4</v>
      </c>
      <c r="L94" s="47">
        <f t="shared" si="47"/>
        <v>21.599999999999998</v>
      </c>
      <c r="M94" s="28">
        <f t="shared" si="48"/>
        <v>172.79999999999998</v>
      </c>
      <c r="N94" s="48">
        <f t="shared" si="49"/>
        <v>0.35</v>
      </c>
      <c r="O94" s="71">
        <f t="shared" si="50"/>
        <v>20.057142857142857</v>
      </c>
      <c r="P94" s="71">
        <f t="shared" si="51"/>
        <v>160.45714285714286</v>
      </c>
      <c r="Q94" s="37">
        <f t="shared" si="52"/>
        <v>0.30000000000000004</v>
      </c>
      <c r="R94" s="51">
        <v>227.14</v>
      </c>
      <c r="S94" s="51">
        <v>208.42</v>
      </c>
      <c r="T94" s="77"/>
      <c r="U94" s="77"/>
      <c r="V94" s="77">
        <v>23.95</v>
      </c>
      <c r="W94" s="77"/>
      <c r="X94" s="82">
        <v>153153</v>
      </c>
      <c r="Z94" s="77" t="s">
        <v>411</v>
      </c>
      <c r="AA94" s="77">
        <f>VLOOKUP(Z94,'CFN HPV'!A:L,12,FALSE)</f>
        <v>31.7</v>
      </c>
      <c r="AB94" s="145">
        <f t="shared" si="42"/>
        <v>23.4</v>
      </c>
      <c r="AC94" s="77">
        <f t="shared" si="43"/>
        <v>-8.3000000000000007</v>
      </c>
      <c r="AD94" s="183"/>
    </row>
    <row r="95" spans="1:37">
      <c r="A95" s="86" t="s">
        <v>353</v>
      </c>
      <c r="B95" s="86" t="s">
        <v>921</v>
      </c>
      <c r="C95" s="86" t="s">
        <v>922</v>
      </c>
      <c r="D95" s="87">
        <v>10</v>
      </c>
      <c r="E95" s="87" t="s">
        <v>2</v>
      </c>
      <c r="F95" s="34">
        <v>24</v>
      </c>
      <c r="G95" s="57">
        <v>11.73</v>
      </c>
      <c r="H95" s="57">
        <f t="shared" si="32"/>
        <v>117.30000000000001</v>
      </c>
      <c r="I95" s="42">
        <f t="shared" si="44"/>
        <v>19.55</v>
      </c>
      <c r="J95" s="27">
        <f t="shared" si="45"/>
        <v>195.5</v>
      </c>
      <c r="K95" s="41">
        <f t="shared" si="46"/>
        <v>0.4</v>
      </c>
      <c r="L95" s="47">
        <f t="shared" si="47"/>
        <v>18.046153846153846</v>
      </c>
      <c r="M95" s="28">
        <f t="shared" si="48"/>
        <v>180.46153846153845</v>
      </c>
      <c r="N95" s="48">
        <f t="shared" si="49"/>
        <v>0.35</v>
      </c>
      <c r="O95" s="71">
        <f t="shared" si="50"/>
        <v>16.75714285714286</v>
      </c>
      <c r="P95" s="71">
        <f t="shared" si="51"/>
        <v>167.57142857142861</v>
      </c>
      <c r="Q95" s="37">
        <f t="shared" si="52"/>
        <v>0.3000000000000001</v>
      </c>
      <c r="R95" s="51">
        <v>227.14</v>
      </c>
      <c r="S95" s="51">
        <v>208.42</v>
      </c>
      <c r="T95" s="77"/>
      <c r="U95" s="77"/>
      <c r="V95" s="77"/>
      <c r="W95" s="77"/>
      <c r="X95" s="82">
        <v>153153</v>
      </c>
      <c r="Z95" s="77" t="s">
        <v>808</v>
      </c>
      <c r="AA95" s="77">
        <f>VLOOKUP(Z95,'CFN HPV'!A:L,12,FALSE)</f>
        <v>22.05</v>
      </c>
      <c r="AB95" s="145">
        <f t="shared" si="42"/>
        <v>19.55</v>
      </c>
      <c r="AC95" s="77">
        <f t="shared" si="43"/>
        <v>-2.5</v>
      </c>
      <c r="AD95" s="183"/>
    </row>
    <row r="96" spans="1:37">
      <c r="A96" s="86" t="s">
        <v>353</v>
      </c>
      <c r="B96" s="86" t="s">
        <v>332</v>
      </c>
      <c r="C96" s="86" t="s">
        <v>333</v>
      </c>
      <c r="D96" s="87">
        <v>10</v>
      </c>
      <c r="E96" s="87" t="s">
        <v>2</v>
      </c>
      <c r="F96" s="34">
        <f>VLOOKUP(B96,Pallets!B:F,5,FALSE)</f>
        <v>32</v>
      </c>
      <c r="G96" s="57">
        <v>18.46</v>
      </c>
      <c r="H96" s="57">
        <f t="shared" si="32"/>
        <v>184.60000000000002</v>
      </c>
      <c r="I96" s="42">
        <f t="shared" si="44"/>
        <v>30.766666666666669</v>
      </c>
      <c r="J96" s="27">
        <f t="shared" si="45"/>
        <v>307.66666666666669</v>
      </c>
      <c r="K96" s="41">
        <f t="shared" si="46"/>
        <v>0.4</v>
      </c>
      <c r="L96" s="47">
        <f t="shared" si="47"/>
        <v>28.4</v>
      </c>
      <c r="M96" s="28">
        <f t="shared" si="48"/>
        <v>284</v>
      </c>
      <c r="N96" s="48">
        <f t="shared" si="49"/>
        <v>0.34999999999999992</v>
      </c>
      <c r="O96" s="71">
        <f t="shared" si="50"/>
        <v>26.371428571428574</v>
      </c>
      <c r="P96" s="71">
        <f t="shared" si="51"/>
        <v>263.71428571428572</v>
      </c>
      <c r="Q96" s="37">
        <f t="shared" si="52"/>
        <v>0.30000000000000004</v>
      </c>
      <c r="R96" s="51">
        <v>202.06</v>
      </c>
      <c r="S96" s="51">
        <v>185.4</v>
      </c>
      <c r="T96" s="77"/>
      <c r="U96" s="77">
        <v>27.39</v>
      </c>
      <c r="V96" s="77"/>
      <c r="W96" s="77"/>
      <c r="X96" s="82">
        <v>153153</v>
      </c>
      <c r="Z96" s="77" t="s">
        <v>436</v>
      </c>
      <c r="AA96" s="77">
        <f>VLOOKUP(Z96,'CFN HPV'!A:L,12,FALSE)</f>
        <v>21.54</v>
      </c>
      <c r="AB96" s="145">
        <f t="shared" si="42"/>
        <v>30.766666666666669</v>
      </c>
      <c r="AC96" s="77">
        <f t="shared" si="43"/>
        <v>9.2266666666666701</v>
      </c>
      <c r="AD96" s="183"/>
    </row>
    <row r="97" spans="1:37" s="10" customFormat="1">
      <c r="A97" s="86" t="s">
        <v>353</v>
      </c>
      <c r="B97" s="86" t="s">
        <v>924</v>
      </c>
      <c r="C97" s="86" t="s">
        <v>925</v>
      </c>
      <c r="D97" s="87">
        <v>10</v>
      </c>
      <c r="E97" s="87" t="s">
        <v>2</v>
      </c>
      <c r="F97" s="34">
        <v>24</v>
      </c>
      <c r="G97" s="57">
        <v>12.29</v>
      </c>
      <c r="H97" s="57">
        <f t="shared" si="32"/>
        <v>122.89999999999999</v>
      </c>
      <c r="I97" s="42">
        <f t="shared" si="44"/>
        <v>20.483333333333334</v>
      </c>
      <c r="J97" s="27">
        <f t="shared" si="45"/>
        <v>204.83333333333334</v>
      </c>
      <c r="K97" s="41">
        <f t="shared" si="46"/>
        <v>0.40000000000000008</v>
      </c>
      <c r="L97" s="47">
        <f t="shared" si="47"/>
        <v>18.907692307692304</v>
      </c>
      <c r="M97" s="28">
        <f t="shared" si="48"/>
        <v>189.07692307692304</v>
      </c>
      <c r="N97" s="48">
        <f t="shared" si="49"/>
        <v>0.34999999999999992</v>
      </c>
      <c r="O97" s="71">
        <f t="shared" si="50"/>
        <v>17.557142857142857</v>
      </c>
      <c r="P97" s="71">
        <f t="shared" si="51"/>
        <v>175.57142857142856</v>
      </c>
      <c r="Q97" s="37">
        <f t="shared" si="52"/>
        <v>0.30000000000000004</v>
      </c>
      <c r="R97" s="51">
        <v>449.47</v>
      </c>
      <c r="S97" s="61">
        <v>412.42</v>
      </c>
      <c r="T97" s="77"/>
      <c r="U97" s="77"/>
      <c r="V97" s="77"/>
      <c r="W97" s="77"/>
      <c r="X97" s="82">
        <v>153153</v>
      </c>
      <c r="Y97"/>
      <c r="Z97" s="77" t="s">
        <v>815</v>
      </c>
      <c r="AA97" s="77">
        <f>VLOOKUP(Z97,'CFN HPV'!A:L,12,FALSE)</f>
        <v>23.21</v>
      </c>
      <c r="AB97" s="145">
        <f t="shared" si="42"/>
        <v>20.483333333333334</v>
      </c>
      <c r="AC97" s="77">
        <f t="shared" si="43"/>
        <v>-2.7266666666666666</v>
      </c>
      <c r="AD97" s="183"/>
      <c r="AE97"/>
      <c r="AF97"/>
      <c r="AG97"/>
      <c r="AH97"/>
      <c r="AI97"/>
      <c r="AJ97"/>
      <c r="AK97"/>
    </row>
    <row r="98" spans="1:37">
      <c r="A98" s="86" t="s">
        <v>370</v>
      </c>
      <c r="B98" s="86" t="s">
        <v>334</v>
      </c>
      <c r="C98" s="86" t="s">
        <v>917</v>
      </c>
      <c r="D98" s="87">
        <v>8</v>
      </c>
      <c r="E98" s="87" t="s">
        <v>2</v>
      </c>
      <c r="F98" s="34">
        <v>24</v>
      </c>
      <c r="G98" s="57">
        <v>16.39</v>
      </c>
      <c r="H98" s="57">
        <f t="shared" ref="H98:H129" si="53">D98*G98</f>
        <v>131.12</v>
      </c>
      <c r="I98" s="42">
        <f t="shared" si="44"/>
        <v>27.31666666666667</v>
      </c>
      <c r="J98" s="27">
        <f t="shared" si="45"/>
        <v>218.53333333333336</v>
      </c>
      <c r="K98" s="41">
        <f t="shared" si="46"/>
        <v>0.40000000000000008</v>
      </c>
      <c r="L98" s="47"/>
      <c r="M98" s="28"/>
      <c r="N98" s="48"/>
      <c r="O98" s="71"/>
      <c r="P98" s="71"/>
      <c r="Q98" s="37"/>
      <c r="R98" s="51">
        <v>367</v>
      </c>
      <c r="S98" s="61">
        <v>336.81</v>
      </c>
      <c r="T98" s="77"/>
      <c r="U98" s="77"/>
      <c r="V98" s="77"/>
      <c r="W98" s="77"/>
      <c r="X98" s="82">
        <v>153153</v>
      </c>
      <c r="Z98" s="77"/>
      <c r="AA98" s="77"/>
      <c r="AB98" s="145"/>
      <c r="AC98" s="77"/>
      <c r="AD98" s="183"/>
    </row>
    <row r="99" spans="1:37">
      <c r="A99" s="86" t="s">
        <v>370</v>
      </c>
      <c r="B99" s="86" t="s">
        <v>336</v>
      </c>
      <c r="C99" s="86" t="s">
        <v>337</v>
      </c>
      <c r="D99" s="87">
        <v>12</v>
      </c>
      <c r="E99" s="87" t="s">
        <v>2</v>
      </c>
      <c r="F99" s="34">
        <v>24</v>
      </c>
      <c r="G99" s="57">
        <v>13.38</v>
      </c>
      <c r="H99" s="57">
        <f t="shared" si="53"/>
        <v>160.56</v>
      </c>
      <c r="I99" s="42">
        <f t="shared" si="44"/>
        <v>22.3</v>
      </c>
      <c r="J99" s="27">
        <f t="shared" si="45"/>
        <v>267.60000000000002</v>
      </c>
      <c r="K99" s="41">
        <f t="shared" si="46"/>
        <v>0.39999999999999997</v>
      </c>
      <c r="L99" s="47"/>
      <c r="M99" s="28"/>
      <c r="N99" s="48"/>
      <c r="O99" s="71"/>
      <c r="P99" s="71"/>
      <c r="Q99" s="37"/>
      <c r="R99" s="51">
        <v>449.47</v>
      </c>
      <c r="S99" s="61">
        <v>412.42</v>
      </c>
      <c r="T99" s="77"/>
      <c r="U99" s="77"/>
      <c r="V99" s="77"/>
      <c r="W99" s="77"/>
      <c r="X99" s="82">
        <v>153153</v>
      </c>
      <c r="Z99" s="77"/>
      <c r="AA99" s="77"/>
      <c r="AB99" s="145"/>
      <c r="AC99" s="77"/>
      <c r="AD99" s="183"/>
    </row>
    <row r="100" spans="1:37">
      <c r="A100" s="86" t="s">
        <v>370</v>
      </c>
      <c r="B100" s="86" t="s">
        <v>338</v>
      </c>
      <c r="C100" s="86" t="s">
        <v>914</v>
      </c>
      <c r="D100" s="87">
        <v>8</v>
      </c>
      <c r="E100" s="87" t="s">
        <v>2</v>
      </c>
      <c r="F100" s="34">
        <v>24</v>
      </c>
      <c r="G100" s="57">
        <v>14.82</v>
      </c>
      <c r="H100" s="57">
        <f t="shared" si="53"/>
        <v>118.56</v>
      </c>
      <c r="I100" s="27">
        <v>24.7</v>
      </c>
      <c r="J100" s="27">
        <f t="shared" si="45"/>
        <v>197.6</v>
      </c>
      <c r="K100" s="41">
        <f t="shared" si="46"/>
        <v>0.39999999999999997</v>
      </c>
      <c r="L100" s="47"/>
      <c r="M100" s="28"/>
      <c r="N100" s="48"/>
      <c r="O100" s="71"/>
      <c r="P100" s="71"/>
      <c r="Q100" s="37"/>
      <c r="R100" s="51">
        <v>359.63</v>
      </c>
      <c r="S100" s="61">
        <v>329.99</v>
      </c>
      <c r="T100" s="77"/>
      <c r="U100" s="77"/>
      <c r="V100" s="77"/>
      <c r="W100" s="77"/>
      <c r="X100" s="82">
        <v>153153</v>
      </c>
      <c r="Z100" s="77"/>
      <c r="AA100" s="77"/>
      <c r="AB100" s="145"/>
      <c r="AC100" s="77"/>
      <c r="AD100" s="183"/>
    </row>
    <row r="101" spans="1:37">
      <c r="A101" s="86" t="s">
        <v>370</v>
      </c>
      <c r="B101" s="86" t="s">
        <v>340</v>
      </c>
      <c r="C101" s="86" t="s">
        <v>913</v>
      </c>
      <c r="D101" s="87">
        <v>12</v>
      </c>
      <c r="E101" s="87" t="s">
        <v>2</v>
      </c>
      <c r="F101" s="34">
        <v>24</v>
      </c>
      <c r="G101" s="57">
        <v>8.27</v>
      </c>
      <c r="H101" s="57">
        <f t="shared" si="53"/>
        <v>99.24</v>
      </c>
      <c r="I101" s="27">
        <v>13.79</v>
      </c>
      <c r="J101" s="27">
        <f t="shared" si="45"/>
        <v>165.48</v>
      </c>
      <c r="K101" s="41">
        <f t="shared" si="46"/>
        <v>0.40029006526468452</v>
      </c>
      <c r="L101" s="47"/>
      <c r="M101" s="28"/>
      <c r="N101" s="48"/>
      <c r="O101" s="71"/>
      <c r="P101" s="71"/>
      <c r="Q101" s="37"/>
      <c r="R101" s="51">
        <v>301.17</v>
      </c>
      <c r="S101" s="61">
        <v>276.35000000000002</v>
      </c>
      <c r="T101" s="77"/>
      <c r="U101" s="77"/>
      <c r="V101" s="77"/>
      <c r="W101" s="77"/>
      <c r="X101" s="82">
        <v>153153</v>
      </c>
      <c r="Z101" s="77"/>
      <c r="AA101" s="77"/>
      <c r="AB101" s="145"/>
      <c r="AC101" s="77"/>
      <c r="AD101" s="183"/>
    </row>
    <row r="102" spans="1:37" s="10" customFormat="1">
      <c r="A102" s="88" t="s">
        <v>370</v>
      </c>
      <c r="B102" s="88" t="s">
        <v>342</v>
      </c>
      <c r="C102" s="88" t="s">
        <v>343</v>
      </c>
      <c r="D102" s="89">
        <v>4</v>
      </c>
      <c r="E102" s="89" t="s">
        <v>2</v>
      </c>
      <c r="F102" s="14">
        <f>VLOOKUP(B102,Pallets!B:F,5,FALSE)</f>
        <v>24</v>
      </c>
      <c r="G102" s="58">
        <v>41.5</v>
      </c>
      <c r="H102" s="58">
        <f t="shared" si="53"/>
        <v>166</v>
      </c>
      <c r="I102" s="44">
        <f>J102/D102</f>
        <v>72</v>
      </c>
      <c r="J102" s="81">
        <v>288</v>
      </c>
      <c r="K102" s="43">
        <f t="shared" si="46"/>
        <v>0.4236111111111111</v>
      </c>
      <c r="L102" s="49"/>
      <c r="M102" s="30"/>
      <c r="N102" s="50"/>
      <c r="O102" s="72"/>
      <c r="P102" s="72"/>
      <c r="Q102" s="38"/>
      <c r="R102" s="51">
        <v>288</v>
      </c>
      <c r="S102" s="51">
        <v>277.22000000000003</v>
      </c>
      <c r="T102" s="77"/>
      <c r="U102" s="77"/>
      <c r="V102" s="77"/>
      <c r="W102" s="77"/>
      <c r="X102" s="82">
        <v>153153</v>
      </c>
      <c r="Z102" s="77"/>
      <c r="AA102" s="77"/>
      <c r="AB102" s="145"/>
      <c r="AC102" s="77"/>
      <c r="AD102" s="183"/>
    </row>
    <row r="103" spans="1:37">
      <c r="A103" s="33" t="s">
        <v>351</v>
      </c>
      <c r="B103" s="33" t="s">
        <v>0</v>
      </c>
      <c r="C103" s="33" t="s">
        <v>1</v>
      </c>
      <c r="D103" s="34">
        <v>1000</v>
      </c>
      <c r="E103" s="34" t="s">
        <v>2</v>
      </c>
      <c r="F103" s="34">
        <f>VLOOKUP(B103,Pallets!B:F,5,FALSE)</f>
        <v>63</v>
      </c>
      <c r="G103" s="57">
        <v>0.03</v>
      </c>
      <c r="H103" s="57">
        <f t="shared" si="53"/>
        <v>30</v>
      </c>
      <c r="I103" s="42">
        <f t="shared" ref="I103:I134" si="54">G103/(1-0.4)</f>
        <v>0.05</v>
      </c>
      <c r="J103" s="65">
        <f t="shared" ref="J103:J134" si="55">D103*I103</f>
        <v>50</v>
      </c>
      <c r="K103" s="41">
        <f t="shared" si="46"/>
        <v>0.40000000000000008</v>
      </c>
      <c r="L103" s="47">
        <f t="shared" ref="L103:L134" si="56">G103/(1-0.35)</f>
        <v>4.6153846153846149E-2</v>
      </c>
      <c r="M103" s="68">
        <f t="shared" ref="M103:M134" si="57">D103*L103</f>
        <v>46.153846153846146</v>
      </c>
      <c r="N103" s="48">
        <f t="shared" ref="N103:N134" si="58">(L103-G103)/L103</f>
        <v>0.35</v>
      </c>
      <c r="O103" s="71">
        <f t="shared" ref="O103:O134" si="59">G103/(1-0.3)</f>
        <v>4.2857142857142858E-2</v>
      </c>
      <c r="P103" s="71">
        <f t="shared" ref="P103:P145" si="60">O103*D103</f>
        <v>42.857142857142854</v>
      </c>
      <c r="Q103" s="37">
        <f t="shared" ref="Q103:Q134" si="61">(O103-G103)/O103</f>
        <v>0.30000000000000004</v>
      </c>
      <c r="R103" s="35" t="s">
        <v>3</v>
      </c>
      <c r="S103" s="9" t="s">
        <v>3</v>
      </c>
      <c r="T103" s="79">
        <v>0.08</v>
      </c>
      <c r="U103" s="79"/>
      <c r="V103" s="79"/>
      <c r="W103" s="79"/>
      <c r="X103" s="83">
        <v>153156</v>
      </c>
      <c r="Z103" s="77"/>
      <c r="AA103" s="77"/>
      <c r="AB103" s="34"/>
      <c r="AC103" s="34"/>
      <c r="AD103" s="184"/>
    </row>
    <row r="104" spans="1:37">
      <c r="A104" s="33" t="s">
        <v>351</v>
      </c>
      <c r="B104" s="33" t="s">
        <v>4</v>
      </c>
      <c r="C104" s="33" t="s">
        <v>5</v>
      </c>
      <c r="D104" s="34">
        <v>500</v>
      </c>
      <c r="E104" s="34" t="s">
        <v>2</v>
      </c>
      <c r="F104" s="34">
        <f>VLOOKUP(B104,Pallets!B:F,5,FALSE)</f>
        <v>52</v>
      </c>
      <c r="G104" s="57">
        <v>7.0000000000000007E-2</v>
      </c>
      <c r="H104" s="57">
        <f t="shared" si="53"/>
        <v>35</v>
      </c>
      <c r="I104" s="42">
        <f t="shared" si="54"/>
        <v>0.11666666666666668</v>
      </c>
      <c r="J104" s="65">
        <f t="shared" si="55"/>
        <v>58.333333333333343</v>
      </c>
      <c r="K104" s="41">
        <f t="shared" si="46"/>
        <v>0.4</v>
      </c>
      <c r="L104" s="47">
        <f t="shared" si="56"/>
        <v>0.1076923076923077</v>
      </c>
      <c r="M104" s="68">
        <f t="shared" si="57"/>
        <v>53.846153846153847</v>
      </c>
      <c r="N104" s="48">
        <f t="shared" si="58"/>
        <v>0.35</v>
      </c>
      <c r="O104" s="71">
        <f t="shared" si="59"/>
        <v>0.10000000000000002</v>
      </c>
      <c r="P104" s="71">
        <f t="shared" si="60"/>
        <v>50.000000000000007</v>
      </c>
      <c r="Q104" s="37">
        <f t="shared" si="61"/>
        <v>0.30000000000000004</v>
      </c>
      <c r="R104" s="35" t="s">
        <v>3</v>
      </c>
      <c r="S104" s="35" t="s">
        <v>3</v>
      </c>
      <c r="T104" s="156">
        <v>0.152</v>
      </c>
      <c r="U104" s="77"/>
      <c r="V104" s="77"/>
      <c r="W104" s="77"/>
      <c r="X104" s="82">
        <v>153156</v>
      </c>
      <c r="Z104" s="77"/>
      <c r="AA104" s="77"/>
      <c r="AB104" s="34"/>
      <c r="AC104" s="34"/>
      <c r="AD104" s="184"/>
    </row>
    <row r="105" spans="1:37">
      <c r="A105" s="33" t="s">
        <v>351</v>
      </c>
      <c r="B105" s="33" t="s">
        <v>6</v>
      </c>
      <c r="C105" s="33" t="s">
        <v>7</v>
      </c>
      <c r="D105" s="34">
        <v>500</v>
      </c>
      <c r="E105" s="34" t="s">
        <v>2</v>
      </c>
      <c r="F105" s="34">
        <f>VLOOKUP(B105,Pallets!B:F,5,FALSE)</f>
        <v>21</v>
      </c>
      <c r="G105" s="57">
        <v>0.11</v>
      </c>
      <c r="H105" s="57">
        <f t="shared" si="53"/>
        <v>55</v>
      </c>
      <c r="I105" s="42">
        <f t="shared" si="54"/>
        <v>0.18333333333333335</v>
      </c>
      <c r="J105" s="65">
        <f t="shared" si="55"/>
        <v>91.666666666666671</v>
      </c>
      <c r="K105" s="41">
        <f t="shared" si="46"/>
        <v>0.4</v>
      </c>
      <c r="L105" s="47">
        <f t="shared" si="56"/>
        <v>0.16923076923076921</v>
      </c>
      <c r="M105" s="68">
        <f t="shared" si="57"/>
        <v>84.615384615384613</v>
      </c>
      <c r="N105" s="48">
        <f t="shared" si="58"/>
        <v>0.34999999999999992</v>
      </c>
      <c r="O105" s="71">
        <f t="shared" si="59"/>
        <v>0.15714285714285717</v>
      </c>
      <c r="P105" s="71">
        <f t="shared" si="60"/>
        <v>78.571428571428584</v>
      </c>
      <c r="Q105" s="37">
        <f t="shared" si="61"/>
        <v>0.3000000000000001</v>
      </c>
      <c r="R105" s="35" t="s">
        <v>3</v>
      </c>
      <c r="S105" s="35" t="s">
        <v>3</v>
      </c>
      <c r="T105" s="156">
        <v>0.20399999999999999</v>
      </c>
      <c r="U105" s="77"/>
      <c r="V105" s="77"/>
      <c r="W105" s="77"/>
      <c r="X105" s="82">
        <v>153156</v>
      </c>
      <c r="Z105" s="77"/>
      <c r="AA105" s="77"/>
      <c r="AB105" s="34"/>
      <c r="AC105" s="34"/>
      <c r="AD105" s="184"/>
    </row>
    <row r="106" spans="1:37">
      <c r="A106" s="33" t="s">
        <v>351</v>
      </c>
      <c r="B106" s="33" t="s">
        <v>8</v>
      </c>
      <c r="C106" s="33" t="s">
        <v>9</v>
      </c>
      <c r="D106" s="34">
        <v>300</v>
      </c>
      <c r="E106" s="34" t="s">
        <v>2</v>
      </c>
      <c r="F106" s="34">
        <f>VLOOKUP(B106,Pallets!B:F,5,FALSE)</f>
        <v>30</v>
      </c>
      <c r="G106" s="57">
        <v>0.19</v>
      </c>
      <c r="H106" s="57">
        <f t="shared" si="53"/>
        <v>57</v>
      </c>
      <c r="I106" s="42">
        <f t="shared" si="54"/>
        <v>0.31666666666666671</v>
      </c>
      <c r="J106" s="65">
        <f t="shared" si="55"/>
        <v>95.000000000000014</v>
      </c>
      <c r="K106" s="41">
        <f t="shared" si="46"/>
        <v>0.40000000000000008</v>
      </c>
      <c r="L106" s="47">
        <f t="shared" si="56"/>
        <v>0.29230769230769232</v>
      </c>
      <c r="M106" s="68">
        <f t="shared" si="57"/>
        <v>87.692307692307693</v>
      </c>
      <c r="N106" s="48">
        <f t="shared" si="58"/>
        <v>0.35000000000000003</v>
      </c>
      <c r="O106" s="71">
        <f t="shared" si="59"/>
        <v>0.27142857142857146</v>
      </c>
      <c r="P106" s="71">
        <f t="shared" si="60"/>
        <v>81.428571428571445</v>
      </c>
      <c r="Q106" s="37">
        <f t="shared" si="61"/>
        <v>0.3000000000000001</v>
      </c>
      <c r="R106" s="35" t="s">
        <v>3</v>
      </c>
      <c r="S106" s="35" t="s">
        <v>3</v>
      </c>
      <c r="T106" s="77">
        <v>0.5</v>
      </c>
      <c r="U106" s="77"/>
      <c r="V106" s="77"/>
      <c r="W106" s="77"/>
      <c r="X106" s="82">
        <v>153156</v>
      </c>
      <c r="Z106" s="77"/>
      <c r="AA106" s="77"/>
      <c r="AB106" s="34"/>
      <c r="AC106" s="34"/>
      <c r="AD106" s="184"/>
    </row>
    <row r="107" spans="1:37">
      <c r="A107" s="33" t="s">
        <v>351</v>
      </c>
      <c r="B107" s="33" t="s">
        <v>10</v>
      </c>
      <c r="C107" s="33" t="s">
        <v>11</v>
      </c>
      <c r="D107" s="34">
        <v>150</v>
      </c>
      <c r="E107" s="34" t="s">
        <v>2</v>
      </c>
      <c r="F107" s="34">
        <f>VLOOKUP(B107,Pallets!B:F,5,FALSE)</f>
        <v>40</v>
      </c>
      <c r="G107" s="57">
        <v>0.32</v>
      </c>
      <c r="H107" s="57">
        <f t="shared" si="53"/>
        <v>48</v>
      </c>
      <c r="I107" s="42">
        <f t="shared" si="54"/>
        <v>0.53333333333333333</v>
      </c>
      <c r="J107" s="65">
        <f t="shared" si="55"/>
        <v>80</v>
      </c>
      <c r="K107" s="41">
        <f t="shared" si="46"/>
        <v>0.39999999999999997</v>
      </c>
      <c r="L107" s="47">
        <f t="shared" si="56"/>
        <v>0.49230769230769228</v>
      </c>
      <c r="M107" s="68">
        <f t="shared" si="57"/>
        <v>73.84615384615384</v>
      </c>
      <c r="N107" s="48">
        <f t="shared" si="58"/>
        <v>0.34999999999999992</v>
      </c>
      <c r="O107" s="71">
        <f t="shared" si="59"/>
        <v>0.45714285714285718</v>
      </c>
      <c r="P107" s="71">
        <f t="shared" si="60"/>
        <v>68.571428571428584</v>
      </c>
      <c r="Q107" s="37">
        <f t="shared" si="61"/>
        <v>0.30000000000000004</v>
      </c>
      <c r="R107" s="35" t="s">
        <v>3</v>
      </c>
      <c r="S107" s="35" t="s">
        <v>3</v>
      </c>
      <c r="T107" s="156">
        <v>0.49299999999999999</v>
      </c>
      <c r="U107" s="77"/>
      <c r="V107" s="77"/>
      <c r="W107" s="77"/>
      <c r="X107" s="82">
        <v>153156</v>
      </c>
      <c r="Z107" s="77"/>
      <c r="AA107" s="77"/>
      <c r="AB107" s="34"/>
      <c r="AC107" s="34"/>
      <c r="AD107" s="184"/>
    </row>
    <row r="108" spans="1:37">
      <c r="A108" s="33" t="s">
        <v>351</v>
      </c>
      <c r="B108" s="33" t="s">
        <v>12</v>
      </c>
      <c r="C108" s="33" t="s">
        <v>13</v>
      </c>
      <c r="D108" s="34">
        <v>150</v>
      </c>
      <c r="E108" s="34" t="s">
        <v>2</v>
      </c>
      <c r="F108" s="34">
        <f>VLOOKUP(B108,Pallets!B:F,5,FALSE)</f>
        <v>42</v>
      </c>
      <c r="G108" s="57">
        <v>0.41</v>
      </c>
      <c r="H108" s="57">
        <f t="shared" si="53"/>
        <v>61.499999999999993</v>
      </c>
      <c r="I108" s="42">
        <f t="shared" si="54"/>
        <v>0.68333333333333335</v>
      </c>
      <c r="J108" s="65">
        <f t="shared" si="55"/>
        <v>102.5</v>
      </c>
      <c r="K108" s="41">
        <f t="shared" si="46"/>
        <v>0.4</v>
      </c>
      <c r="L108" s="47">
        <f t="shared" si="56"/>
        <v>0.63076923076923075</v>
      </c>
      <c r="M108" s="68">
        <f t="shared" si="57"/>
        <v>94.615384615384613</v>
      </c>
      <c r="N108" s="48">
        <f t="shared" si="58"/>
        <v>0.35000000000000003</v>
      </c>
      <c r="O108" s="71">
        <f t="shared" si="59"/>
        <v>0.58571428571428574</v>
      </c>
      <c r="P108" s="71">
        <f t="shared" si="60"/>
        <v>87.857142857142861</v>
      </c>
      <c r="Q108" s="37">
        <f t="shared" si="61"/>
        <v>0.3000000000000001</v>
      </c>
      <c r="R108" s="35" t="s">
        <v>3</v>
      </c>
      <c r="S108" s="35" t="s">
        <v>3</v>
      </c>
      <c r="T108" s="156">
        <v>0.68</v>
      </c>
      <c r="U108" s="77"/>
      <c r="V108" s="77"/>
      <c r="W108" s="77"/>
      <c r="X108" s="82">
        <v>153156</v>
      </c>
      <c r="Z108" s="77"/>
      <c r="AA108" s="77"/>
      <c r="AB108" s="34"/>
      <c r="AC108" s="34"/>
      <c r="AD108" s="184"/>
    </row>
    <row r="109" spans="1:37">
      <c r="A109" s="33" t="s">
        <v>351</v>
      </c>
      <c r="B109" s="33" t="s">
        <v>14</v>
      </c>
      <c r="C109" s="33" t="s">
        <v>15</v>
      </c>
      <c r="D109" s="34">
        <v>100</v>
      </c>
      <c r="E109" s="34" t="s">
        <v>2</v>
      </c>
      <c r="F109" s="34">
        <f>VLOOKUP(B109,Pallets!B:F,5,FALSE)</f>
        <v>48</v>
      </c>
      <c r="G109" s="57">
        <v>0.54</v>
      </c>
      <c r="H109" s="57">
        <f t="shared" si="53"/>
        <v>54</v>
      </c>
      <c r="I109" s="42">
        <f t="shared" si="54"/>
        <v>0.90000000000000013</v>
      </c>
      <c r="J109" s="65">
        <f t="shared" si="55"/>
        <v>90.000000000000014</v>
      </c>
      <c r="K109" s="41">
        <f t="shared" si="46"/>
        <v>0.4</v>
      </c>
      <c r="L109" s="47">
        <f t="shared" si="56"/>
        <v>0.83076923076923082</v>
      </c>
      <c r="M109" s="68">
        <f t="shared" si="57"/>
        <v>83.07692307692308</v>
      </c>
      <c r="N109" s="48">
        <f t="shared" si="58"/>
        <v>0.35</v>
      </c>
      <c r="O109" s="71">
        <f t="shared" si="59"/>
        <v>0.77142857142857157</v>
      </c>
      <c r="P109" s="71">
        <f t="shared" si="60"/>
        <v>77.142857142857153</v>
      </c>
      <c r="Q109" s="37">
        <f t="shared" si="61"/>
        <v>0.3000000000000001</v>
      </c>
      <c r="R109" s="35" t="s">
        <v>3</v>
      </c>
      <c r="S109" s="35" t="s">
        <v>3</v>
      </c>
      <c r="T109" s="156">
        <v>1.0900000000000001</v>
      </c>
      <c r="U109" s="77"/>
      <c r="V109" s="77"/>
      <c r="W109" s="77"/>
      <c r="X109" s="82">
        <v>153156</v>
      </c>
      <c r="Z109" s="77"/>
      <c r="AA109" s="77"/>
      <c r="AB109" s="34"/>
      <c r="AC109" s="34"/>
      <c r="AD109" s="184"/>
    </row>
    <row r="110" spans="1:37">
      <c r="A110" s="33" t="s">
        <v>351</v>
      </c>
      <c r="B110" s="33" t="s">
        <v>16</v>
      </c>
      <c r="C110" s="33" t="s">
        <v>17</v>
      </c>
      <c r="D110" s="34">
        <v>100</v>
      </c>
      <c r="E110" s="34" t="s">
        <v>2</v>
      </c>
      <c r="F110" s="34">
        <v>40</v>
      </c>
      <c r="G110" s="57">
        <v>0.56000000000000005</v>
      </c>
      <c r="H110" s="57">
        <f t="shared" si="53"/>
        <v>56.000000000000007</v>
      </c>
      <c r="I110" s="42">
        <f t="shared" si="54"/>
        <v>0.93333333333333346</v>
      </c>
      <c r="J110" s="65">
        <f t="shared" si="55"/>
        <v>93.333333333333343</v>
      </c>
      <c r="K110" s="41">
        <f t="shared" si="46"/>
        <v>0.4</v>
      </c>
      <c r="L110" s="47">
        <f t="shared" si="56"/>
        <v>0.86153846153846159</v>
      </c>
      <c r="M110" s="68">
        <f t="shared" si="57"/>
        <v>86.15384615384616</v>
      </c>
      <c r="N110" s="48">
        <f t="shared" si="58"/>
        <v>0.35</v>
      </c>
      <c r="O110" s="71">
        <f t="shared" si="59"/>
        <v>0.80000000000000016</v>
      </c>
      <c r="P110" s="71">
        <f t="shared" si="60"/>
        <v>80.000000000000014</v>
      </c>
      <c r="Q110" s="37">
        <f t="shared" si="61"/>
        <v>0.30000000000000004</v>
      </c>
      <c r="R110" s="35" t="s">
        <v>3</v>
      </c>
      <c r="S110" s="35" t="s">
        <v>3</v>
      </c>
      <c r="T110" s="156">
        <v>0.91</v>
      </c>
      <c r="U110" s="77"/>
      <c r="V110" s="77"/>
      <c r="W110" s="77"/>
      <c r="X110" s="82">
        <v>153156</v>
      </c>
      <c r="Z110" s="77"/>
      <c r="AA110" s="77"/>
      <c r="AB110" s="34"/>
      <c r="AC110" s="34"/>
      <c r="AD110" s="184"/>
    </row>
    <row r="111" spans="1:37">
      <c r="A111" s="33" t="s">
        <v>351</v>
      </c>
      <c r="B111" s="33" t="s">
        <v>18</v>
      </c>
      <c r="C111" s="33" t="s">
        <v>19</v>
      </c>
      <c r="D111" s="34">
        <v>100</v>
      </c>
      <c r="E111" s="34" t="s">
        <v>2</v>
      </c>
      <c r="F111" s="34">
        <f>VLOOKUP(B111,Pallets!B:F,5,FALSE)</f>
        <v>21</v>
      </c>
      <c r="G111" s="57">
        <v>0.76</v>
      </c>
      <c r="H111" s="57">
        <f t="shared" si="53"/>
        <v>76</v>
      </c>
      <c r="I111" s="42">
        <f t="shared" si="54"/>
        <v>1.2666666666666668</v>
      </c>
      <c r="J111" s="65">
        <f t="shared" si="55"/>
        <v>126.66666666666669</v>
      </c>
      <c r="K111" s="41">
        <f t="shared" si="46"/>
        <v>0.40000000000000008</v>
      </c>
      <c r="L111" s="47">
        <f t="shared" si="56"/>
        <v>1.1692307692307693</v>
      </c>
      <c r="M111" s="68">
        <f t="shared" si="57"/>
        <v>116.92307692307693</v>
      </c>
      <c r="N111" s="48">
        <f t="shared" si="58"/>
        <v>0.35000000000000003</v>
      </c>
      <c r="O111" s="71">
        <f t="shared" si="59"/>
        <v>1.0857142857142859</v>
      </c>
      <c r="P111" s="71">
        <f t="shared" si="60"/>
        <v>108.57142857142858</v>
      </c>
      <c r="Q111" s="37">
        <f t="shared" si="61"/>
        <v>0.3000000000000001</v>
      </c>
      <c r="R111" s="35" t="s">
        <v>3</v>
      </c>
      <c r="S111" s="35" t="s">
        <v>3</v>
      </c>
      <c r="T111" s="156">
        <v>1.25</v>
      </c>
      <c r="U111" s="77"/>
      <c r="V111" s="77"/>
      <c r="W111" s="77"/>
      <c r="X111" s="82">
        <v>153156</v>
      </c>
      <c r="Z111" s="77"/>
      <c r="AA111" s="77"/>
      <c r="AB111" s="34"/>
      <c r="AC111" s="34"/>
      <c r="AD111" s="184"/>
    </row>
    <row r="112" spans="1:37">
      <c r="A112" s="33" t="s">
        <v>351</v>
      </c>
      <c r="B112" s="33" t="s">
        <v>20</v>
      </c>
      <c r="C112" s="33" t="s">
        <v>21</v>
      </c>
      <c r="D112" s="34">
        <v>100</v>
      </c>
      <c r="E112" s="34" t="s">
        <v>2</v>
      </c>
      <c r="F112" s="34">
        <f>VLOOKUP(B112,Pallets!B:F,5,FALSE)</f>
        <v>24</v>
      </c>
      <c r="G112" s="57">
        <v>0.96</v>
      </c>
      <c r="H112" s="57">
        <f t="shared" si="53"/>
        <v>96</v>
      </c>
      <c r="I112" s="42">
        <f t="shared" si="54"/>
        <v>1.6</v>
      </c>
      <c r="J112" s="65">
        <f t="shared" si="55"/>
        <v>160</v>
      </c>
      <c r="K112" s="41">
        <f t="shared" si="46"/>
        <v>0.40000000000000008</v>
      </c>
      <c r="L112" s="47">
        <f t="shared" si="56"/>
        <v>1.4769230769230768</v>
      </c>
      <c r="M112" s="68">
        <f t="shared" si="57"/>
        <v>147.69230769230768</v>
      </c>
      <c r="N112" s="48">
        <f t="shared" si="58"/>
        <v>0.35</v>
      </c>
      <c r="O112" s="71">
        <f t="shared" si="59"/>
        <v>1.3714285714285714</v>
      </c>
      <c r="P112" s="71">
        <f t="shared" si="60"/>
        <v>137.14285714285714</v>
      </c>
      <c r="Q112" s="37">
        <f t="shared" si="61"/>
        <v>0.30000000000000004</v>
      </c>
      <c r="R112" s="35" t="s">
        <v>3</v>
      </c>
      <c r="S112" s="35" t="s">
        <v>3</v>
      </c>
      <c r="T112" s="156">
        <v>1.5</v>
      </c>
      <c r="U112" s="77"/>
      <c r="V112" s="77"/>
      <c r="W112" s="77"/>
      <c r="X112" s="82">
        <v>153156</v>
      </c>
      <c r="Z112" s="77"/>
      <c r="AA112" s="77"/>
      <c r="AB112" s="34"/>
      <c r="AC112" s="34"/>
      <c r="AD112" s="184"/>
    </row>
    <row r="113" spans="1:33">
      <c r="A113" s="33" t="s">
        <v>351</v>
      </c>
      <c r="B113" s="33" t="s">
        <v>22</v>
      </c>
      <c r="C113" s="33" t="s">
        <v>23</v>
      </c>
      <c r="D113" s="34">
        <v>50</v>
      </c>
      <c r="E113" s="34" t="s">
        <v>2</v>
      </c>
      <c r="F113" s="34">
        <f>VLOOKUP(B113,Pallets!B:F,5,FALSE)</f>
        <v>24</v>
      </c>
      <c r="G113" s="57">
        <v>1.74</v>
      </c>
      <c r="H113" s="57">
        <f t="shared" si="53"/>
        <v>87</v>
      </c>
      <c r="I113" s="42">
        <f t="shared" si="54"/>
        <v>2.9</v>
      </c>
      <c r="J113" s="65">
        <f t="shared" si="55"/>
        <v>145</v>
      </c>
      <c r="K113" s="41">
        <f t="shared" si="46"/>
        <v>0.39999999999999997</v>
      </c>
      <c r="L113" s="47">
        <f t="shared" si="56"/>
        <v>2.6769230769230767</v>
      </c>
      <c r="M113" s="68">
        <f t="shared" si="57"/>
        <v>133.84615384615384</v>
      </c>
      <c r="N113" s="48">
        <f t="shared" si="58"/>
        <v>0.35</v>
      </c>
      <c r="O113" s="71">
        <f t="shared" si="59"/>
        <v>2.4857142857142858</v>
      </c>
      <c r="P113" s="71">
        <f t="shared" si="60"/>
        <v>124.28571428571429</v>
      </c>
      <c r="Q113" s="37">
        <f t="shared" si="61"/>
        <v>0.30000000000000004</v>
      </c>
      <c r="R113" s="35" t="s">
        <v>3</v>
      </c>
      <c r="S113" s="35" t="s">
        <v>3</v>
      </c>
      <c r="T113" s="156">
        <v>2.4</v>
      </c>
      <c r="U113" s="77"/>
      <c r="V113" s="77"/>
      <c r="W113" s="77"/>
      <c r="X113" s="82">
        <v>153156</v>
      </c>
      <c r="Z113" s="77"/>
      <c r="AA113" s="77"/>
      <c r="AB113" s="34"/>
      <c r="AC113" s="34"/>
      <c r="AD113" s="184"/>
    </row>
    <row r="114" spans="1:33">
      <c r="A114" s="33" t="s">
        <v>351</v>
      </c>
      <c r="B114" s="33" t="s">
        <v>24</v>
      </c>
      <c r="C114" s="33" t="s">
        <v>25</v>
      </c>
      <c r="D114" s="34">
        <v>200</v>
      </c>
      <c r="E114" s="34" t="s">
        <v>2</v>
      </c>
      <c r="F114" s="34">
        <f>VLOOKUP(B114,Pallets!B:F,5,FALSE)</f>
        <v>30</v>
      </c>
      <c r="G114" s="57">
        <v>0.27</v>
      </c>
      <c r="H114" s="57">
        <f t="shared" si="53"/>
        <v>54</v>
      </c>
      <c r="I114" s="42">
        <f t="shared" si="54"/>
        <v>0.45000000000000007</v>
      </c>
      <c r="J114" s="65">
        <f t="shared" si="55"/>
        <v>90.000000000000014</v>
      </c>
      <c r="K114" s="41">
        <f t="shared" si="46"/>
        <v>0.4</v>
      </c>
      <c r="L114" s="47">
        <f t="shared" si="56"/>
        <v>0.41538461538461541</v>
      </c>
      <c r="M114" s="68">
        <f t="shared" si="57"/>
        <v>83.07692307692308</v>
      </c>
      <c r="N114" s="48">
        <f t="shared" si="58"/>
        <v>0.35</v>
      </c>
      <c r="O114" s="71">
        <f t="shared" si="59"/>
        <v>0.38571428571428579</v>
      </c>
      <c r="P114" s="71">
        <f t="shared" si="60"/>
        <v>77.142857142857153</v>
      </c>
      <c r="Q114" s="37">
        <f t="shared" si="61"/>
        <v>0.3000000000000001</v>
      </c>
      <c r="R114" s="35" t="s">
        <v>3</v>
      </c>
      <c r="S114" s="51">
        <v>76</v>
      </c>
      <c r="T114" s="156">
        <v>0.52</v>
      </c>
      <c r="U114" s="77"/>
      <c r="V114" s="77"/>
      <c r="W114" s="77"/>
      <c r="X114" s="82">
        <v>153156</v>
      </c>
      <c r="Z114" s="77"/>
      <c r="AA114" s="77"/>
      <c r="AB114" s="34"/>
      <c r="AC114" s="34"/>
      <c r="AD114" s="184"/>
    </row>
    <row r="115" spans="1:33">
      <c r="A115" s="33" t="s">
        <v>351</v>
      </c>
      <c r="B115" s="33" t="s">
        <v>26</v>
      </c>
      <c r="C115" s="33" t="s">
        <v>27</v>
      </c>
      <c r="D115" s="34">
        <v>150</v>
      </c>
      <c r="E115" s="34" t="s">
        <v>2</v>
      </c>
      <c r="F115" s="34">
        <f>VLOOKUP(B115,Pallets!B:F,5,FALSE)</f>
        <v>32</v>
      </c>
      <c r="G115" s="57">
        <v>0.46</v>
      </c>
      <c r="H115" s="57">
        <f t="shared" si="53"/>
        <v>69</v>
      </c>
      <c r="I115" s="42">
        <f t="shared" si="54"/>
        <v>0.76666666666666672</v>
      </c>
      <c r="J115" s="65">
        <f t="shared" si="55"/>
        <v>115.00000000000001</v>
      </c>
      <c r="K115" s="41">
        <f t="shared" si="46"/>
        <v>0.4</v>
      </c>
      <c r="L115" s="47">
        <f t="shared" si="56"/>
        <v>0.70769230769230773</v>
      </c>
      <c r="M115" s="68">
        <f t="shared" si="57"/>
        <v>106.15384615384616</v>
      </c>
      <c r="N115" s="48">
        <f t="shared" si="58"/>
        <v>0.35000000000000003</v>
      </c>
      <c r="O115" s="71">
        <f t="shared" si="59"/>
        <v>0.65714285714285725</v>
      </c>
      <c r="P115" s="71">
        <f t="shared" si="60"/>
        <v>98.571428571428584</v>
      </c>
      <c r="Q115" s="37">
        <f t="shared" si="61"/>
        <v>0.3000000000000001</v>
      </c>
      <c r="R115" s="35" t="s">
        <v>3</v>
      </c>
      <c r="S115" s="35" t="s">
        <v>3</v>
      </c>
      <c r="T115" s="156">
        <v>0.83</v>
      </c>
      <c r="U115" s="77"/>
      <c r="V115" s="77"/>
      <c r="W115" s="77"/>
      <c r="X115" s="82">
        <v>153156</v>
      </c>
      <c r="Z115" s="77"/>
      <c r="AA115" s="77"/>
      <c r="AB115" s="34"/>
      <c r="AC115" s="34"/>
      <c r="AD115" s="184"/>
    </row>
    <row r="116" spans="1:33">
      <c r="A116" s="33" t="s">
        <v>351</v>
      </c>
      <c r="B116" s="33" t="s">
        <v>28</v>
      </c>
      <c r="C116" s="33" t="s">
        <v>29</v>
      </c>
      <c r="D116" s="34">
        <v>50</v>
      </c>
      <c r="E116" s="34" t="s">
        <v>2</v>
      </c>
      <c r="F116" s="34">
        <f>VLOOKUP(B116,Pallets!B:F,5,FALSE)</f>
        <v>42</v>
      </c>
      <c r="G116" s="57">
        <v>0.69</v>
      </c>
      <c r="H116" s="57">
        <f t="shared" si="53"/>
        <v>34.5</v>
      </c>
      <c r="I116" s="42">
        <f t="shared" si="54"/>
        <v>1.1499999999999999</v>
      </c>
      <c r="J116" s="65">
        <f t="shared" si="55"/>
        <v>57.499999999999993</v>
      </c>
      <c r="K116" s="41">
        <f t="shared" si="46"/>
        <v>0.4</v>
      </c>
      <c r="L116" s="47">
        <f t="shared" si="56"/>
        <v>1.0615384615384613</v>
      </c>
      <c r="M116" s="68">
        <f t="shared" si="57"/>
        <v>53.076923076923066</v>
      </c>
      <c r="N116" s="48">
        <f t="shared" si="58"/>
        <v>0.34999999999999992</v>
      </c>
      <c r="O116" s="71">
        <f t="shared" si="59"/>
        <v>0.98571428571428565</v>
      </c>
      <c r="P116" s="71">
        <f t="shared" si="60"/>
        <v>49.285714285714285</v>
      </c>
      <c r="Q116" s="37">
        <f t="shared" si="61"/>
        <v>0.3</v>
      </c>
      <c r="R116" s="35" t="s">
        <v>3</v>
      </c>
      <c r="S116" s="35" t="s">
        <v>3</v>
      </c>
      <c r="T116" s="156">
        <v>1.78</v>
      </c>
      <c r="U116" s="77"/>
      <c r="V116" s="77"/>
      <c r="W116" s="77"/>
      <c r="X116" s="82">
        <v>153156</v>
      </c>
      <c r="Z116" s="77"/>
      <c r="AA116" s="77"/>
      <c r="AB116" s="34"/>
      <c r="AC116" s="34"/>
      <c r="AD116" s="184"/>
    </row>
    <row r="117" spans="1:33">
      <c r="A117" s="33" t="s">
        <v>351</v>
      </c>
      <c r="B117" s="33" t="s">
        <v>30</v>
      </c>
      <c r="C117" s="33" t="s">
        <v>31</v>
      </c>
      <c r="D117" s="34">
        <v>50</v>
      </c>
      <c r="E117" s="34" t="s">
        <v>2</v>
      </c>
      <c r="F117" s="34">
        <f>VLOOKUP(B117,Pallets!B:F,5,FALSE)</f>
        <v>42</v>
      </c>
      <c r="G117" s="57">
        <v>0.81</v>
      </c>
      <c r="H117" s="57">
        <f t="shared" si="53"/>
        <v>40.5</v>
      </c>
      <c r="I117" s="42">
        <f t="shared" si="54"/>
        <v>1.35</v>
      </c>
      <c r="J117" s="65">
        <f t="shared" si="55"/>
        <v>67.5</v>
      </c>
      <c r="K117" s="41">
        <f t="shared" si="46"/>
        <v>0.4</v>
      </c>
      <c r="L117" s="47">
        <f t="shared" si="56"/>
        <v>1.2461538461538462</v>
      </c>
      <c r="M117" s="68">
        <f t="shared" si="57"/>
        <v>62.307692307692307</v>
      </c>
      <c r="N117" s="48">
        <f t="shared" si="58"/>
        <v>0.35</v>
      </c>
      <c r="O117" s="71">
        <f t="shared" si="59"/>
        <v>1.1571428571428573</v>
      </c>
      <c r="P117" s="71">
        <f t="shared" si="60"/>
        <v>57.857142857142861</v>
      </c>
      <c r="Q117" s="37">
        <f t="shared" si="61"/>
        <v>0.30000000000000004</v>
      </c>
      <c r="R117" s="35" t="s">
        <v>3</v>
      </c>
      <c r="S117" s="35" t="s">
        <v>3</v>
      </c>
      <c r="T117" s="156">
        <v>0.96</v>
      </c>
      <c r="U117" s="77"/>
      <c r="V117" s="77"/>
      <c r="W117" s="77"/>
      <c r="X117" s="82">
        <v>153156</v>
      </c>
      <c r="Z117" s="77"/>
      <c r="AA117" s="77"/>
      <c r="AB117" s="34"/>
      <c r="AC117" s="34"/>
      <c r="AD117" s="184"/>
    </row>
    <row r="118" spans="1:33">
      <c r="A118" s="33" t="s">
        <v>351</v>
      </c>
      <c r="B118" s="33" t="s">
        <v>32</v>
      </c>
      <c r="C118" s="33" t="s">
        <v>33</v>
      </c>
      <c r="D118" s="34">
        <v>50</v>
      </c>
      <c r="E118" s="34" t="s">
        <v>2</v>
      </c>
      <c r="F118" s="34">
        <f>VLOOKUP(B118,Pallets!B:F,5,FALSE)</f>
        <v>42</v>
      </c>
      <c r="G118" s="57">
        <v>0.8</v>
      </c>
      <c r="H118" s="57">
        <f t="shared" si="53"/>
        <v>40</v>
      </c>
      <c r="I118" s="42">
        <f t="shared" si="54"/>
        <v>1.3333333333333335</v>
      </c>
      <c r="J118" s="65">
        <f t="shared" si="55"/>
        <v>66.666666666666671</v>
      </c>
      <c r="K118" s="41">
        <f t="shared" si="46"/>
        <v>0.4</v>
      </c>
      <c r="L118" s="47">
        <f t="shared" si="56"/>
        <v>1.2307692307692308</v>
      </c>
      <c r="M118" s="68">
        <f t="shared" si="57"/>
        <v>61.53846153846154</v>
      </c>
      <c r="N118" s="48">
        <f t="shared" si="58"/>
        <v>0.35</v>
      </c>
      <c r="O118" s="71">
        <f t="shared" si="59"/>
        <v>1.142857142857143</v>
      </c>
      <c r="P118" s="71">
        <f t="shared" si="60"/>
        <v>57.142857142857153</v>
      </c>
      <c r="Q118" s="37">
        <f t="shared" si="61"/>
        <v>0.30000000000000004</v>
      </c>
      <c r="R118" s="35" t="s">
        <v>3</v>
      </c>
      <c r="S118" s="51">
        <v>54</v>
      </c>
      <c r="T118" s="156">
        <v>1.5</v>
      </c>
      <c r="U118" s="77"/>
      <c r="V118" s="77"/>
      <c r="W118" s="77"/>
      <c r="X118" s="82">
        <v>153156</v>
      </c>
      <c r="Z118" s="77"/>
      <c r="AA118" s="77"/>
      <c r="AB118" s="34"/>
      <c r="AC118" s="34"/>
      <c r="AD118" s="184"/>
    </row>
    <row r="119" spans="1:33">
      <c r="A119" s="33" t="s">
        <v>351</v>
      </c>
      <c r="B119" s="33" t="s">
        <v>34</v>
      </c>
      <c r="C119" s="33" t="s">
        <v>35</v>
      </c>
      <c r="D119" s="34">
        <v>50</v>
      </c>
      <c r="E119" s="34" t="s">
        <v>2</v>
      </c>
      <c r="F119" s="34">
        <f>VLOOKUP(B119,Pallets!B:F,5,FALSE)</f>
        <v>33</v>
      </c>
      <c r="G119" s="57">
        <v>1.08</v>
      </c>
      <c r="H119" s="57">
        <f t="shared" si="53"/>
        <v>54</v>
      </c>
      <c r="I119" s="42">
        <f t="shared" si="54"/>
        <v>1.8000000000000003</v>
      </c>
      <c r="J119" s="65">
        <f t="shared" si="55"/>
        <v>90.000000000000014</v>
      </c>
      <c r="K119" s="41">
        <f t="shared" si="46"/>
        <v>0.4</v>
      </c>
      <c r="L119" s="47">
        <f t="shared" si="56"/>
        <v>1.6615384615384616</v>
      </c>
      <c r="M119" s="68">
        <f t="shared" si="57"/>
        <v>83.07692307692308</v>
      </c>
      <c r="N119" s="48">
        <f t="shared" si="58"/>
        <v>0.35</v>
      </c>
      <c r="O119" s="71">
        <f t="shared" si="59"/>
        <v>1.5428571428571431</v>
      </c>
      <c r="P119" s="71">
        <f t="shared" si="60"/>
        <v>77.142857142857153</v>
      </c>
      <c r="Q119" s="37">
        <f t="shared" si="61"/>
        <v>0.3000000000000001</v>
      </c>
      <c r="R119" s="35" t="s">
        <v>3</v>
      </c>
      <c r="S119" s="35" t="s">
        <v>3</v>
      </c>
      <c r="T119" s="156">
        <v>2.4</v>
      </c>
      <c r="U119" s="77"/>
      <c r="V119" s="77"/>
      <c r="W119" s="77"/>
      <c r="X119" s="82">
        <v>153156</v>
      </c>
      <c r="Z119" s="77"/>
      <c r="AA119" s="77"/>
      <c r="AB119" s="34"/>
      <c r="AC119" s="34"/>
      <c r="AD119" s="184"/>
    </row>
    <row r="120" spans="1:33">
      <c r="A120" s="33" t="s">
        <v>351</v>
      </c>
      <c r="B120" s="33" t="s">
        <v>36</v>
      </c>
      <c r="C120" s="33" t="s">
        <v>37</v>
      </c>
      <c r="D120" s="34">
        <v>50</v>
      </c>
      <c r="E120" s="34" t="s">
        <v>2</v>
      </c>
      <c r="F120" s="34">
        <f>VLOOKUP(B120,Pallets!B:F,5,FALSE)</f>
        <v>33</v>
      </c>
      <c r="G120" s="57">
        <v>1.36</v>
      </c>
      <c r="H120" s="57">
        <f t="shared" si="53"/>
        <v>68</v>
      </c>
      <c r="I120" s="42">
        <f t="shared" si="54"/>
        <v>2.2666666666666671</v>
      </c>
      <c r="J120" s="65">
        <f t="shared" si="55"/>
        <v>113.33333333333336</v>
      </c>
      <c r="K120" s="41">
        <f t="shared" si="46"/>
        <v>0.40000000000000008</v>
      </c>
      <c r="L120" s="47">
        <f t="shared" si="56"/>
        <v>2.0923076923076924</v>
      </c>
      <c r="M120" s="68">
        <f t="shared" si="57"/>
        <v>104.61538461538463</v>
      </c>
      <c r="N120" s="48">
        <f t="shared" si="58"/>
        <v>0.35</v>
      </c>
      <c r="O120" s="71">
        <f t="shared" si="59"/>
        <v>1.9428571428571431</v>
      </c>
      <c r="P120" s="71">
        <f t="shared" si="60"/>
        <v>97.142857142857153</v>
      </c>
      <c r="Q120" s="37">
        <f t="shared" si="61"/>
        <v>0.30000000000000004</v>
      </c>
      <c r="R120" s="35" t="s">
        <v>3</v>
      </c>
      <c r="S120" s="35" t="s">
        <v>3</v>
      </c>
      <c r="T120" s="156">
        <v>2.36</v>
      </c>
      <c r="U120" s="77"/>
      <c r="V120" s="77"/>
      <c r="W120" s="77"/>
      <c r="X120" s="82">
        <v>153156</v>
      </c>
      <c r="Z120" s="77"/>
      <c r="AA120" s="77"/>
      <c r="AB120" s="34"/>
      <c r="AC120" s="34"/>
      <c r="AD120" s="184"/>
    </row>
    <row r="121" spans="1:33">
      <c r="A121" s="33" t="s">
        <v>351</v>
      </c>
      <c r="B121" s="33" t="s">
        <v>38</v>
      </c>
      <c r="C121" s="33" t="s">
        <v>39</v>
      </c>
      <c r="D121" s="34">
        <v>50</v>
      </c>
      <c r="E121" s="34" t="s">
        <v>2</v>
      </c>
      <c r="F121" s="34">
        <f>VLOOKUP(B121,Pallets!B:F,5,FALSE)</f>
        <v>42</v>
      </c>
      <c r="G121" s="57">
        <v>0.8</v>
      </c>
      <c r="H121" s="57">
        <f t="shared" si="53"/>
        <v>40</v>
      </c>
      <c r="I121" s="42">
        <f t="shared" si="54"/>
        <v>1.3333333333333335</v>
      </c>
      <c r="J121" s="65">
        <f t="shared" si="55"/>
        <v>66.666666666666671</v>
      </c>
      <c r="K121" s="41">
        <f t="shared" ref="K121:K152" si="62">(I121-G121)/I121</f>
        <v>0.4</v>
      </c>
      <c r="L121" s="47">
        <f t="shared" si="56"/>
        <v>1.2307692307692308</v>
      </c>
      <c r="M121" s="68">
        <f t="shared" si="57"/>
        <v>61.53846153846154</v>
      </c>
      <c r="N121" s="48">
        <f t="shared" si="58"/>
        <v>0.35</v>
      </c>
      <c r="O121" s="71">
        <f t="shared" si="59"/>
        <v>1.142857142857143</v>
      </c>
      <c r="P121" s="71">
        <f t="shared" si="60"/>
        <v>57.142857142857153</v>
      </c>
      <c r="Q121" s="37">
        <f t="shared" si="61"/>
        <v>0.30000000000000004</v>
      </c>
      <c r="R121" s="35" t="s">
        <v>3</v>
      </c>
      <c r="S121" s="35" t="s">
        <v>3</v>
      </c>
      <c r="T121" s="156">
        <v>1.72</v>
      </c>
      <c r="U121" s="77"/>
      <c r="V121" s="77"/>
      <c r="W121" s="77"/>
      <c r="X121" s="82">
        <v>153156</v>
      </c>
      <c r="Z121" s="77"/>
      <c r="AA121" s="77"/>
      <c r="AB121" s="34"/>
      <c r="AC121" s="34"/>
      <c r="AD121" s="184"/>
    </row>
    <row r="122" spans="1:33">
      <c r="A122" s="33" t="s">
        <v>351</v>
      </c>
      <c r="B122" s="33" t="s">
        <v>40</v>
      </c>
      <c r="C122" s="33" t="s">
        <v>41</v>
      </c>
      <c r="D122" s="34">
        <v>50</v>
      </c>
      <c r="E122" s="34" t="s">
        <v>2</v>
      </c>
      <c r="F122" s="34">
        <f>VLOOKUP(B122,Pallets!B:F,5,FALSE)</f>
        <v>42</v>
      </c>
      <c r="G122" s="57">
        <v>0.94</v>
      </c>
      <c r="H122" s="57">
        <f t="shared" si="53"/>
        <v>47</v>
      </c>
      <c r="I122" s="42">
        <f t="shared" si="54"/>
        <v>1.5666666666666667</v>
      </c>
      <c r="J122" s="65">
        <f t="shared" si="55"/>
        <v>78.333333333333329</v>
      </c>
      <c r="K122" s="41">
        <f t="shared" si="62"/>
        <v>0.4</v>
      </c>
      <c r="L122" s="47">
        <f t="shared" si="56"/>
        <v>1.4461538461538461</v>
      </c>
      <c r="M122" s="68">
        <f t="shared" si="57"/>
        <v>72.307692307692307</v>
      </c>
      <c r="N122" s="48">
        <f t="shared" si="58"/>
        <v>0.35000000000000003</v>
      </c>
      <c r="O122" s="71">
        <f t="shared" si="59"/>
        <v>1.342857142857143</v>
      </c>
      <c r="P122" s="71">
        <f t="shared" si="60"/>
        <v>67.142857142857153</v>
      </c>
      <c r="Q122" s="37">
        <f t="shared" si="61"/>
        <v>0.3000000000000001</v>
      </c>
      <c r="R122" s="35" t="s">
        <v>3</v>
      </c>
      <c r="S122" s="35" t="s">
        <v>3</v>
      </c>
      <c r="T122" s="156">
        <v>1.44</v>
      </c>
      <c r="U122" s="77"/>
      <c r="V122" s="77"/>
      <c r="W122" s="77"/>
      <c r="X122" s="82">
        <v>153156</v>
      </c>
      <c r="Z122" s="77"/>
      <c r="AA122" s="77"/>
      <c r="AB122" s="34"/>
      <c r="AC122" s="34"/>
      <c r="AD122" s="184"/>
    </row>
    <row r="123" spans="1:33">
      <c r="A123" s="33" t="s">
        <v>351</v>
      </c>
      <c r="B123" s="33" t="s">
        <v>42</v>
      </c>
      <c r="C123" s="33" t="s">
        <v>43</v>
      </c>
      <c r="D123" s="34">
        <v>50</v>
      </c>
      <c r="E123" s="34" t="s">
        <v>2</v>
      </c>
      <c r="F123" s="34">
        <f>VLOOKUP(B123,Pallets!B:F,5,FALSE)</f>
        <v>42</v>
      </c>
      <c r="G123" s="57">
        <v>1.07</v>
      </c>
      <c r="H123" s="57">
        <f t="shared" si="53"/>
        <v>53.5</v>
      </c>
      <c r="I123" s="42">
        <f t="shared" si="54"/>
        <v>1.7833333333333334</v>
      </c>
      <c r="J123" s="65">
        <f t="shared" si="55"/>
        <v>89.166666666666671</v>
      </c>
      <c r="K123" s="41">
        <f t="shared" si="62"/>
        <v>0.4</v>
      </c>
      <c r="L123" s="47">
        <f t="shared" si="56"/>
        <v>1.6461538461538463</v>
      </c>
      <c r="M123" s="68">
        <f t="shared" si="57"/>
        <v>82.307692307692321</v>
      </c>
      <c r="N123" s="48">
        <f t="shared" si="58"/>
        <v>0.35000000000000003</v>
      </c>
      <c r="O123" s="71">
        <f t="shared" si="59"/>
        <v>1.5285714285714287</v>
      </c>
      <c r="P123" s="71">
        <f t="shared" si="60"/>
        <v>76.428571428571431</v>
      </c>
      <c r="Q123" s="37">
        <f t="shared" si="61"/>
        <v>0.3</v>
      </c>
      <c r="R123" s="35" t="s">
        <v>3</v>
      </c>
      <c r="S123" s="35" t="s">
        <v>3</v>
      </c>
      <c r="T123" s="156">
        <v>1.8</v>
      </c>
      <c r="U123" s="77"/>
      <c r="V123" s="77"/>
      <c r="W123" s="77"/>
      <c r="X123" s="82">
        <v>153156</v>
      </c>
      <c r="Z123" s="77"/>
      <c r="AA123" s="77"/>
      <c r="AB123" s="34"/>
      <c r="AC123" s="34"/>
      <c r="AD123" s="184"/>
    </row>
    <row r="124" spans="1:33">
      <c r="A124" s="33" t="s">
        <v>351</v>
      </c>
      <c r="B124" s="33" t="s">
        <v>44</v>
      </c>
      <c r="C124" s="33" t="s">
        <v>45</v>
      </c>
      <c r="D124" s="34">
        <v>50</v>
      </c>
      <c r="E124" s="34" t="s">
        <v>2</v>
      </c>
      <c r="F124" s="34">
        <f>VLOOKUP(B124,Pallets!B:F,5,FALSE)</f>
        <v>42</v>
      </c>
      <c r="G124" s="57">
        <v>0.93</v>
      </c>
      <c r="H124" s="57">
        <f t="shared" si="53"/>
        <v>46.5</v>
      </c>
      <c r="I124" s="42">
        <f t="shared" si="54"/>
        <v>1.55</v>
      </c>
      <c r="J124" s="65">
        <f t="shared" si="55"/>
        <v>77.5</v>
      </c>
      <c r="K124" s="41">
        <f t="shared" si="62"/>
        <v>0.39999999999999997</v>
      </c>
      <c r="L124" s="47">
        <f t="shared" si="56"/>
        <v>1.4307692307692308</v>
      </c>
      <c r="M124" s="68">
        <f t="shared" si="57"/>
        <v>71.538461538461533</v>
      </c>
      <c r="N124" s="48">
        <f t="shared" si="58"/>
        <v>0.35</v>
      </c>
      <c r="O124" s="71">
        <f t="shared" si="59"/>
        <v>1.3285714285714287</v>
      </c>
      <c r="P124" s="71">
        <f t="shared" si="60"/>
        <v>66.428571428571431</v>
      </c>
      <c r="Q124" s="37">
        <f t="shared" si="61"/>
        <v>0.30000000000000004</v>
      </c>
      <c r="R124" s="35" t="s">
        <v>3</v>
      </c>
      <c r="S124" s="35" t="s">
        <v>3</v>
      </c>
      <c r="T124" s="156">
        <v>2.5</v>
      </c>
      <c r="U124" s="77"/>
      <c r="V124" s="77"/>
      <c r="W124" s="77"/>
      <c r="X124" s="82">
        <v>153156</v>
      </c>
      <c r="Z124" s="77"/>
      <c r="AA124" s="77"/>
      <c r="AB124" s="34"/>
      <c r="AC124" s="34"/>
      <c r="AD124" s="184"/>
    </row>
    <row r="125" spans="1:33">
      <c r="A125" s="7" t="s">
        <v>351</v>
      </c>
      <c r="B125" s="7" t="s">
        <v>46</v>
      </c>
      <c r="C125" s="7" t="s">
        <v>47</v>
      </c>
      <c r="D125" s="14">
        <v>40</v>
      </c>
      <c r="E125" s="14" t="s">
        <v>2</v>
      </c>
      <c r="F125" s="14">
        <f>VLOOKUP(B125,Pallets!B:F,5,FALSE)</f>
        <v>33</v>
      </c>
      <c r="G125" s="58">
        <v>1.59</v>
      </c>
      <c r="H125" s="58">
        <f t="shared" si="53"/>
        <v>63.6</v>
      </c>
      <c r="I125" s="44">
        <f t="shared" si="54"/>
        <v>2.6500000000000004</v>
      </c>
      <c r="J125" s="66">
        <f t="shared" si="55"/>
        <v>106.00000000000001</v>
      </c>
      <c r="K125" s="43">
        <f t="shared" si="62"/>
        <v>0.40000000000000008</v>
      </c>
      <c r="L125" s="49">
        <f t="shared" si="56"/>
        <v>2.4461538461538463</v>
      </c>
      <c r="M125" s="69">
        <f t="shared" si="57"/>
        <v>97.846153846153854</v>
      </c>
      <c r="N125" s="50">
        <f t="shared" si="58"/>
        <v>0.35000000000000003</v>
      </c>
      <c r="O125" s="72">
        <f t="shared" si="59"/>
        <v>2.2714285714285718</v>
      </c>
      <c r="P125" s="72">
        <f t="shared" si="60"/>
        <v>90.857142857142875</v>
      </c>
      <c r="Q125" s="38">
        <f t="shared" si="61"/>
        <v>0.3000000000000001</v>
      </c>
      <c r="R125" s="8" t="s">
        <v>3</v>
      </c>
      <c r="S125" s="8" t="s">
        <v>3</v>
      </c>
      <c r="T125" s="157">
        <v>2.8</v>
      </c>
      <c r="U125" s="78"/>
      <c r="V125" s="78"/>
      <c r="W125" s="78"/>
      <c r="X125" s="82">
        <v>153156</v>
      </c>
      <c r="Z125" s="78"/>
      <c r="AA125" s="78"/>
      <c r="AB125" s="14"/>
      <c r="AC125" s="14"/>
      <c r="AD125" s="34"/>
      <c r="AE125" s="176" t="s">
        <v>932</v>
      </c>
      <c r="AF125" s="176" t="s">
        <v>1076</v>
      </c>
      <c r="AG125" s="176" t="s">
        <v>904</v>
      </c>
    </row>
    <row r="126" spans="1:33">
      <c r="A126" s="4" t="s">
        <v>354</v>
      </c>
      <c r="B126" s="4" t="s">
        <v>70</v>
      </c>
      <c r="C126" s="4" t="s">
        <v>71</v>
      </c>
      <c r="D126" s="12">
        <v>70</v>
      </c>
      <c r="E126" s="12" t="s">
        <v>2</v>
      </c>
      <c r="F126" s="12">
        <v>24</v>
      </c>
      <c r="G126" s="59">
        <v>1.99</v>
      </c>
      <c r="H126" s="57">
        <f t="shared" si="53"/>
        <v>139.30000000000001</v>
      </c>
      <c r="I126" s="42">
        <f t="shared" si="54"/>
        <v>3.3166666666666669</v>
      </c>
      <c r="J126" s="65">
        <f t="shared" si="55"/>
        <v>232.16666666666669</v>
      </c>
      <c r="K126" s="41">
        <f t="shared" si="62"/>
        <v>0.4</v>
      </c>
      <c r="L126" s="47">
        <f t="shared" si="56"/>
        <v>3.0615384615384613</v>
      </c>
      <c r="M126" s="68">
        <f t="shared" si="57"/>
        <v>214.30769230769229</v>
      </c>
      <c r="N126" s="48">
        <f t="shared" si="58"/>
        <v>0.35</v>
      </c>
      <c r="O126" s="71">
        <f t="shared" si="59"/>
        <v>2.842857142857143</v>
      </c>
      <c r="P126" s="71">
        <f t="shared" si="60"/>
        <v>199</v>
      </c>
      <c r="Q126" s="37">
        <f t="shared" si="61"/>
        <v>0.30000000000000004</v>
      </c>
      <c r="R126" s="9" t="s">
        <v>3</v>
      </c>
      <c r="S126" s="9" t="s">
        <v>3</v>
      </c>
      <c r="T126" s="79"/>
      <c r="U126" s="79"/>
      <c r="V126" s="79"/>
      <c r="W126" s="79"/>
      <c r="X126" s="83">
        <v>140379</v>
      </c>
      <c r="Z126" s="77"/>
      <c r="AA126" s="77"/>
      <c r="AB126" s="34"/>
      <c r="AC126" s="34"/>
      <c r="AD126" s="34"/>
      <c r="AE126" s="33" t="s">
        <v>116</v>
      </c>
      <c r="AF126" s="77">
        <f t="shared" ref="AF126:AF148" si="63">VLOOKUP(AE126,B:G,6,FALSE)</f>
        <v>2.68</v>
      </c>
      <c r="AG126" s="77">
        <f t="shared" ref="AG126:AG148" si="64">AF126-G126</f>
        <v>0.69000000000000017</v>
      </c>
    </row>
    <row r="127" spans="1:33">
      <c r="A127" s="33" t="s">
        <v>354</v>
      </c>
      <c r="B127" s="33" t="s">
        <v>72</v>
      </c>
      <c r="C127" s="33" t="s">
        <v>73</v>
      </c>
      <c r="D127" s="34">
        <v>70</v>
      </c>
      <c r="E127" s="34" t="s">
        <v>2</v>
      </c>
      <c r="F127" s="34">
        <v>24</v>
      </c>
      <c r="G127" s="57">
        <v>1.99</v>
      </c>
      <c r="H127" s="57">
        <f t="shared" si="53"/>
        <v>139.30000000000001</v>
      </c>
      <c r="I127" s="42">
        <f t="shared" si="54"/>
        <v>3.3166666666666669</v>
      </c>
      <c r="J127" s="65">
        <f t="shared" si="55"/>
        <v>232.16666666666669</v>
      </c>
      <c r="K127" s="41">
        <f t="shared" si="62"/>
        <v>0.4</v>
      </c>
      <c r="L127" s="47">
        <f t="shared" si="56"/>
        <v>3.0615384615384613</v>
      </c>
      <c r="M127" s="68">
        <f t="shared" si="57"/>
        <v>214.30769230769229</v>
      </c>
      <c r="N127" s="48">
        <f t="shared" si="58"/>
        <v>0.35</v>
      </c>
      <c r="O127" s="71">
        <f t="shared" si="59"/>
        <v>2.842857142857143</v>
      </c>
      <c r="P127" s="71">
        <f t="shared" si="60"/>
        <v>199</v>
      </c>
      <c r="Q127" s="37">
        <f t="shared" si="61"/>
        <v>0.30000000000000004</v>
      </c>
      <c r="R127" s="35" t="s">
        <v>3</v>
      </c>
      <c r="S127" s="35" t="s">
        <v>3</v>
      </c>
      <c r="T127" s="77"/>
      <c r="U127" s="77"/>
      <c r="V127" s="77"/>
      <c r="W127" s="77"/>
      <c r="X127" s="82">
        <v>140379</v>
      </c>
      <c r="Z127" s="77"/>
      <c r="AA127" s="77"/>
      <c r="AB127" s="34"/>
      <c r="AC127" s="34"/>
      <c r="AD127" s="34"/>
      <c r="AE127" s="33" t="s">
        <v>118</v>
      </c>
      <c r="AF127" s="77">
        <f t="shared" si="63"/>
        <v>2.68</v>
      </c>
      <c r="AG127" s="77">
        <f t="shared" si="64"/>
        <v>0.69000000000000017</v>
      </c>
    </row>
    <row r="128" spans="1:33">
      <c r="A128" s="33" t="s">
        <v>354</v>
      </c>
      <c r="B128" s="33" t="s">
        <v>74</v>
      </c>
      <c r="C128" s="33" t="s">
        <v>75</v>
      </c>
      <c r="D128" s="34">
        <v>60</v>
      </c>
      <c r="E128" s="34" t="s">
        <v>2</v>
      </c>
      <c r="F128" s="34">
        <v>24</v>
      </c>
      <c r="G128" s="57">
        <v>1.99</v>
      </c>
      <c r="H128" s="57">
        <f t="shared" si="53"/>
        <v>119.4</v>
      </c>
      <c r="I128" s="42">
        <f t="shared" si="54"/>
        <v>3.3166666666666669</v>
      </c>
      <c r="J128" s="65">
        <f t="shared" si="55"/>
        <v>199</v>
      </c>
      <c r="K128" s="41">
        <f t="shared" si="62"/>
        <v>0.4</v>
      </c>
      <c r="L128" s="47">
        <f t="shared" si="56"/>
        <v>3.0615384615384613</v>
      </c>
      <c r="M128" s="68">
        <f t="shared" si="57"/>
        <v>183.69230769230768</v>
      </c>
      <c r="N128" s="48">
        <f t="shared" si="58"/>
        <v>0.35</v>
      </c>
      <c r="O128" s="71">
        <f t="shared" si="59"/>
        <v>2.842857142857143</v>
      </c>
      <c r="P128" s="71">
        <f t="shared" si="60"/>
        <v>170.57142857142858</v>
      </c>
      <c r="Q128" s="37">
        <f t="shared" si="61"/>
        <v>0.30000000000000004</v>
      </c>
      <c r="R128" s="35" t="s">
        <v>3</v>
      </c>
      <c r="S128" s="35" t="s">
        <v>3</v>
      </c>
      <c r="T128" s="77"/>
      <c r="U128" s="77"/>
      <c r="V128" s="77"/>
      <c r="W128" s="77"/>
      <c r="X128" s="82">
        <v>140379</v>
      </c>
      <c r="Z128" s="77"/>
      <c r="AA128" s="77"/>
      <c r="AB128" s="34"/>
      <c r="AC128" s="34"/>
      <c r="AD128" s="34"/>
      <c r="AE128" s="33" t="s">
        <v>120</v>
      </c>
      <c r="AF128" s="77">
        <f t="shared" si="63"/>
        <v>2.68</v>
      </c>
      <c r="AG128" s="77">
        <f t="shared" si="64"/>
        <v>0.69000000000000017</v>
      </c>
    </row>
    <row r="129" spans="1:33">
      <c r="A129" s="33" t="s">
        <v>354</v>
      </c>
      <c r="B129" s="33" t="s">
        <v>76</v>
      </c>
      <c r="C129" s="33" t="s">
        <v>77</v>
      </c>
      <c r="D129" s="34">
        <v>50</v>
      </c>
      <c r="E129" s="34" t="s">
        <v>2</v>
      </c>
      <c r="F129" s="34">
        <v>24</v>
      </c>
      <c r="G129" s="57">
        <v>1.99</v>
      </c>
      <c r="H129" s="57">
        <f t="shared" si="53"/>
        <v>99.5</v>
      </c>
      <c r="I129" s="42">
        <f t="shared" si="54"/>
        <v>3.3166666666666669</v>
      </c>
      <c r="J129" s="65">
        <f t="shared" si="55"/>
        <v>165.83333333333334</v>
      </c>
      <c r="K129" s="41">
        <f t="shared" si="62"/>
        <v>0.4</v>
      </c>
      <c r="L129" s="47">
        <f t="shared" si="56"/>
        <v>3.0615384615384613</v>
      </c>
      <c r="M129" s="68">
        <f t="shared" si="57"/>
        <v>153.07692307692307</v>
      </c>
      <c r="N129" s="48">
        <f t="shared" si="58"/>
        <v>0.35</v>
      </c>
      <c r="O129" s="71">
        <f t="shared" si="59"/>
        <v>2.842857142857143</v>
      </c>
      <c r="P129" s="71">
        <f t="shared" si="60"/>
        <v>142.14285714285714</v>
      </c>
      <c r="Q129" s="37">
        <f t="shared" si="61"/>
        <v>0.30000000000000004</v>
      </c>
      <c r="R129" s="35" t="s">
        <v>3</v>
      </c>
      <c r="S129" s="35" t="s">
        <v>3</v>
      </c>
      <c r="T129" s="77"/>
      <c r="U129" s="77"/>
      <c r="V129" s="77"/>
      <c r="W129" s="77"/>
      <c r="X129" s="82">
        <v>140379</v>
      </c>
      <c r="Z129" s="77"/>
      <c r="AA129" s="77"/>
      <c r="AB129" s="34"/>
      <c r="AC129" s="34"/>
      <c r="AD129" s="34"/>
      <c r="AE129" s="33" t="s">
        <v>122</v>
      </c>
      <c r="AF129" s="77">
        <f t="shared" si="63"/>
        <v>2.68</v>
      </c>
      <c r="AG129" s="77">
        <f t="shared" si="64"/>
        <v>0.69000000000000017</v>
      </c>
    </row>
    <row r="130" spans="1:33">
      <c r="A130" s="33" t="s">
        <v>354</v>
      </c>
      <c r="B130" s="33" t="s">
        <v>78</v>
      </c>
      <c r="C130" s="33" t="s">
        <v>79</v>
      </c>
      <c r="D130" s="34">
        <v>60</v>
      </c>
      <c r="E130" s="34" t="s">
        <v>2</v>
      </c>
      <c r="F130" s="34">
        <v>24</v>
      </c>
      <c r="G130" s="57">
        <v>2.5499999999999998</v>
      </c>
      <c r="H130" s="57">
        <f t="shared" ref="H130:H161" si="65">D130*G130</f>
        <v>153</v>
      </c>
      <c r="I130" s="42">
        <f t="shared" si="54"/>
        <v>4.25</v>
      </c>
      <c r="J130" s="65">
        <f t="shared" si="55"/>
        <v>255</v>
      </c>
      <c r="K130" s="41">
        <f t="shared" si="62"/>
        <v>0.4</v>
      </c>
      <c r="L130" s="47">
        <f t="shared" si="56"/>
        <v>3.9230769230769225</v>
      </c>
      <c r="M130" s="68">
        <f t="shared" si="57"/>
        <v>235.38461538461536</v>
      </c>
      <c r="N130" s="48">
        <f t="shared" si="58"/>
        <v>0.34999999999999992</v>
      </c>
      <c r="O130" s="71">
        <f t="shared" si="59"/>
        <v>3.6428571428571428</v>
      </c>
      <c r="P130" s="71">
        <f t="shared" si="60"/>
        <v>218.57142857142856</v>
      </c>
      <c r="Q130" s="37">
        <f t="shared" si="61"/>
        <v>0.30000000000000004</v>
      </c>
      <c r="R130" s="35" t="s">
        <v>3</v>
      </c>
      <c r="S130" s="35" t="s">
        <v>3</v>
      </c>
      <c r="T130" s="77"/>
      <c r="U130" s="77"/>
      <c r="V130" s="77"/>
      <c r="W130" s="77"/>
      <c r="X130" s="82">
        <v>140379</v>
      </c>
      <c r="Z130" s="77"/>
      <c r="AA130" s="77"/>
      <c r="AB130" s="34"/>
      <c r="AC130" s="34"/>
      <c r="AD130" s="34"/>
      <c r="AE130" s="33" t="s">
        <v>125</v>
      </c>
      <c r="AF130" s="77">
        <f t="shared" si="63"/>
        <v>3.23</v>
      </c>
      <c r="AG130" s="77">
        <f t="shared" si="64"/>
        <v>0.68000000000000016</v>
      </c>
    </row>
    <row r="131" spans="1:33">
      <c r="A131" s="33" t="s">
        <v>354</v>
      </c>
      <c r="B131" s="33" t="s">
        <v>80</v>
      </c>
      <c r="C131" s="33" t="s">
        <v>81</v>
      </c>
      <c r="D131" s="34">
        <v>54</v>
      </c>
      <c r="E131" s="34" t="s">
        <v>2</v>
      </c>
      <c r="F131" s="34">
        <v>24</v>
      </c>
      <c r="G131" s="57">
        <v>2.5499999999999998</v>
      </c>
      <c r="H131" s="57">
        <f t="shared" si="65"/>
        <v>137.69999999999999</v>
      </c>
      <c r="I131" s="42">
        <f t="shared" si="54"/>
        <v>4.25</v>
      </c>
      <c r="J131" s="65">
        <f t="shared" si="55"/>
        <v>229.5</v>
      </c>
      <c r="K131" s="41">
        <f t="shared" si="62"/>
        <v>0.4</v>
      </c>
      <c r="L131" s="47">
        <f t="shared" si="56"/>
        <v>3.9230769230769225</v>
      </c>
      <c r="M131" s="68">
        <f t="shared" si="57"/>
        <v>211.84615384615381</v>
      </c>
      <c r="N131" s="48">
        <f t="shared" si="58"/>
        <v>0.34999999999999992</v>
      </c>
      <c r="O131" s="71">
        <f t="shared" si="59"/>
        <v>3.6428571428571428</v>
      </c>
      <c r="P131" s="71">
        <f t="shared" si="60"/>
        <v>196.71428571428572</v>
      </c>
      <c r="Q131" s="37">
        <f t="shared" si="61"/>
        <v>0.30000000000000004</v>
      </c>
      <c r="R131" s="35" t="s">
        <v>3</v>
      </c>
      <c r="S131" s="35" t="s">
        <v>3</v>
      </c>
      <c r="T131" s="77"/>
      <c r="U131" s="77"/>
      <c r="V131" s="77"/>
      <c r="W131" s="77"/>
      <c r="X131" s="82">
        <v>140379</v>
      </c>
      <c r="Z131" s="77"/>
      <c r="AA131" s="77"/>
      <c r="AB131" s="34"/>
      <c r="AC131" s="34"/>
      <c r="AD131" s="34"/>
      <c r="AE131" s="33" t="s">
        <v>127</v>
      </c>
      <c r="AF131" s="77">
        <f t="shared" si="63"/>
        <v>3.23</v>
      </c>
      <c r="AG131" s="77">
        <f t="shared" si="64"/>
        <v>0.68000000000000016</v>
      </c>
    </row>
    <row r="132" spans="1:33">
      <c r="A132" s="33" t="s">
        <v>354</v>
      </c>
      <c r="B132" s="33" t="s">
        <v>82</v>
      </c>
      <c r="C132" s="33" t="s">
        <v>83</v>
      </c>
      <c r="D132" s="34">
        <v>50</v>
      </c>
      <c r="E132" s="34" t="s">
        <v>2</v>
      </c>
      <c r="F132" s="34">
        <v>24</v>
      </c>
      <c r="G132" s="57">
        <v>2.5499999999999998</v>
      </c>
      <c r="H132" s="57">
        <f t="shared" si="65"/>
        <v>127.49999999999999</v>
      </c>
      <c r="I132" s="42">
        <f t="shared" si="54"/>
        <v>4.25</v>
      </c>
      <c r="J132" s="65">
        <f t="shared" si="55"/>
        <v>212.5</v>
      </c>
      <c r="K132" s="41">
        <f t="shared" si="62"/>
        <v>0.4</v>
      </c>
      <c r="L132" s="47">
        <f t="shared" si="56"/>
        <v>3.9230769230769225</v>
      </c>
      <c r="M132" s="68">
        <f t="shared" si="57"/>
        <v>196.15384615384613</v>
      </c>
      <c r="N132" s="48">
        <f t="shared" si="58"/>
        <v>0.34999999999999992</v>
      </c>
      <c r="O132" s="71">
        <f t="shared" si="59"/>
        <v>3.6428571428571428</v>
      </c>
      <c r="P132" s="71">
        <f t="shared" si="60"/>
        <v>182.14285714285714</v>
      </c>
      <c r="Q132" s="37">
        <f t="shared" si="61"/>
        <v>0.30000000000000004</v>
      </c>
      <c r="R132" s="35" t="s">
        <v>3</v>
      </c>
      <c r="S132" s="35" t="s">
        <v>3</v>
      </c>
      <c r="T132" s="77"/>
      <c r="U132" s="77"/>
      <c r="V132" s="77"/>
      <c r="W132" s="77"/>
      <c r="X132" s="82">
        <v>140379</v>
      </c>
      <c r="Z132" s="77"/>
      <c r="AA132" s="77"/>
      <c r="AB132" s="34"/>
      <c r="AC132" s="34"/>
      <c r="AD132" s="34"/>
      <c r="AE132" s="33" t="s">
        <v>129</v>
      </c>
      <c r="AF132" s="77">
        <f t="shared" si="63"/>
        <v>3.23</v>
      </c>
      <c r="AG132" s="77">
        <f t="shared" si="64"/>
        <v>0.68000000000000016</v>
      </c>
    </row>
    <row r="133" spans="1:33">
      <c r="A133" s="33" t="s">
        <v>354</v>
      </c>
      <c r="B133" s="33" t="s">
        <v>84</v>
      </c>
      <c r="C133" s="33" t="s">
        <v>85</v>
      </c>
      <c r="D133" s="34">
        <v>50</v>
      </c>
      <c r="E133" s="34" t="s">
        <v>2</v>
      </c>
      <c r="F133" s="34">
        <v>24</v>
      </c>
      <c r="G133" s="57">
        <v>2.5499999999999998</v>
      </c>
      <c r="H133" s="57">
        <f t="shared" si="65"/>
        <v>127.49999999999999</v>
      </c>
      <c r="I133" s="42">
        <f t="shared" si="54"/>
        <v>4.25</v>
      </c>
      <c r="J133" s="65">
        <f t="shared" si="55"/>
        <v>212.5</v>
      </c>
      <c r="K133" s="41">
        <f t="shared" si="62"/>
        <v>0.4</v>
      </c>
      <c r="L133" s="47">
        <f t="shared" si="56"/>
        <v>3.9230769230769225</v>
      </c>
      <c r="M133" s="68">
        <f t="shared" si="57"/>
        <v>196.15384615384613</v>
      </c>
      <c r="N133" s="48">
        <f t="shared" si="58"/>
        <v>0.34999999999999992</v>
      </c>
      <c r="O133" s="71">
        <f t="shared" si="59"/>
        <v>3.6428571428571428</v>
      </c>
      <c r="P133" s="71">
        <f t="shared" si="60"/>
        <v>182.14285714285714</v>
      </c>
      <c r="Q133" s="37">
        <f t="shared" si="61"/>
        <v>0.30000000000000004</v>
      </c>
      <c r="R133" s="35" t="s">
        <v>3</v>
      </c>
      <c r="S133" s="35" t="s">
        <v>3</v>
      </c>
      <c r="T133" s="77"/>
      <c r="U133" s="77"/>
      <c r="V133" s="77"/>
      <c r="W133" s="77"/>
      <c r="X133" s="82">
        <v>140379</v>
      </c>
      <c r="Z133" s="77"/>
      <c r="AA133" s="77"/>
      <c r="AB133" s="34"/>
      <c r="AC133" s="34"/>
      <c r="AD133" s="34"/>
      <c r="AE133" s="33" t="s">
        <v>131</v>
      </c>
      <c r="AF133" s="77">
        <f t="shared" si="63"/>
        <v>3.23</v>
      </c>
      <c r="AG133" s="77">
        <f t="shared" si="64"/>
        <v>0.68000000000000016</v>
      </c>
    </row>
    <row r="134" spans="1:33">
      <c r="A134" s="33" t="s">
        <v>354</v>
      </c>
      <c r="B134" s="33" t="s">
        <v>54</v>
      </c>
      <c r="C134" s="33" t="s">
        <v>55</v>
      </c>
      <c r="D134" s="34">
        <v>60</v>
      </c>
      <c r="E134" s="34" t="s">
        <v>2</v>
      </c>
      <c r="F134" s="34">
        <v>24</v>
      </c>
      <c r="G134" s="57">
        <v>1.99</v>
      </c>
      <c r="H134" s="57">
        <f t="shared" si="65"/>
        <v>119.4</v>
      </c>
      <c r="I134" s="42">
        <f t="shared" si="54"/>
        <v>3.3166666666666669</v>
      </c>
      <c r="J134" s="65">
        <f t="shared" si="55"/>
        <v>199</v>
      </c>
      <c r="K134" s="41">
        <f t="shared" si="62"/>
        <v>0.4</v>
      </c>
      <c r="L134" s="47">
        <f t="shared" si="56"/>
        <v>3.0615384615384613</v>
      </c>
      <c r="M134" s="68">
        <f t="shared" si="57"/>
        <v>183.69230769230768</v>
      </c>
      <c r="N134" s="48">
        <f t="shared" si="58"/>
        <v>0.35</v>
      </c>
      <c r="O134" s="71">
        <f t="shared" si="59"/>
        <v>2.842857142857143</v>
      </c>
      <c r="P134" s="71">
        <f t="shared" si="60"/>
        <v>170.57142857142858</v>
      </c>
      <c r="Q134" s="37">
        <f t="shared" si="61"/>
        <v>0.30000000000000004</v>
      </c>
      <c r="R134" s="35" t="s">
        <v>3</v>
      </c>
      <c r="S134" s="35" t="s">
        <v>3</v>
      </c>
      <c r="T134" s="77"/>
      <c r="U134" s="77"/>
      <c r="V134" s="77"/>
      <c r="W134" s="77"/>
      <c r="X134" s="82">
        <v>140379</v>
      </c>
      <c r="Z134" s="77"/>
      <c r="AA134" s="77"/>
      <c r="AB134" s="34"/>
      <c r="AC134" s="34"/>
      <c r="AD134" s="34"/>
      <c r="AE134" s="33" t="s">
        <v>100</v>
      </c>
      <c r="AF134" s="77">
        <f t="shared" si="63"/>
        <v>2.68</v>
      </c>
      <c r="AG134" s="77">
        <f t="shared" si="64"/>
        <v>0.69000000000000017</v>
      </c>
    </row>
    <row r="135" spans="1:33">
      <c r="A135" s="33" t="s">
        <v>354</v>
      </c>
      <c r="B135" s="33" t="s">
        <v>56</v>
      </c>
      <c r="C135" s="33" t="s">
        <v>57</v>
      </c>
      <c r="D135" s="34">
        <v>54</v>
      </c>
      <c r="E135" s="34" t="s">
        <v>2</v>
      </c>
      <c r="F135" s="34">
        <v>24</v>
      </c>
      <c r="G135" s="57">
        <v>1.99</v>
      </c>
      <c r="H135" s="57">
        <f t="shared" si="65"/>
        <v>107.46</v>
      </c>
      <c r="I135" s="42">
        <f t="shared" ref="I135:I166" si="66">G135/(1-0.4)</f>
        <v>3.3166666666666669</v>
      </c>
      <c r="J135" s="65">
        <f t="shared" ref="J135:J166" si="67">D135*I135</f>
        <v>179.10000000000002</v>
      </c>
      <c r="K135" s="41">
        <f t="shared" si="62"/>
        <v>0.4</v>
      </c>
      <c r="L135" s="47">
        <f t="shared" ref="L135:L166" si="68">G135/(1-0.35)</f>
        <v>3.0615384615384613</v>
      </c>
      <c r="M135" s="68">
        <f t="shared" ref="M135:M166" si="69">D135*L135</f>
        <v>165.32307692307691</v>
      </c>
      <c r="N135" s="48">
        <f t="shared" ref="N135:N166" si="70">(L135-G135)/L135</f>
        <v>0.35</v>
      </c>
      <c r="O135" s="71">
        <f t="shared" ref="O135:O166" si="71">G135/(1-0.3)</f>
        <v>2.842857142857143</v>
      </c>
      <c r="P135" s="71">
        <f t="shared" si="60"/>
        <v>153.51428571428573</v>
      </c>
      <c r="Q135" s="37">
        <f t="shared" ref="Q135:Q166" si="72">(O135-G135)/O135</f>
        <v>0.30000000000000004</v>
      </c>
      <c r="R135" s="35" t="s">
        <v>3</v>
      </c>
      <c r="S135" s="35" t="s">
        <v>3</v>
      </c>
      <c r="T135" s="77"/>
      <c r="U135" s="77"/>
      <c r="V135" s="77"/>
      <c r="W135" s="77"/>
      <c r="X135" s="82">
        <v>140379</v>
      </c>
      <c r="Z135" s="77" t="s">
        <v>1103</v>
      </c>
      <c r="AA135" s="77">
        <v>4.7</v>
      </c>
      <c r="AB135" s="145">
        <f>I135</f>
        <v>3.3166666666666669</v>
      </c>
      <c r="AC135" s="77">
        <f>AB135-AA135</f>
        <v>-1.3833333333333333</v>
      </c>
      <c r="AD135" s="34"/>
      <c r="AE135" s="33" t="s">
        <v>102</v>
      </c>
      <c r="AF135" s="77">
        <f t="shared" si="63"/>
        <v>2.68</v>
      </c>
      <c r="AG135" s="77">
        <f t="shared" si="64"/>
        <v>0.69000000000000017</v>
      </c>
    </row>
    <row r="136" spans="1:33">
      <c r="A136" s="33" t="s">
        <v>354</v>
      </c>
      <c r="B136" s="33" t="s">
        <v>58</v>
      </c>
      <c r="C136" s="33" t="s">
        <v>59</v>
      </c>
      <c r="D136" s="34">
        <v>54</v>
      </c>
      <c r="E136" s="34" t="s">
        <v>2</v>
      </c>
      <c r="F136" s="34">
        <v>24</v>
      </c>
      <c r="G136" s="57">
        <v>1.99</v>
      </c>
      <c r="H136" s="57">
        <f t="shared" si="65"/>
        <v>107.46</v>
      </c>
      <c r="I136" s="42">
        <f t="shared" si="66"/>
        <v>3.3166666666666669</v>
      </c>
      <c r="J136" s="65">
        <f t="shared" si="67"/>
        <v>179.10000000000002</v>
      </c>
      <c r="K136" s="41">
        <f t="shared" si="62"/>
        <v>0.4</v>
      </c>
      <c r="L136" s="47">
        <f t="shared" si="68"/>
        <v>3.0615384615384613</v>
      </c>
      <c r="M136" s="68">
        <f t="shared" si="69"/>
        <v>165.32307692307691</v>
      </c>
      <c r="N136" s="48">
        <f t="shared" si="70"/>
        <v>0.35</v>
      </c>
      <c r="O136" s="71">
        <f t="shared" si="71"/>
        <v>2.842857142857143</v>
      </c>
      <c r="P136" s="71">
        <f t="shared" si="60"/>
        <v>153.51428571428573</v>
      </c>
      <c r="Q136" s="37">
        <f t="shared" si="72"/>
        <v>0.30000000000000004</v>
      </c>
      <c r="R136" s="35" t="s">
        <v>3</v>
      </c>
      <c r="S136" s="35" t="s">
        <v>3</v>
      </c>
      <c r="T136" s="77"/>
      <c r="U136" s="77"/>
      <c r="V136" s="77"/>
      <c r="W136" s="77"/>
      <c r="X136" s="82">
        <v>140379</v>
      </c>
      <c r="Z136" s="77" t="s">
        <v>1104</v>
      </c>
      <c r="AA136" s="77">
        <v>5.28</v>
      </c>
      <c r="AB136" s="145">
        <f>I136</f>
        <v>3.3166666666666669</v>
      </c>
      <c r="AC136" s="77">
        <f>AB136-AA136</f>
        <v>-1.9633333333333334</v>
      </c>
      <c r="AD136" s="34"/>
      <c r="AE136" s="33" t="s">
        <v>104</v>
      </c>
      <c r="AF136" s="77">
        <f t="shared" si="63"/>
        <v>2.68</v>
      </c>
      <c r="AG136" s="77">
        <f t="shared" si="64"/>
        <v>0.69000000000000017</v>
      </c>
    </row>
    <row r="137" spans="1:33">
      <c r="A137" s="33" t="s">
        <v>354</v>
      </c>
      <c r="B137" s="33" t="s">
        <v>60</v>
      </c>
      <c r="C137" s="33" t="s">
        <v>61</v>
      </c>
      <c r="D137" s="34">
        <v>50</v>
      </c>
      <c r="E137" s="34" t="s">
        <v>2</v>
      </c>
      <c r="F137" s="34">
        <v>24</v>
      </c>
      <c r="G137" s="57">
        <v>1.99</v>
      </c>
      <c r="H137" s="57">
        <f t="shared" si="65"/>
        <v>99.5</v>
      </c>
      <c r="I137" s="42">
        <f t="shared" si="66"/>
        <v>3.3166666666666669</v>
      </c>
      <c r="J137" s="65">
        <f t="shared" si="67"/>
        <v>165.83333333333334</v>
      </c>
      <c r="K137" s="41">
        <f t="shared" si="62"/>
        <v>0.4</v>
      </c>
      <c r="L137" s="47">
        <f t="shared" si="68"/>
        <v>3.0615384615384613</v>
      </c>
      <c r="M137" s="68">
        <f t="shared" si="69"/>
        <v>153.07692307692307</v>
      </c>
      <c r="N137" s="48">
        <f t="shared" si="70"/>
        <v>0.35</v>
      </c>
      <c r="O137" s="71">
        <f t="shared" si="71"/>
        <v>2.842857142857143</v>
      </c>
      <c r="P137" s="71">
        <f t="shared" si="60"/>
        <v>142.14285714285714</v>
      </c>
      <c r="Q137" s="37">
        <f t="shared" si="72"/>
        <v>0.30000000000000004</v>
      </c>
      <c r="R137" s="35" t="s">
        <v>3</v>
      </c>
      <c r="S137" s="35" t="s">
        <v>3</v>
      </c>
      <c r="T137" s="77"/>
      <c r="U137" s="77"/>
      <c r="V137" s="77"/>
      <c r="W137" s="77"/>
      <c r="X137" s="82">
        <v>140379</v>
      </c>
      <c r="Z137" s="77"/>
      <c r="AA137" s="77"/>
      <c r="AB137" s="145"/>
      <c r="AC137" s="77"/>
      <c r="AD137" s="34"/>
      <c r="AE137" s="33" t="s">
        <v>106</v>
      </c>
      <c r="AF137" s="77">
        <f t="shared" si="63"/>
        <v>2.68</v>
      </c>
      <c r="AG137" s="77">
        <f t="shared" si="64"/>
        <v>0.69000000000000017</v>
      </c>
    </row>
    <row r="138" spans="1:33">
      <c r="A138" s="33" t="s">
        <v>354</v>
      </c>
      <c r="B138" s="33" t="s">
        <v>62</v>
      </c>
      <c r="C138" s="33" t="s">
        <v>63</v>
      </c>
      <c r="D138" s="34">
        <v>60</v>
      </c>
      <c r="E138" s="34" t="s">
        <v>2</v>
      </c>
      <c r="F138" s="34">
        <v>24</v>
      </c>
      <c r="G138" s="57">
        <v>2.5499999999999998</v>
      </c>
      <c r="H138" s="57">
        <f t="shared" si="65"/>
        <v>153</v>
      </c>
      <c r="I138" s="42">
        <f t="shared" si="66"/>
        <v>4.25</v>
      </c>
      <c r="J138" s="65">
        <f t="shared" si="67"/>
        <v>255</v>
      </c>
      <c r="K138" s="41">
        <f t="shared" si="62"/>
        <v>0.4</v>
      </c>
      <c r="L138" s="47">
        <f t="shared" si="68"/>
        <v>3.9230769230769225</v>
      </c>
      <c r="M138" s="68">
        <f t="shared" si="69"/>
        <v>235.38461538461536</v>
      </c>
      <c r="N138" s="48">
        <f t="shared" si="70"/>
        <v>0.34999999999999992</v>
      </c>
      <c r="O138" s="71">
        <f t="shared" si="71"/>
        <v>3.6428571428571428</v>
      </c>
      <c r="P138" s="71">
        <f t="shared" si="60"/>
        <v>218.57142857142856</v>
      </c>
      <c r="Q138" s="37">
        <f t="shared" si="72"/>
        <v>0.30000000000000004</v>
      </c>
      <c r="R138" s="35" t="s">
        <v>3</v>
      </c>
      <c r="S138" s="35" t="s">
        <v>3</v>
      </c>
      <c r="T138" s="77"/>
      <c r="U138" s="77"/>
      <c r="V138" s="77"/>
      <c r="W138" s="77"/>
      <c r="X138" s="82">
        <v>140379</v>
      </c>
      <c r="Z138" s="77"/>
      <c r="AA138" s="77"/>
      <c r="AB138" s="145"/>
      <c r="AC138" s="77"/>
      <c r="AD138" s="34"/>
      <c r="AE138" s="33" t="s">
        <v>108</v>
      </c>
      <c r="AF138" s="77">
        <f t="shared" si="63"/>
        <v>3.23</v>
      </c>
      <c r="AG138" s="77">
        <f t="shared" si="64"/>
        <v>0.68000000000000016</v>
      </c>
    </row>
    <row r="139" spans="1:33">
      <c r="A139" s="33" t="s">
        <v>354</v>
      </c>
      <c r="B139" s="33" t="s">
        <v>64</v>
      </c>
      <c r="C139" s="33" t="s">
        <v>65</v>
      </c>
      <c r="D139" s="34">
        <v>46</v>
      </c>
      <c r="E139" s="34" t="s">
        <v>2</v>
      </c>
      <c r="F139" s="34">
        <v>24</v>
      </c>
      <c r="G139" s="57">
        <v>2.5499999999999998</v>
      </c>
      <c r="H139" s="57">
        <f t="shared" si="65"/>
        <v>117.3</v>
      </c>
      <c r="I139" s="42">
        <f t="shared" si="66"/>
        <v>4.25</v>
      </c>
      <c r="J139" s="65">
        <f t="shared" si="67"/>
        <v>195.5</v>
      </c>
      <c r="K139" s="41">
        <f t="shared" si="62"/>
        <v>0.4</v>
      </c>
      <c r="L139" s="47">
        <f t="shared" si="68"/>
        <v>3.9230769230769225</v>
      </c>
      <c r="M139" s="68">
        <f t="shared" si="69"/>
        <v>180.46153846153842</v>
      </c>
      <c r="N139" s="48">
        <f t="shared" si="70"/>
        <v>0.34999999999999992</v>
      </c>
      <c r="O139" s="71">
        <f t="shared" si="71"/>
        <v>3.6428571428571428</v>
      </c>
      <c r="P139" s="71">
        <f t="shared" si="60"/>
        <v>167.57142857142856</v>
      </c>
      <c r="Q139" s="37">
        <f t="shared" si="72"/>
        <v>0.30000000000000004</v>
      </c>
      <c r="R139" s="35" t="s">
        <v>3</v>
      </c>
      <c r="S139" s="35" t="s">
        <v>3</v>
      </c>
      <c r="T139" s="77"/>
      <c r="U139" s="77"/>
      <c r="V139" s="77"/>
      <c r="W139" s="77"/>
      <c r="X139" s="82">
        <v>140379</v>
      </c>
      <c r="Z139" s="77" t="s">
        <v>1105</v>
      </c>
      <c r="AA139" s="77">
        <v>6.11</v>
      </c>
      <c r="AB139" s="145">
        <f>I139</f>
        <v>4.25</v>
      </c>
      <c r="AC139" s="77">
        <f>AB139-AA139</f>
        <v>-1.8600000000000003</v>
      </c>
      <c r="AD139" s="34"/>
      <c r="AE139" s="33" t="s">
        <v>110</v>
      </c>
      <c r="AF139" s="77">
        <f t="shared" si="63"/>
        <v>3.23</v>
      </c>
      <c r="AG139" s="77">
        <f t="shared" si="64"/>
        <v>0.68000000000000016</v>
      </c>
    </row>
    <row r="140" spans="1:33">
      <c r="A140" s="33" t="s">
        <v>354</v>
      </c>
      <c r="B140" s="33" t="s">
        <v>66</v>
      </c>
      <c r="C140" s="33" t="s">
        <v>67</v>
      </c>
      <c r="D140" s="34">
        <v>42</v>
      </c>
      <c r="E140" s="34" t="s">
        <v>2</v>
      </c>
      <c r="F140" s="34">
        <v>24</v>
      </c>
      <c r="G140" s="57">
        <v>2.5499999999999998</v>
      </c>
      <c r="H140" s="57">
        <f t="shared" si="65"/>
        <v>107.1</v>
      </c>
      <c r="I140" s="42">
        <f t="shared" si="66"/>
        <v>4.25</v>
      </c>
      <c r="J140" s="65">
        <f t="shared" si="67"/>
        <v>178.5</v>
      </c>
      <c r="K140" s="41">
        <f t="shared" si="62"/>
        <v>0.4</v>
      </c>
      <c r="L140" s="47">
        <f t="shared" si="68"/>
        <v>3.9230769230769225</v>
      </c>
      <c r="M140" s="68">
        <f t="shared" si="69"/>
        <v>164.76923076923075</v>
      </c>
      <c r="N140" s="48">
        <f t="shared" si="70"/>
        <v>0.34999999999999992</v>
      </c>
      <c r="O140" s="71">
        <f t="shared" si="71"/>
        <v>3.6428571428571428</v>
      </c>
      <c r="P140" s="71">
        <f t="shared" si="60"/>
        <v>153</v>
      </c>
      <c r="Q140" s="37">
        <f t="shared" si="72"/>
        <v>0.30000000000000004</v>
      </c>
      <c r="R140" s="35" t="s">
        <v>3</v>
      </c>
      <c r="S140" s="35" t="s">
        <v>3</v>
      </c>
      <c r="T140" s="77"/>
      <c r="U140" s="77"/>
      <c r="V140" s="77"/>
      <c r="W140" s="77"/>
      <c r="X140" s="82">
        <v>140379</v>
      </c>
      <c r="Z140" s="77" t="s">
        <v>1106</v>
      </c>
      <c r="AA140" s="77">
        <v>7.15</v>
      </c>
      <c r="AB140" s="145">
        <f>I140</f>
        <v>4.25</v>
      </c>
      <c r="AC140" s="77">
        <f>AB140-AA140</f>
        <v>-2.9000000000000004</v>
      </c>
      <c r="AD140" s="34"/>
      <c r="AE140" s="33" t="s">
        <v>112</v>
      </c>
      <c r="AF140" s="77">
        <f t="shared" si="63"/>
        <v>3.23</v>
      </c>
      <c r="AG140" s="77">
        <f t="shared" si="64"/>
        <v>0.68000000000000016</v>
      </c>
    </row>
    <row r="141" spans="1:33">
      <c r="A141" s="33" t="s">
        <v>354</v>
      </c>
      <c r="B141" s="33" t="s">
        <v>68</v>
      </c>
      <c r="C141" s="33" t="s">
        <v>69</v>
      </c>
      <c r="D141" s="34">
        <v>42</v>
      </c>
      <c r="E141" s="34" t="s">
        <v>2</v>
      </c>
      <c r="F141" s="34">
        <v>24</v>
      </c>
      <c r="G141" s="57">
        <v>2.5499999999999998</v>
      </c>
      <c r="H141" s="57">
        <f t="shared" si="65"/>
        <v>107.1</v>
      </c>
      <c r="I141" s="42">
        <f t="shared" si="66"/>
        <v>4.25</v>
      </c>
      <c r="J141" s="65">
        <f t="shared" si="67"/>
        <v>178.5</v>
      </c>
      <c r="K141" s="41">
        <f t="shared" si="62"/>
        <v>0.4</v>
      </c>
      <c r="L141" s="47">
        <f t="shared" si="68"/>
        <v>3.9230769230769225</v>
      </c>
      <c r="M141" s="68">
        <f t="shared" si="69"/>
        <v>164.76923076923075</v>
      </c>
      <c r="N141" s="48">
        <f t="shared" si="70"/>
        <v>0.34999999999999992</v>
      </c>
      <c r="O141" s="71">
        <f t="shared" si="71"/>
        <v>3.6428571428571428</v>
      </c>
      <c r="P141" s="71">
        <f t="shared" si="60"/>
        <v>153</v>
      </c>
      <c r="Q141" s="37">
        <f t="shared" si="72"/>
        <v>0.30000000000000004</v>
      </c>
      <c r="R141" s="35" t="s">
        <v>3</v>
      </c>
      <c r="S141" s="35" t="s">
        <v>3</v>
      </c>
      <c r="T141" s="77"/>
      <c r="U141" s="77"/>
      <c r="V141" s="77"/>
      <c r="W141" s="77"/>
      <c r="X141" s="82">
        <v>140379</v>
      </c>
      <c r="Z141" s="77"/>
      <c r="AA141" s="77"/>
      <c r="AB141" s="145"/>
      <c r="AC141" s="34"/>
      <c r="AD141" s="34"/>
      <c r="AE141" s="33" t="s">
        <v>114</v>
      </c>
      <c r="AF141" s="77">
        <f t="shared" si="63"/>
        <v>3.23</v>
      </c>
      <c r="AG141" s="77">
        <f t="shared" si="64"/>
        <v>0.68000000000000016</v>
      </c>
    </row>
    <row r="142" spans="1:33">
      <c r="A142" s="33" t="s">
        <v>354</v>
      </c>
      <c r="B142" s="33" t="s">
        <v>86</v>
      </c>
      <c r="C142" s="33" t="s">
        <v>87</v>
      </c>
      <c r="D142" s="34">
        <v>50</v>
      </c>
      <c r="E142" s="34" t="s">
        <v>2</v>
      </c>
      <c r="F142" s="34">
        <v>24</v>
      </c>
      <c r="G142" s="57">
        <v>3.95</v>
      </c>
      <c r="H142" s="57">
        <f t="shared" si="65"/>
        <v>197.5</v>
      </c>
      <c r="I142" s="42">
        <f t="shared" si="66"/>
        <v>6.5833333333333339</v>
      </c>
      <c r="J142" s="65">
        <f t="shared" si="67"/>
        <v>329.16666666666669</v>
      </c>
      <c r="K142" s="41">
        <f t="shared" si="62"/>
        <v>0.4</v>
      </c>
      <c r="L142" s="47">
        <f t="shared" si="68"/>
        <v>6.0769230769230766</v>
      </c>
      <c r="M142" s="68">
        <f t="shared" si="69"/>
        <v>303.84615384615381</v>
      </c>
      <c r="N142" s="48">
        <f t="shared" si="70"/>
        <v>0.34999999999999992</v>
      </c>
      <c r="O142" s="71">
        <f t="shared" si="71"/>
        <v>5.6428571428571432</v>
      </c>
      <c r="P142" s="71">
        <f t="shared" si="60"/>
        <v>282.14285714285717</v>
      </c>
      <c r="Q142" s="37">
        <f t="shared" si="72"/>
        <v>0.3</v>
      </c>
      <c r="R142" s="35" t="s">
        <v>3</v>
      </c>
      <c r="S142" s="35" t="s">
        <v>3</v>
      </c>
      <c r="T142" s="77"/>
      <c r="U142" s="77"/>
      <c r="V142" s="77"/>
      <c r="W142" s="77"/>
      <c r="X142" s="82">
        <v>140379</v>
      </c>
      <c r="Z142" s="77"/>
      <c r="AA142" s="77"/>
      <c r="AB142" s="145"/>
      <c r="AC142" s="34"/>
      <c r="AD142" s="34"/>
      <c r="AE142" s="33" t="s">
        <v>137</v>
      </c>
      <c r="AF142" s="77">
        <f t="shared" si="63"/>
        <v>4.58</v>
      </c>
      <c r="AG142" s="77">
        <f t="shared" si="64"/>
        <v>0.62999999999999989</v>
      </c>
    </row>
    <row r="143" spans="1:33">
      <c r="A143" s="33" t="s">
        <v>354</v>
      </c>
      <c r="B143" s="33" t="s">
        <v>88</v>
      </c>
      <c r="C143" s="33" t="s">
        <v>89</v>
      </c>
      <c r="D143" s="34">
        <v>50</v>
      </c>
      <c r="E143" s="34" t="s">
        <v>2</v>
      </c>
      <c r="F143" s="34">
        <v>24</v>
      </c>
      <c r="G143" s="57">
        <v>3.95</v>
      </c>
      <c r="H143" s="57">
        <f t="shared" si="65"/>
        <v>197.5</v>
      </c>
      <c r="I143" s="42">
        <f t="shared" si="66"/>
        <v>6.5833333333333339</v>
      </c>
      <c r="J143" s="65">
        <f t="shared" si="67"/>
        <v>329.16666666666669</v>
      </c>
      <c r="K143" s="41">
        <f t="shared" si="62"/>
        <v>0.4</v>
      </c>
      <c r="L143" s="47">
        <f t="shared" si="68"/>
        <v>6.0769230769230766</v>
      </c>
      <c r="M143" s="68">
        <f t="shared" si="69"/>
        <v>303.84615384615381</v>
      </c>
      <c r="N143" s="48">
        <f t="shared" si="70"/>
        <v>0.34999999999999992</v>
      </c>
      <c r="O143" s="71">
        <f t="shared" si="71"/>
        <v>5.6428571428571432</v>
      </c>
      <c r="P143" s="71">
        <f t="shared" si="60"/>
        <v>282.14285714285717</v>
      </c>
      <c r="Q143" s="37">
        <f t="shared" si="72"/>
        <v>0.3</v>
      </c>
      <c r="R143" s="35" t="s">
        <v>3</v>
      </c>
      <c r="S143" s="35" t="s">
        <v>3</v>
      </c>
      <c r="T143" s="77"/>
      <c r="U143" s="77"/>
      <c r="V143" s="77"/>
      <c r="W143" s="77"/>
      <c r="X143" s="82">
        <v>140379</v>
      </c>
      <c r="Z143" s="77"/>
      <c r="AA143" s="77"/>
      <c r="AB143" s="145"/>
      <c r="AC143" s="34"/>
      <c r="AD143" s="34"/>
      <c r="AE143" s="33" t="s">
        <v>139</v>
      </c>
      <c r="AF143" s="77">
        <f t="shared" si="63"/>
        <v>4.58</v>
      </c>
      <c r="AG143" s="77">
        <f t="shared" si="64"/>
        <v>0.62999999999999989</v>
      </c>
    </row>
    <row r="144" spans="1:33">
      <c r="A144" s="33" t="s">
        <v>354</v>
      </c>
      <c r="B144" s="33" t="s">
        <v>90</v>
      </c>
      <c r="C144" s="33" t="s">
        <v>91</v>
      </c>
      <c r="D144" s="34">
        <v>42</v>
      </c>
      <c r="E144" s="34" t="s">
        <v>2</v>
      </c>
      <c r="F144" s="34">
        <v>24</v>
      </c>
      <c r="G144" s="57">
        <v>3.95</v>
      </c>
      <c r="H144" s="57">
        <f t="shared" si="65"/>
        <v>165.9</v>
      </c>
      <c r="I144" s="42">
        <f t="shared" si="66"/>
        <v>6.5833333333333339</v>
      </c>
      <c r="J144" s="65">
        <f t="shared" si="67"/>
        <v>276.5</v>
      </c>
      <c r="K144" s="41">
        <f t="shared" si="62"/>
        <v>0.4</v>
      </c>
      <c r="L144" s="47">
        <f t="shared" si="68"/>
        <v>6.0769230769230766</v>
      </c>
      <c r="M144" s="68">
        <f t="shared" si="69"/>
        <v>255.23076923076923</v>
      </c>
      <c r="N144" s="48">
        <f t="shared" si="70"/>
        <v>0.34999999999999992</v>
      </c>
      <c r="O144" s="71">
        <f t="shared" si="71"/>
        <v>5.6428571428571432</v>
      </c>
      <c r="P144" s="71">
        <f t="shared" si="60"/>
        <v>237.00000000000003</v>
      </c>
      <c r="Q144" s="37">
        <f t="shared" si="72"/>
        <v>0.3</v>
      </c>
      <c r="R144" s="35" t="s">
        <v>3</v>
      </c>
      <c r="S144" s="35" t="s">
        <v>3</v>
      </c>
      <c r="T144" s="77"/>
      <c r="U144" s="77"/>
      <c r="V144" s="77"/>
      <c r="W144" s="77"/>
      <c r="X144" s="82">
        <v>140379</v>
      </c>
      <c r="Z144" s="77" t="s">
        <v>1107</v>
      </c>
      <c r="AA144" s="77">
        <v>9.02</v>
      </c>
      <c r="AB144" s="145">
        <f>I144</f>
        <v>6.5833333333333339</v>
      </c>
      <c r="AC144" s="77">
        <f>AB144-AA144</f>
        <v>-2.4366666666666656</v>
      </c>
      <c r="AD144" s="34"/>
      <c r="AE144" s="33" t="s">
        <v>141</v>
      </c>
      <c r="AF144" s="77">
        <f t="shared" si="63"/>
        <v>4.58</v>
      </c>
      <c r="AG144" s="77">
        <f t="shared" si="64"/>
        <v>0.62999999999999989</v>
      </c>
    </row>
    <row r="145" spans="1:36">
      <c r="A145" s="7" t="s">
        <v>354</v>
      </c>
      <c r="B145" s="7" t="s">
        <v>92</v>
      </c>
      <c r="C145" s="7" t="s">
        <v>93</v>
      </c>
      <c r="D145" s="14">
        <v>42</v>
      </c>
      <c r="E145" s="14" t="s">
        <v>2</v>
      </c>
      <c r="F145" s="14">
        <v>24</v>
      </c>
      <c r="G145" s="58">
        <v>3.95</v>
      </c>
      <c r="H145" s="58">
        <f t="shared" si="65"/>
        <v>165.9</v>
      </c>
      <c r="I145" s="44">
        <f t="shared" si="66"/>
        <v>6.5833333333333339</v>
      </c>
      <c r="J145" s="66">
        <f t="shared" si="67"/>
        <v>276.5</v>
      </c>
      <c r="K145" s="43">
        <f t="shared" si="62"/>
        <v>0.4</v>
      </c>
      <c r="L145" s="49">
        <f t="shared" si="68"/>
        <v>6.0769230769230766</v>
      </c>
      <c r="M145" s="69">
        <f t="shared" si="69"/>
        <v>255.23076923076923</v>
      </c>
      <c r="N145" s="50">
        <f t="shared" si="70"/>
        <v>0.34999999999999992</v>
      </c>
      <c r="O145" s="72">
        <f t="shared" si="71"/>
        <v>5.6428571428571432</v>
      </c>
      <c r="P145" s="72">
        <f t="shared" si="60"/>
        <v>237.00000000000003</v>
      </c>
      <c r="Q145" s="38">
        <f t="shared" si="72"/>
        <v>0.3</v>
      </c>
      <c r="R145" s="8" t="s">
        <v>3</v>
      </c>
      <c r="S145" s="8" t="s">
        <v>3</v>
      </c>
      <c r="T145" s="78"/>
      <c r="U145" s="78"/>
      <c r="V145" s="78"/>
      <c r="W145" s="78"/>
      <c r="X145" s="84">
        <v>140379</v>
      </c>
      <c r="Z145" s="78" t="s">
        <v>1108</v>
      </c>
      <c r="AA145" s="78">
        <v>11.61</v>
      </c>
      <c r="AB145" s="145">
        <f>I145</f>
        <v>6.5833333333333339</v>
      </c>
      <c r="AC145" s="77">
        <f>AB145-AA145</f>
        <v>-5.0266666666666655</v>
      </c>
      <c r="AD145" s="34"/>
      <c r="AE145" s="7" t="s">
        <v>143</v>
      </c>
      <c r="AF145" s="78">
        <f t="shared" si="63"/>
        <v>4.58</v>
      </c>
      <c r="AG145" s="78">
        <f t="shared" si="64"/>
        <v>0.62999999999999989</v>
      </c>
    </row>
    <row r="146" spans="1:36" s="10" customFormat="1">
      <c r="A146" s="4" t="s">
        <v>926</v>
      </c>
      <c r="B146" s="4" t="s">
        <v>1093</v>
      </c>
      <c r="C146" s="86" t="s">
        <v>1094</v>
      </c>
      <c r="D146" s="12">
        <v>200</v>
      </c>
      <c r="E146" s="34" t="s">
        <v>2</v>
      </c>
      <c r="F146" s="180"/>
      <c r="G146" s="57">
        <v>0.12</v>
      </c>
      <c r="H146" s="57">
        <f t="shared" si="65"/>
        <v>24</v>
      </c>
      <c r="I146" s="42">
        <f t="shared" si="66"/>
        <v>0.2</v>
      </c>
      <c r="J146" s="27">
        <f t="shared" si="67"/>
        <v>40</v>
      </c>
      <c r="K146" s="41">
        <f t="shared" si="62"/>
        <v>0.40000000000000008</v>
      </c>
      <c r="L146" s="47">
        <f t="shared" si="68"/>
        <v>0.1846153846153846</v>
      </c>
      <c r="M146" s="28">
        <f t="shared" si="69"/>
        <v>36.92307692307692</v>
      </c>
      <c r="N146" s="48">
        <f t="shared" si="70"/>
        <v>0.35</v>
      </c>
      <c r="O146" s="71">
        <f t="shared" si="71"/>
        <v>0.17142857142857143</v>
      </c>
      <c r="P146" s="71">
        <f t="shared" ref="P146:P177" si="73">D146*O146</f>
        <v>34.285714285714285</v>
      </c>
      <c r="Q146" s="37">
        <f t="shared" si="72"/>
        <v>0.30000000000000004</v>
      </c>
      <c r="R146" s="165"/>
      <c r="S146" s="165"/>
      <c r="T146" s="79"/>
      <c r="U146" s="79"/>
      <c r="V146" s="79"/>
      <c r="W146" s="79"/>
      <c r="X146" s="83">
        <v>153155</v>
      </c>
      <c r="Z146" s="79"/>
      <c r="AA146" s="79"/>
      <c r="AB146" s="12"/>
      <c r="AC146" s="12"/>
      <c r="AD146" s="186"/>
      <c r="AE146" s="196" t="s">
        <v>145</v>
      </c>
      <c r="AF146" s="79">
        <f t="shared" si="63"/>
        <v>0.28999999999999998</v>
      </c>
      <c r="AG146" s="79">
        <f t="shared" si="64"/>
        <v>0.16999999999999998</v>
      </c>
      <c r="AJ146" s="187"/>
    </row>
    <row r="147" spans="1:36">
      <c r="A147" s="33" t="s">
        <v>926</v>
      </c>
      <c r="B147" s="33" t="s">
        <v>1101</v>
      </c>
      <c r="C147" s="33" t="s">
        <v>1102</v>
      </c>
      <c r="D147" s="34">
        <v>250</v>
      </c>
      <c r="E147" s="34" t="s">
        <v>2</v>
      </c>
      <c r="F147" s="34">
        <v>24</v>
      </c>
      <c r="G147" s="57">
        <v>0.37</v>
      </c>
      <c r="H147" s="57">
        <f t="shared" si="65"/>
        <v>92.5</v>
      </c>
      <c r="I147" s="65">
        <f t="shared" si="66"/>
        <v>0.6166666666666667</v>
      </c>
      <c r="J147" s="27">
        <f t="shared" si="67"/>
        <v>154.16666666666669</v>
      </c>
      <c r="K147" s="41">
        <f t="shared" si="62"/>
        <v>0.4</v>
      </c>
      <c r="L147" s="47">
        <f t="shared" si="68"/>
        <v>0.56923076923076921</v>
      </c>
      <c r="M147" s="28">
        <f t="shared" si="69"/>
        <v>142.30769230769229</v>
      </c>
      <c r="N147" s="48">
        <f t="shared" si="70"/>
        <v>0.35</v>
      </c>
      <c r="O147" s="71">
        <f t="shared" si="71"/>
        <v>0.52857142857142858</v>
      </c>
      <c r="P147" s="71">
        <f t="shared" si="73"/>
        <v>132.14285714285714</v>
      </c>
      <c r="Q147" s="37">
        <f t="shared" si="72"/>
        <v>0.30000000000000004</v>
      </c>
      <c r="R147" s="9" t="s">
        <v>3</v>
      </c>
      <c r="S147" s="79"/>
      <c r="T147" s="79"/>
      <c r="U147" s="79"/>
      <c r="V147" s="79"/>
      <c r="X147" s="82">
        <v>153153</v>
      </c>
      <c r="Z147" s="221" t="s">
        <v>1167</v>
      </c>
      <c r="AA147" s="77"/>
      <c r="AB147" s="145"/>
      <c r="AC147" s="77"/>
      <c r="AD147" s="183"/>
      <c r="AE147" s="33" t="s">
        <v>94</v>
      </c>
      <c r="AF147" s="77">
        <f t="shared" si="63"/>
        <v>0.49</v>
      </c>
      <c r="AG147" s="77">
        <f t="shared" si="64"/>
        <v>0.12</v>
      </c>
    </row>
    <row r="148" spans="1:36">
      <c r="A148" s="33" t="s">
        <v>926</v>
      </c>
      <c r="B148" s="33" t="s">
        <v>933</v>
      </c>
      <c r="C148" s="86" t="s">
        <v>938</v>
      </c>
      <c r="D148" s="34">
        <v>300</v>
      </c>
      <c r="E148" s="34" t="s">
        <v>2</v>
      </c>
      <c r="F148" s="181"/>
      <c r="G148" s="57">
        <v>0.24</v>
      </c>
      <c r="H148" s="57">
        <f t="shared" si="65"/>
        <v>72</v>
      </c>
      <c r="I148" s="42">
        <f t="shared" si="66"/>
        <v>0.4</v>
      </c>
      <c r="J148" s="27">
        <f t="shared" si="67"/>
        <v>120</v>
      </c>
      <c r="K148" s="41">
        <f t="shared" si="62"/>
        <v>0.40000000000000008</v>
      </c>
      <c r="L148" s="47">
        <f t="shared" si="68"/>
        <v>0.3692307692307692</v>
      </c>
      <c r="M148" s="28">
        <f t="shared" si="69"/>
        <v>110.76923076923076</v>
      </c>
      <c r="N148" s="48">
        <f t="shared" si="70"/>
        <v>0.35</v>
      </c>
      <c r="O148" s="71">
        <f t="shared" si="71"/>
        <v>0.34285714285714286</v>
      </c>
      <c r="P148" s="71">
        <f t="shared" si="73"/>
        <v>102.85714285714286</v>
      </c>
      <c r="Q148" s="37">
        <f t="shared" si="72"/>
        <v>0.30000000000000004</v>
      </c>
      <c r="R148" s="165"/>
      <c r="S148" s="165"/>
      <c r="T148" s="77"/>
      <c r="U148" s="77"/>
      <c r="V148" s="77"/>
      <c r="W148" s="77"/>
      <c r="X148" s="82">
        <v>153155</v>
      </c>
      <c r="Z148" s="77"/>
      <c r="AA148" s="77"/>
      <c r="AB148" s="34"/>
      <c r="AC148" s="34"/>
      <c r="AD148" s="186"/>
      <c r="AE148" s="86" t="s">
        <v>145</v>
      </c>
      <c r="AF148" s="77">
        <f t="shared" si="63"/>
        <v>0.28999999999999998</v>
      </c>
      <c r="AG148" s="77">
        <f t="shared" si="64"/>
        <v>4.9999999999999989E-2</v>
      </c>
      <c r="AJ148" s="187"/>
    </row>
    <row r="149" spans="1:36">
      <c r="A149" s="33" t="s">
        <v>926</v>
      </c>
      <c r="B149" s="33" t="s">
        <v>934</v>
      </c>
      <c r="C149" s="86" t="s">
        <v>939</v>
      </c>
      <c r="D149" s="34">
        <v>250</v>
      </c>
      <c r="E149" s="34" t="s">
        <v>2</v>
      </c>
      <c r="F149" s="181"/>
      <c r="G149" s="57">
        <v>0.25920000000000004</v>
      </c>
      <c r="H149" s="57">
        <f t="shared" si="65"/>
        <v>64.800000000000011</v>
      </c>
      <c r="I149" s="42">
        <f t="shared" si="66"/>
        <v>0.43200000000000011</v>
      </c>
      <c r="J149" s="27">
        <f t="shared" si="67"/>
        <v>108.00000000000003</v>
      </c>
      <c r="K149" s="41">
        <f t="shared" si="62"/>
        <v>0.40000000000000008</v>
      </c>
      <c r="L149" s="47">
        <f t="shared" si="68"/>
        <v>0.39876923076923082</v>
      </c>
      <c r="M149" s="28">
        <f t="shared" si="69"/>
        <v>99.692307692307708</v>
      </c>
      <c r="N149" s="48">
        <f t="shared" si="70"/>
        <v>0.35</v>
      </c>
      <c r="O149" s="71">
        <f t="shared" si="71"/>
        <v>0.37028571428571438</v>
      </c>
      <c r="P149" s="71">
        <f t="shared" si="73"/>
        <v>92.571428571428598</v>
      </c>
      <c r="Q149" s="37">
        <f t="shared" si="72"/>
        <v>0.3000000000000001</v>
      </c>
      <c r="R149" s="165"/>
      <c r="S149" s="165"/>
      <c r="T149" s="77"/>
      <c r="U149" s="77"/>
      <c r="V149" s="77"/>
      <c r="W149" s="77"/>
      <c r="X149" s="82">
        <v>153155</v>
      </c>
      <c r="Z149" s="77"/>
      <c r="AA149" s="77"/>
      <c r="AB149" s="34"/>
      <c r="AC149" s="34"/>
      <c r="AD149" s="184"/>
      <c r="AE149" s="86" t="s">
        <v>147</v>
      </c>
      <c r="AF149" s="77"/>
      <c r="AG149" s="77"/>
      <c r="AJ149" s="187"/>
    </row>
    <row r="150" spans="1:36">
      <c r="A150" s="33" t="s">
        <v>926</v>
      </c>
      <c r="B150" s="33" t="s">
        <v>935</v>
      </c>
      <c r="C150" s="86" t="s">
        <v>940</v>
      </c>
      <c r="D150" s="34">
        <v>120</v>
      </c>
      <c r="E150" s="34" t="s">
        <v>2</v>
      </c>
      <c r="F150" s="34">
        <v>36</v>
      </c>
      <c r="G150" s="57">
        <v>0.4</v>
      </c>
      <c r="H150" s="57">
        <f t="shared" si="65"/>
        <v>48</v>
      </c>
      <c r="I150" s="42">
        <f t="shared" si="66"/>
        <v>0.66666666666666674</v>
      </c>
      <c r="J150" s="27">
        <f t="shared" si="67"/>
        <v>80.000000000000014</v>
      </c>
      <c r="K150" s="41">
        <f t="shared" si="62"/>
        <v>0.4</v>
      </c>
      <c r="L150" s="47">
        <f t="shared" si="68"/>
        <v>0.61538461538461542</v>
      </c>
      <c r="M150" s="28">
        <f t="shared" si="69"/>
        <v>73.846153846153854</v>
      </c>
      <c r="N150" s="48">
        <f t="shared" si="70"/>
        <v>0.35</v>
      </c>
      <c r="O150" s="71">
        <f t="shared" si="71"/>
        <v>0.57142857142857151</v>
      </c>
      <c r="P150" s="71">
        <f t="shared" si="73"/>
        <v>68.571428571428584</v>
      </c>
      <c r="Q150" s="37">
        <f t="shared" si="72"/>
        <v>0.30000000000000004</v>
      </c>
      <c r="R150" s="165"/>
      <c r="S150" s="165"/>
      <c r="T150" s="77"/>
      <c r="U150" s="77"/>
      <c r="V150" s="77"/>
      <c r="W150" s="77"/>
      <c r="X150" s="82">
        <v>153155</v>
      </c>
      <c r="Z150" s="77"/>
      <c r="AA150" s="77"/>
      <c r="AB150" s="34"/>
      <c r="AC150" s="34"/>
      <c r="AD150" s="184"/>
      <c r="AE150" s="86" t="s">
        <v>149</v>
      </c>
      <c r="AF150" s="77">
        <f t="shared" ref="AF150:AF157" si="74">VLOOKUP(AE150,B:G,6,FALSE)</f>
        <v>0.5</v>
      </c>
      <c r="AG150" s="74">
        <f t="shared" ref="AG150:AG157" si="75">AF150-G150</f>
        <v>9.9999999999999978E-2</v>
      </c>
      <c r="AI150" s="187"/>
      <c r="AJ150" s="187"/>
    </row>
    <row r="151" spans="1:36">
      <c r="A151" s="33" t="s">
        <v>926</v>
      </c>
      <c r="B151" s="33" t="s">
        <v>936</v>
      </c>
      <c r="C151" s="86" t="s">
        <v>941</v>
      </c>
      <c r="D151" s="34">
        <v>160</v>
      </c>
      <c r="E151" s="34" t="s">
        <v>2</v>
      </c>
      <c r="F151" s="181"/>
      <c r="G151" s="57">
        <v>0.77760000000000018</v>
      </c>
      <c r="H151" s="57">
        <f t="shared" si="65"/>
        <v>124.41600000000003</v>
      </c>
      <c r="I151" s="42">
        <f t="shared" si="66"/>
        <v>1.2960000000000003</v>
      </c>
      <c r="J151" s="27">
        <f t="shared" si="67"/>
        <v>207.36000000000004</v>
      </c>
      <c r="K151" s="41">
        <f t="shared" si="62"/>
        <v>0.39999999999999997</v>
      </c>
      <c r="L151" s="47">
        <f t="shared" si="68"/>
        <v>1.1963076923076925</v>
      </c>
      <c r="M151" s="28">
        <f t="shared" si="69"/>
        <v>191.40923076923082</v>
      </c>
      <c r="N151" s="48">
        <f t="shared" si="70"/>
        <v>0.35</v>
      </c>
      <c r="O151" s="71">
        <f t="shared" si="71"/>
        <v>1.1108571428571432</v>
      </c>
      <c r="P151" s="71">
        <f t="shared" si="73"/>
        <v>177.73714285714291</v>
      </c>
      <c r="Q151" s="37">
        <f t="shared" si="72"/>
        <v>0.30000000000000004</v>
      </c>
      <c r="R151" s="165"/>
      <c r="S151" s="165"/>
      <c r="T151" s="77"/>
      <c r="U151" s="77"/>
      <c r="V151" s="77"/>
      <c r="W151" s="77"/>
      <c r="X151" s="82">
        <v>153155</v>
      </c>
      <c r="Z151" s="77"/>
      <c r="AA151" s="77"/>
      <c r="AB151" s="34"/>
      <c r="AC151" s="34"/>
      <c r="AD151" s="184"/>
      <c r="AE151" s="86" t="s">
        <v>153</v>
      </c>
      <c r="AF151" s="77">
        <f t="shared" si="74"/>
        <v>1.07</v>
      </c>
      <c r="AG151" s="77">
        <f t="shared" si="75"/>
        <v>0.29239999999999988</v>
      </c>
      <c r="AJ151" s="187"/>
    </row>
    <row r="152" spans="1:36">
      <c r="A152" s="33" t="s">
        <v>926</v>
      </c>
      <c r="B152" s="33" t="s">
        <v>937</v>
      </c>
      <c r="C152" s="86" t="s">
        <v>942</v>
      </c>
      <c r="D152" s="34">
        <v>50</v>
      </c>
      <c r="E152" s="34" t="s">
        <v>2</v>
      </c>
      <c r="F152" s="34">
        <v>40</v>
      </c>
      <c r="G152" s="57">
        <v>1.3617000000000001</v>
      </c>
      <c r="H152" s="57">
        <f t="shared" si="65"/>
        <v>68.085000000000008</v>
      </c>
      <c r="I152" s="42">
        <f t="shared" si="66"/>
        <v>2.2695000000000003</v>
      </c>
      <c r="J152" s="27">
        <f t="shared" si="67"/>
        <v>113.47500000000001</v>
      </c>
      <c r="K152" s="41">
        <f t="shared" si="62"/>
        <v>0.4</v>
      </c>
      <c r="L152" s="47">
        <f t="shared" si="68"/>
        <v>2.0949230769230769</v>
      </c>
      <c r="M152" s="28">
        <f t="shared" si="69"/>
        <v>104.74615384615385</v>
      </c>
      <c r="N152" s="48">
        <f t="shared" si="70"/>
        <v>0.34999999999999992</v>
      </c>
      <c r="O152" s="71">
        <f t="shared" si="71"/>
        <v>1.9452857142857145</v>
      </c>
      <c r="P152" s="71">
        <f t="shared" si="73"/>
        <v>97.26428571428572</v>
      </c>
      <c r="Q152" s="37">
        <f t="shared" si="72"/>
        <v>0.3</v>
      </c>
      <c r="R152" s="165"/>
      <c r="S152" s="165"/>
      <c r="T152" s="77"/>
      <c r="U152" s="77"/>
      <c r="V152" s="77"/>
      <c r="W152" s="77"/>
      <c r="X152" s="82">
        <v>153155</v>
      </c>
      <c r="Z152" s="77" t="s">
        <v>1127</v>
      </c>
      <c r="AA152" s="77">
        <v>2.58</v>
      </c>
      <c r="AB152" s="145">
        <f>I152</f>
        <v>2.2695000000000003</v>
      </c>
      <c r="AC152" s="77">
        <f>AB152-AA152</f>
        <v>-0.31049999999999978</v>
      </c>
      <c r="AD152" s="184"/>
      <c r="AE152" s="86" t="s">
        <v>155</v>
      </c>
      <c r="AF152" s="77">
        <f t="shared" si="74"/>
        <v>1.6</v>
      </c>
      <c r="AG152" s="77">
        <f t="shared" si="75"/>
        <v>0.23829999999999996</v>
      </c>
      <c r="AJ152" s="187"/>
    </row>
    <row r="153" spans="1:36">
      <c r="A153" s="33" t="s">
        <v>926</v>
      </c>
      <c r="B153" s="33" t="s">
        <v>943</v>
      </c>
      <c r="C153" s="86" t="s">
        <v>944</v>
      </c>
      <c r="D153" s="34">
        <v>50</v>
      </c>
      <c r="E153" s="34" t="s">
        <v>2</v>
      </c>
      <c r="F153" s="34">
        <v>40</v>
      </c>
      <c r="G153" s="57">
        <v>1.5988499999999999</v>
      </c>
      <c r="H153" s="57">
        <f t="shared" si="65"/>
        <v>79.942499999999995</v>
      </c>
      <c r="I153" s="42">
        <f t="shared" si="66"/>
        <v>2.6647499999999997</v>
      </c>
      <c r="J153" s="27">
        <f t="shared" si="67"/>
        <v>133.23749999999998</v>
      </c>
      <c r="K153" s="41">
        <f t="shared" ref="K153:K184" si="76">(I153-G153)/I153</f>
        <v>0.39999999999999997</v>
      </c>
      <c r="L153" s="47">
        <f t="shared" si="68"/>
        <v>2.4597692307692305</v>
      </c>
      <c r="M153" s="28">
        <f t="shared" si="69"/>
        <v>122.98846153846152</v>
      </c>
      <c r="N153" s="48">
        <f t="shared" si="70"/>
        <v>0.35</v>
      </c>
      <c r="O153" s="71">
        <f t="shared" si="71"/>
        <v>2.2840714285714285</v>
      </c>
      <c r="P153" s="71">
        <f t="shared" si="73"/>
        <v>114.20357142857142</v>
      </c>
      <c r="Q153" s="37">
        <f t="shared" si="72"/>
        <v>0.30000000000000004</v>
      </c>
      <c r="R153" s="165"/>
      <c r="S153" s="165"/>
      <c r="T153" s="77"/>
      <c r="U153" s="77"/>
      <c r="V153" s="77"/>
      <c r="W153" s="77"/>
      <c r="X153" s="82">
        <v>153155</v>
      </c>
      <c r="Z153" s="77" t="s">
        <v>1168</v>
      </c>
      <c r="AA153" s="77"/>
      <c r="AB153" s="145"/>
      <c r="AC153" s="77"/>
      <c r="AD153" s="184"/>
      <c r="AE153" s="86" t="s">
        <v>157</v>
      </c>
      <c r="AF153" s="77">
        <f t="shared" si="74"/>
        <v>1.88</v>
      </c>
      <c r="AG153" s="77">
        <f t="shared" si="75"/>
        <v>0.28115000000000001</v>
      </c>
      <c r="AJ153" s="187"/>
    </row>
    <row r="154" spans="1:36">
      <c r="A154" s="33" t="s">
        <v>926</v>
      </c>
      <c r="B154" s="33" t="s">
        <v>945</v>
      </c>
      <c r="C154" s="86" t="s">
        <v>946</v>
      </c>
      <c r="D154" s="34">
        <v>40</v>
      </c>
      <c r="E154" s="34" t="s">
        <v>2</v>
      </c>
      <c r="F154" s="34">
        <v>36</v>
      </c>
      <c r="G154" s="57">
        <v>2.3102999999999998</v>
      </c>
      <c r="H154" s="57">
        <f t="shared" si="65"/>
        <v>92.411999999999992</v>
      </c>
      <c r="I154" s="42">
        <f t="shared" si="66"/>
        <v>3.8504999999999998</v>
      </c>
      <c r="J154" s="27">
        <f t="shared" si="67"/>
        <v>154.01999999999998</v>
      </c>
      <c r="K154" s="41">
        <f t="shared" si="76"/>
        <v>0.4</v>
      </c>
      <c r="L154" s="47">
        <f t="shared" si="68"/>
        <v>3.5543076923076917</v>
      </c>
      <c r="M154" s="28">
        <f t="shared" si="69"/>
        <v>142.17230769230767</v>
      </c>
      <c r="N154" s="48">
        <f t="shared" si="70"/>
        <v>0.34999999999999992</v>
      </c>
      <c r="O154" s="71">
        <f t="shared" si="71"/>
        <v>3.3004285714285713</v>
      </c>
      <c r="P154" s="71">
        <f t="shared" si="73"/>
        <v>132.01714285714286</v>
      </c>
      <c r="Q154" s="37">
        <f t="shared" si="72"/>
        <v>0.30000000000000004</v>
      </c>
      <c r="R154" s="165"/>
      <c r="S154" s="165"/>
      <c r="T154" s="77"/>
      <c r="U154" s="77"/>
      <c r="V154" s="77"/>
      <c r="W154" s="77"/>
      <c r="X154" s="82">
        <v>153155</v>
      </c>
      <c r="Z154" s="77" t="s">
        <v>1126</v>
      </c>
      <c r="AA154" s="77">
        <v>3.82</v>
      </c>
      <c r="AB154" s="145">
        <f>I154</f>
        <v>3.8504999999999998</v>
      </c>
      <c r="AC154" s="77">
        <f>AB154-AA154</f>
        <v>3.0499999999999972E-2</v>
      </c>
      <c r="AD154" s="184"/>
      <c r="AE154" s="86" t="s">
        <v>159</v>
      </c>
      <c r="AF154" s="77">
        <f t="shared" si="74"/>
        <v>2.72</v>
      </c>
      <c r="AG154" s="77">
        <f t="shared" si="75"/>
        <v>0.4097000000000004</v>
      </c>
      <c r="AJ154" s="187"/>
    </row>
    <row r="155" spans="1:36">
      <c r="A155" s="33" t="s">
        <v>926</v>
      </c>
      <c r="B155" s="33" t="s">
        <v>1086</v>
      </c>
      <c r="C155" s="86" t="s">
        <v>1085</v>
      </c>
      <c r="D155" s="34">
        <v>50</v>
      </c>
      <c r="E155" s="34" t="s">
        <v>2</v>
      </c>
      <c r="F155" s="34">
        <v>36</v>
      </c>
      <c r="G155" s="57">
        <v>1.2</v>
      </c>
      <c r="H155" s="57">
        <f t="shared" si="65"/>
        <v>60</v>
      </c>
      <c r="I155" s="42">
        <f t="shared" si="66"/>
        <v>2</v>
      </c>
      <c r="J155" s="27">
        <f t="shared" si="67"/>
        <v>100</v>
      </c>
      <c r="K155" s="41">
        <f t="shared" si="76"/>
        <v>0.4</v>
      </c>
      <c r="L155" s="47">
        <f t="shared" si="68"/>
        <v>1.846153846153846</v>
      </c>
      <c r="M155" s="28">
        <f t="shared" si="69"/>
        <v>92.307692307692307</v>
      </c>
      <c r="N155" s="48">
        <f t="shared" si="70"/>
        <v>0.35</v>
      </c>
      <c r="O155" s="71">
        <f t="shared" si="71"/>
        <v>1.7142857142857144</v>
      </c>
      <c r="P155" s="71">
        <f t="shared" si="73"/>
        <v>85.714285714285722</v>
      </c>
      <c r="Q155" s="37">
        <f t="shared" si="72"/>
        <v>0.3000000000000001</v>
      </c>
      <c r="R155" s="165"/>
      <c r="S155" s="165"/>
      <c r="T155" s="77"/>
      <c r="U155" s="77"/>
      <c r="V155" s="77"/>
      <c r="W155" s="77"/>
      <c r="X155" s="82">
        <v>153155</v>
      </c>
      <c r="Z155" s="77"/>
      <c r="AA155" s="77"/>
      <c r="AB155" s="145"/>
      <c r="AC155" s="77"/>
      <c r="AD155" s="184"/>
      <c r="AE155" s="86" t="s">
        <v>159</v>
      </c>
      <c r="AF155" s="77">
        <f t="shared" si="74"/>
        <v>2.72</v>
      </c>
      <c r="AG155" s="77">
        <f t="shared" si="75"/>
        <v>1.5200000000000002</v>
      </c>
      <c r="AJ155" s="187"/>
    </row>
    <row r="156" spans="1:36">
      <c r="A156" s="33" t="s">
        <v>926</v>
      </c>
      <c r="B156" s="33" t="s">
        <v>947</v>
      </c>
      <c r="C156" s="86" t="s">
        <v>948</v>
      </c>
      <c r="D156" s="34">
        <v>30</v>
      </c>
      <c r="E156" s="34" t="s">
        <v>2</v>
      </c>
      <c r="F156" s="34">
        <v>36</v>
      </c>
      <c r="G156" s="57">
        <v>2.8840500000000002</v>
      </c>
      <c r="H156" s="57">
        <f t="shared" si="65"/>
        <v>86.521500000000003</v>
      </c>
      <c r="I156" s="42">
        <f t="shared" si="66"/>
        <v>4.806750000000001</v>
      </c>
      <c r="J156" s="27">
        <f t="shared" si="67"/>
        <v>144.20250000000004</v>
      </c>
      <c r="K156" s="41">
        <f t="shared" si="76"/>
        <v>0.40000000000000008</v>
      </c>
      <c r="L156" s="47">
        <f t="shared" si="68"/>
        <v>4.4370000000000003</v>
      </c>
      <c r="M156" s="28">
        <f t="shared" si="69"/>
        <v>133.11000000000001</v>
      </c>
      <c r="N156" s="48">
        <f t="shared" si="70"/>
        <v>0.35</v>
      </c>
      <c r="O156" s="71">
        <f t="shared" si="71"/>
        <v>4.1200714285714293</v>
      </c>
      <c r="P156" s="71">
        <f t="shared" si="73"/>
        <v>123.60214285714288</v>
      </c>
      <c r="Q156" s="37">
        <f t="shared" si="72"/>
        <v>0.30000000000000004</v>
      </c>
      <c r="R156" s="165"/>
      <c r="S156" s="165"/>
      <c r="T156" s="77"/>
      <c r="U156" s="77"/>
      <c r="V156" s="77"/>
      <c r="W156" s="77"/>
      <c r="X156" s="82">
        <v>153155</v>
      </c>
      <c r="Z156" s="77" t="s">
        <v>1129</v>
      </c>
      <c r="AA156" s="77">
        <v>6.15</v>
      </c>
      <c r="AB156" s="145">
        <f>I156</f>
        <v>4.806750000000001</v>
      </c>
      <c r="AC156" s="77">
        <f>AB156-AA156</f>
        <v>-1.3432499999999994</v>
      </c>
      <c r="AD156" s="184"/>
      <c r="AE156" s="86" t="s">
        <v>161</v>
      </c>
      <c r="AF156" s="77">
        <f t="shared" si="74"/>
        <v>3.39</v>
      </c>
      <c r="AG156" s="77">
        <f t="shared" si="75"/>
        <v>0.5059499999999999</v>
      </c>
      <c r="AJ156" s="187"/>
    </row>
    <row r="157" spans="1:36">
      <c r="A157" s="33" t="s">
        <v>926</v>
      </c>
      <c r="B157" s="33" t="s">
        <v>949</v>
      </c>
      <c r="C157" s="86" t="s">
        <v>950</v>
      </c>
      <c r="D157" s="34">
        <v>30</v>
      </c>
      <c r="E157" s="34" t="s">
        <v>2</v>
      </c>
      <c r="F157" s="34">
        <v>36</v>
      </c>
      <c r="G157" s="57">
        <v>4.2686999999999999</v>
      </c>
      <c r="H157" s="57">
        <f t="shared" si="65"/>
        <v>128.06100000000001</v>
      </c>
      <c r="I157" s="42">
        <f t="shared" si="66"/>
        <v>7.1145000000000005</v>
      </c>
      <c r="J157" s="27">
        <f t="shared" si="67"/>
        <v>213.435</v>
      </c>
      <c r="K157" s="41">
        <f t="shared" si="76"/>
        <v>0.4</v>
      </c>
      <c r="L157" s="47">
        <f t="shared" si="68"/>
        <v>6.5672307692307692</v>
      </c>
      <c r="M157" s="28">
        <f t="shared" si="69"/>
        <v>197.01692307692306</v>
      </c>
      <c r="N157" s="48">
        <f t="shared" si="70"/>
        <v>0.35000000000000003</v>
      </c>
      <c r="O157" s="71">
        <f t="shared" si="71"/>
        <v>6.0981428571428573</v>
      </c>
      <c r="P157" s="71">
        <f t="shared" si="73"/>
        <v>182.94428571428571</v>
      </c>
      <c r="Q157" s="37">
        <f t="shared" si="72"/>
        <v>0.30000000000000004</v>
      </c>
      <c r="R157" s="165"/>
      <c r="S157" s="165"/>
      <c r="T157" s="77"/>
      <c r="U157" s="77"/>
      <c r="V157" s="77"/>
      <c r="W157" s="77"/>
      <c r="X157" s="82">
        <v>153155</v>
      </c>
      <c r="Z157" s="77" t="s">
        <v>1128</v>
      </c>
      <c r="AA157" s="77">
        <v>7.52</v>
      </c>
      <c r="AB157" s="145">
        <f>I157</f>
        <v>7.1145000000000005</v>
      </c>
      <c r="AC157" s="77">
        <f>AB157-AA157</f>
        <v>-0.40549999999999908</v>
      </c>
      <c r="AD157" s="184"/>
      <c r="AE157" s="86" t="s">
        <v>163</v>
      </c>
      <c r="AF157" s="77">
        <f t="shared" si="74"/>
        <v>5.0199999999999996</v>
      </c>
      <c r="AG157" s="77">
        <f t="shared" si="75"/>
        <v>0.75129999999999963</v>
      </c>
      <c r="AJ157" s="187"/>
    </row>
    <row r="158" spans="1:36">
      <c r="A158" s="54" t="s">
        <v>926</v>
      </c>
      <c r="B158" s="54" t="s">
        <v>951</v>
      </c>
      <c r="C158" s="86" t="s">
        <v>1077</v>
      </c>
      <c r="D158" s="188">
        <v>60</v>
      </c>
      <c r="E158" s="189" t="s">
        <v>2</v>
      </c>
      <c r="F158" s="34"/>
      <c r="G158" s="57">
        <v>0.96</v>
      </c>
      <c r="H158" s="57">
        <f t="shared" si="65"/>
        <v>57.599999999999994</v>
      </c>
      <c r="I158" s="42">
        <f t="shared" si="66"/>
        <v>1.6</v>
      </c>
      <c r="J158" s="27">
        <f t="shared" si="67"/>
        <v>96</v>
      </c>
      <c r="K158" s="41">
        <f t="shared" si="76"/>
        <v>0.40000000000000008</v>
      </c>
      <c r="L158" s="47">
        <f t="shared" si="68"/>
        <v>1.4769230769230768</v>
      </c>
      <c r="M158" s="28">
        <f t="shared" si="69"/>
        <v>88.615384615384613</v>
      </c>
      <c r="N158" s="48">
        <f t="shared" si="70"/>
        <v>0.35</v>
      </c>
      <c r="O158" s="71">
        <f t="shared" si="71"/>
        <v>1.3714285714285714</v>
      </c>
      <c r="P158" s="71">
        <f t="shared" si="73"/>
        <v>82.285714285714292</v>
      </c>
      <c r="Q158" s="37">
        <f t="shared" si="72"/>
        <v>0.30000000000000004</v>
      </c>
      <c r="R158" s="165"/>
      <c r="S158" s="165"/>
      <c r="T158" s="77"/>
      <c r="U158" s="77"/>
      <c r="V158" s="77"/>
      <c r="W158" s="77"/>
      <c r="X158" s="82">
        <v>153155</v>
      </c>
      <c r="Z158" s="77"/>
      <c r="AA158" s="77"/>
      <c r="AB158" s="34"/>
      <c r="AC158" s="34"/>
      <c r="AD158" s="184"/>
      <c r="AE158" s="33"/>
      <c r="AF158" s="77"/>
      <c r="AG158" s="77"/>
      <c r="AJ158" s="187"/>
    </row>
    <row r="159" spans="1:36">
      <c r="A159" s="54" t="s">
        <v>926</v>
      </c>
      <c r="B159" s="191" t="s">
        <v>952</v>
      </c>
      <c r="C159" s="86" t="s">
        <v>1078</v>
      </c>
      <c r="D159" s="188">
        <v>100</v>
      </c>
      <c r="E159" s="189" t="s">
        <v>2</v>
      </c>
      <c r="F159" s="34"/>
      <c r="G159" s="57">
        <v>0.83</v>
      </c>
      <c r="H159" s="57">
        <f t="shared" si="65"/>
        <v>83</v>
      </c>
      <c r="I159" s="42">
        <f t="shared" si="66"/>
        <v>1.3833333333333333</v>
      </c>
      <c r="J159" s="27">
        <f t="shared" si="67"/>
        <v>138.33333333333334</v>
      </c>
      <c r="K159" s="41">
        <f t="shared" si="76"/>
        <v>0.4</v>
      </c>
      <c r="L159" s="47">
        <f t="shared" si="68"/>
        <v>1.2769230769230768</v>
      </c>
      <c r="M159" s="28">
        <f t="shared" si="69"/>
        <v>127.69230769230768</v>
      </c>
      <c r="N159" s="48">
        <f t="shared" si="70"/>
        <v>0.35</v>
      </c>
      <c r="O159" s="71">
        <f t="shared" si="71"/>
        <v>1.1857142857142857</v>
      </c>
      <c r="P159" s="71">
        <f t="shared" si="73"/>
        <v>118.57142857142857</v>
      </c>
      <c r="Q159" s="37">
        <f t="shared" si="72"/>
        <v>0.30000000000000004</v>
      </c>
      <c r="R159" s="165"/>
      <c r="S159" s="165"/>
      <c r="T159" s="77"/>
      <c r="U159" s="77"/>
      <c r="V159" s="77"/>
      <c r="W159" s="77"/>
      <c r="X159" s="82">
        <v>153155</v>
      </c>
      <c r="Z159" s="77"/>
      <c r="AA159" s="77"/>
      <c r="AB159" s="34"/>
      <c r="AC159" s="34"/>
      <c r="AD159" s="184"/>
      <c r="AE159" s="33"/>
      <c r="AF159" s="77"/>
      <c r="AG159" s="77"/>
      <c r="AJ159" s="187"/>
    </row>
    <row r="160" spans="1:36">
      <c r="A160" s="33" t="s">
        <v>926</v>
      </c>
      <c r="B160" s="33" t="s">
        <v>953</v>
      </c>
      <c r="C160" s="86" t="s">
        <v>954</v>
      </c>
      <c r="D160" s="175">
        <v>120</v>
      </c>
      <c r="E160" s="34" t="s">
        <v>2</v>
      </c>
      <c r="F160" s="34">
        <v>48</v>
      </c>
      <c r="G160" s="57">
        <v>1.08</v>
      </c>
      <c r="H160" s="57">
        <f t="shared" si="65"/>
        <v>129.60000000000002</v>
      </c>
      <c r="I160" s="42">
        <f t="shared" si="66"/>
        <v>1.8000000000000003</v>
      </c>
      <c r="J160" s="27">
        <f t="shared" si="67"/>
        <v>216.00000000000003</v>
      </c>
      <c r="K160" s="41">
        <f t="shared" si="76"/>
        <v>0.4</v>
      </c>
      <c r="L160" s="47">
        <f t="shared" si="68"/>
        <v>1.6615384615384616</v>
      </c>
      <c r="M160" s="28">
        <f t="shared" si="69"/>
        <v>199.38461538461539</v>
      </c>
      <c r="N160" s="48">
        <f t="shared" si="70"/>
        <v>0.35</v>
      </c>
      <c r="O160" s="71">
        <f t="shared" si="71"/>
        <v>1.5428571428571431</v>
      </c>
      <c r="P160" s="71">
        <f t="shared" si="73"/>
        <v>185.14285714285717</v>
      </c>
      <c r="Q160" s="37">
        <f t="shared" si="72"/>
        <v>0.3000000000000001</v>
      </c>
      <c r="R160" s="165"/>
      <c r="S160" s="165"/>
      <c r="T160" s="77"/>
      <c r="U160" s="77"/>
      <c r="V160" s="77"/>
      <c r="W160" s="77"/>
      <c r="X160" s="82">
        <v>153155</v>
      </c>
      <c r="Z160" s="77" t="s">
        <v>1132</v>
      </c>
      <c r="AA160" s="77">
        <v>1.81</v>
      </c>
      <c r="AB160" s="145">
        <f>I160</f>
        <v>1.8000000000000003</v>
      </c>
      <c r="AC160" s="77">
        <f>AB160-AA160</f>
        <v>-9.9999999999997868E-3</v>
      </c>
      <c r="AD160" s="184"/>
      <c r="AE160" s="86" t="s">
        <v>165</v>
      </c>
      <c r="AF160" s="77">
        <f>VLOOKUP(AE160,B:G,6,FALSE)</f>
        <v>1.2</v>
      </c>
      <c r="AG160" s="77">
        <f>AF160-G160</f>
        <v>0.11999999999999988</v>
      </c>
      <c r="AJ160" s="187"/>
    </row>
    <row r="161" spans="1:36">
      <c r="A161" s="33" t="s">
        <v>926</v>
      </c>
      <c r="B161" s="33" t="s">
        <v>955</v>
      </c>
      <c r="C161" s="86" t="s">
        <v>956</v>
      </c>
      <c r="D161" s="34">
        <v>600</v>
      </c>
      <c r="E161" s="34" t="s">
        <v>2</v>
      </c>
      <c r="F161" s="34"/>
      <c r="G161" s="57">
        <v>0.21120000000000003</v>
      </c>
      <c r="H161" s="57">
        <f t="shared" si="65"/>
        <v>126.72000000000001</v>
      </c>
      <c r="I161" s="42">
        <f t="shared" si="66"/>
        <v>0.35200000000000004</v>
      </c>
      <c r="J161" s="27">
        <f t="shared" si="67"/>
        <v>211.20000000000002</v>
      </c>
      <c r="K161" s="41">
        <f t="shared" si="76"/>
        <v>0.39999999999999997</v>
      </c>
      <c r="L161" s="47">
        <f t="shared" si="68"/>
        <v>0.32492307692307693</v>
      </c>
      <c r="M161" s="28">
        <f t="shared" si="69"/>
        <v>194.95384615384614</v>
      </c>
      <c r="N161" s="48">
        <f t="shared" si="70"/>
        <v>0.34999999999999992</v>
      </c>
      <c r="O161" s="71">
        <f t="shared" si="71"/>
        <v>0.30171428571428577</v>
      </c>
      <c r="P161" s="71">
        <f t="shared" si="73"/>
        <v>181.02857142857147</v>
      </c>
      <c r="Q161" s="37">
        <f t="shared" si="72"/>
        <v>0.30000000000000004</v>
      </c>
      <c r="R161" s="165"/>
      <c r="S161" s="165"/>
      <c r="T161" s="77"/>
      <c r="U161" s="77"/>
      <c r="V161" s="77"/>
      <c r="W161" s="77"/>
      <c r="X161" s="82">
        <v>153155</v>
      </c>
      <c r="Z161" s="77"/>
      <c r="AA161" s="77"/>
      <c r="AB161" s="34"/>
      <c r="AC161" s="34"/>
      <c r="AD161" s="184"/>
      <c r="AE161" s="86" t="s">
        <v>167</v>
      </c>
      <c r="AF161" s="77">
        <f>VLOOKUP(AE161,B:G,6,FALSE)</f>
        <v>0.32</v>
      </c>
      <c r="AG161" s="77">
        <f>AF161-G161</f>
        <v>0.10879999999999998</v>
      </c>
      <c r="AJ161" s="187"/>
    </row>
    <row r="162" spans="1:36">
      <c r="A162" s="33" t="s">
        <v>926</v>
      </c>
      <c r="B162" s="33" t="s">
        <v>957</v>
      </c>
      <c r="C162" s="86" t="s">
        <v>958</v>
      </c>
      <c r="D162" s="34">
        <v>250</v>
      </c>
      <c r="E162" s="34" t="s">
        <v>2</v>
      </c>
      <c r="F162" s="34"/>
      <c r="G162" s="57">
        <v>0.27839999999999998</v>
      </c>
      <c r="H162" s="57">
        <f t="shared" ref="H162:H193" si="77">D162*G162</f>
        <v>69.599999999999994</v>
      </c>
      <c r="I162" s="42">
        <f t="shared" si="66"/>
        <v>0.46399999999999997</v>
      </c>
      <c r="J162" s="27">
        <f t="shared" si="67"/>
        <v>115.99999999999999</v>
      </c>
      <c r="K162" s="41">
        <f t="shared" si="76"/>
        <v>0.4</v>
      </c>
      <c r="L162" s="47">
        <f t="shared" si="68"/>
        <v>0.42830769230769228</v>
      </c>
      <c r="M162" s="28">
        <f t="shared" si="69"/>
        <v>107.07692307692307</v>
      </c>
      <c r="N162" s="48">
        <f t="shared" si="70"/>
        <v>0.35</v>
      </c>
      <c r="O162" s="71">
        <f t="shared" si="71"/>
        <v>0.39771428571428569</v>
      </c>
      <c r="P162" s="71">
        <f t="shared" si="73"/>
        <v>99.428571428571416</v>
      </c>
      <c r="Q162" s="37">
        <f t="shared" si="72"/>
        <v>0.3</v>
      </c>
      <c r="R162" s="165"/>
      <c r="S162" s="165"/>
      <c r="T162" s="77"/>
      <c r="U162" s="77"/>
      <c r="V162" s="77"/>
      <c r="W162" s="77"/>
      <c r="X162" s="82">
        <v>153155</v>
      </c>
      <c r="Z162" s="77"/>
      <c r="AA162" s="77"/>
      <c r="AB162" s="34"/>
      <c r="AC162" s="34"/>
      <c r="AD162" s="184"/>
      <c r="AE162" s="86" t="s">
        <v>171</v>
      </c>
      <c r="AF162" s="77">
        <f>VLOOKUP(AE162,B:G,6,FALSE)</f>
        <v>0.4</v>
      </c>
      <c r="AG162" s="77">
        <f>AF162-G162</f>
        <v>0.12160000000000004</v>
      </c>
      <c r="AJ162" s="187"/>
    </row>
    <row r="163" spans="1:36">
      <c r="A163" s="33" t="s">
        <v>926</v>
      </c>
      <c r="B163" s="33" t="s">
        <v>959</v>
      </c>
      <c r="C163" s="86" t="s">
        <v>960</v>
      </c>
      <c r="D163" s="34">
        <v>120</v>
      </c>
      <c r="E163" s="34" t="s">
        <v>2</v>
      </c>
      <c r="F163" s="34"/>
      <c r="G163" s="57">
        <v>0.61439999999999995</v>
      </c>
      <c r="H163" s="57">
        <f t="shared" si="77"/>
        <v>73.727999999999994</v>
      </c>
      <c r="I163" s="42">
        <f t="shared" si="66"/>
        <v>1.024</v>
      </c>
      <c r="J163" s="27">
        <f t="shared" si="67"/>
        <v>122.88</v>
      </c>
      <c r="K163" s="41">
        <f t="shared" si="76"/>
        <v>0.40000000000000008</v>
      </c>
      <c r="L163" s="47">
        <f t="shared" si="68"/>
        <v>0.9452307692307691</v>
      </c>
      <c r="M163" s="28">
        <f t="shared" si="69"/>
        <v>113.4276923076923</v>
      </c>
      <c r="N163" s="48">
        <f t="shared" si="70"/>
        <v>0.35</v>
      </c>
      <c r="O163" s="71">
        <f t="shared" si="71"/>
        <v>0.87771428571428567</v>
      </c>
      <c r="P163" s="71">
        <f t="shared" si="73"/>
        <v>105.32571428571428</v>
      </c>
      <c r="Q163" s="37">
        <f t="shared" si="72"/>
        <v>0.30000000000000004</v>
      </c>
      <c r="R163" s="165"/>
      <c r="S163" s="165"/>
      <c r="T163" s="77"/>
      <c r="U163" s="77"/>
      <c r="V163" s="77"/>
      <c r="W163" s="77"/>
      <c r="X163" s="82">
        <v>153155</v>
      </c>
      <c r="Z163" s="77"/>
      <c r="AA163" s="77"/>
      <c r="AB163" s="34"/>
      <c r="AC163" s="34"/>
      <c r="AD163" s="184"/>
      <c r="AE163" s="86" t="s">
        <v>173</v>
      </c>
      <c r="AF163" s="77">
        <f>VLOOKUP(AE163,B:G,6,FALSE)</f>
        <v>0.87</v>
      </c>
      <c r="AG163" s="77">
        <f>AF163-G163</f>
        <v>0.25560000000000005</v>
      </c>
      <c r="AJ163" s="187"/>
    </row>
    <row r="164" spans="1:36">
      <c r="A164" s="54" t="s">
        <v>926</v>
      </c>
      <c r="B164" s="54" t="s">
        <v>1035</v>
      </c>
      <c r="C164" s="86" t="s">
        <v>1079</v>
      </c>
      <c r="D164" s="189">
        <v>120</v>
      </c>
      <c r="E164" s="189" t="s">
        <v>2</v>
      </c>
      <c r="F164" s="34"/>
      <c r="G164" s="57">
        <v>0.61199999999999999</v>
      </c>
      <c r="H164" s="57">
        <f t="shared" si="77"/>
        <v>73.44</v>
      </c>
      <c r="I164" s="42">
        <f t="shared" si="66"/>
        <v>1.02</v>
      </c>
      <c r="J164" s="27">
        <f t="shared" si="67"/>
        <v>122.4</v>
      </c>
      <c r="K164" s="41">
        <f t="shared" si="76"/>
        <v>0.4</v>
      </c>
      <c r="L164" s="47">
        <f t="shared" si="68"/>
        <v>0.94153846153846144</v>
      </c>
      <c r="M164" s="28">
        <f t="shared" si="69"/>
        <v>112.98461538461537</v>
      </c>
      <c r="N164" s="48">
        <f t="shared" si="70"/>
        <v>0.34999999999999992</v>
      </c>
      <c r="O164" s="71">
        <f t="shared" si="71"/>
        <v>0.87428571428571433</v>
      </c>
      <c r="P164" s="71">
        <f t="shared" si="73"/>
        <v>104.91428571428573</v>
      </c>
      <c r="Q164" s="37">
        <f t="shared" si="72"/>
        <v>0.30000000000000004</v>
      </c>
      <c r="R164" s="165"/>
      <c r="S164" s="165"/>
      <c r="T164" s="77"/>
      <c r="U164" s="77"/>
      <c r="V164" s="77"/>
      <c r="W164" s="77"/>
      <c r="X164" s="82">
        <v>153155</v>
      </c>
      <c r="Z164" s="77"/>
      <c r="AA164" s="77"/>
      <c r="AB164" s="34"/>
      <c r="AC164" s="34"/>
      <c r="AD164" s="184"/>
      <c r="AE164" s="33"/>
      <c r="AF164" s="77"/>
      <c r="AG164" s="77"/>
      <c r="AJ164" s="187"/>
    </row>
    <row r="165" spans="1:36">
      <c r="A165" s="33" t="s">
        <v>926</v>
      </c>
      <c r="B165" s="33" t="s">
        <v>961</v>
      </c>
      <c r="C165" s="86" t="s">
        <v>962</v>
      </c>
      <c r="D165" s="34">
        <v>50</v>
      </c>
      <c r="E165" s="34" t="s">
        <v>2</v>
      </c>
      <c r="F165" s="34">
        <v>36</v>
      </c>
      <c r="G165" s="57">
        <v>1.2767999999999999</v>
      </c>
      <c r="H165" s="57">
        <f t="shared" si="77"/>
        <v>63.839999999999996</v>
      </c>
      <c r="I165" s="42">
        <f t="shared" si="66"/>
        <v>2.1280000000000001</v>
      </c>
      <c r="J165" s="27">
        <f t="shared" si="67"/>
        <v>106.4</v>
      </c>
      <c r="K165" s="41">
        <f t="shared" si="76"/>
        <v>0.40000000000000008</v>
      </c>
      <c r="L165" s="47">
        <f t="shared" si="68"/>
        <v>1.9643076923076921</v>
      </c>
      <c r="M165" s="28">
        <f t="shared" si="69"/>
        <v>98.215384615384608</v>
      </c>
      <c r="N165" s="48">
        <f t="shared" si="70"/>
        <v>0.35</v>
      </c>
      <c r="O165" s="71">
        <f t="shared" si="71"/>
        <v>1.8240000000000001</v>
      </c>
      <c r="P165" s="71">
        <f t="shared" si="73"/>
        <v>91.2</v>
      </c>
      <c r="Q165" s="37">
        <f t="shared" si="72"/>
        <v>0.30000000000000004</v>
      </c>
      <c r="R165" s="165"/>
      <c r="S165" s="165"/>
      <c r="T165" s="77"/>
      <c r="U165" s="77"/>
      <c r="V165" s="77"/>
      <c r="W165" s="77"/>
      <c r="X165" s="82">
        <v>153155</v>
      </c>
      <c r="Z165" s="77" t="s">
        <v>1133</v>
      </c>
      <c r="AA165" s="77">
        <v>4.24</v>
      </c>
      <c r="AB165" s="145">
        <f>I165</f>
        <v>2.1280000000000001</v>
      </c>
      <c r="AC165" s="77">
        <f>AB165-AA165</f>
        <v>-2.1120000000000001</v>
      </c>
      <c r="AD165" s="184"/>
      <c r="AE165" s="86" t="s">
        <v>175</v>
      </c>
      <c r="AF165" s="77">
        <f>VLOOKUP(AE165,B:G,6,FALSE)</f>
        <v>1.98</v>
      </c>
      <c r="AG165" s="77">
        <f>AF165-G165</f>
        <v>0.70320000000000005</v>
      </c>
      <c r="AJ165" s="187"/>
    </row>
    <row r="166" spans="1:36">
      <c r="A166" s="33" t="s">
        <v>926</v>
      </c>
      <c r="B166" s="33" t="s">
        <v>1095</v>
      </c>
      <c r="C166" s="86" t="s">
        <v>1096</v>
      </c>
      <c r="D166" s="34">
        <v>20</v>
      </c>
      <c r="E166" s="34" t="s">
        <v>2</v>
      </c>
      <c r="F166" s="34">
        <v>48</v>
      </c>
      <c r="G166" s="57">
        <v>2.96</v>
      </c>
      <c r="H166" s="57">
        <f t="shared" si="77"/>
        <v>59.2</v>
      </c>
      <c r="I166" s="42">
        <f t="shared" si="66"/>
        <v>4.9333333333333336</v>
      </c>
      <c r="J166" s="27">
        <f t="shared" si="67"/>
        <v>98.666666666666671</v>
      </c>
      <c r="K166" s="41">
        <f t="shared" si="76"/>
        <v>0.4</v>
      </c>
      <c r="L166" s="47">
        <f t="shared" si="68"/>
        <v>4.5538461538461537</v>
      </c>
      <c r="M166" s="28">
        <f t="shared" si="69"/>
        <v>91.076923076923066</v>
      </c>
      <c r="N166" s="48">
        <f t="shared" si="70"/>
        <v>0.35</v>
      </c>
      <c r="O166" s="71">
        <f t="shared" si="71"/>
        <v>4.2285714285714286</v>
      </c>
      <c r="P166" s="71">
        <f t="shared" si="73"/>
        <v>84.571428571428569</v>
      </c>
      <c r="Q166" s="37">
        <f t="shared" si="72"/>
        <v>0.30000000000000004</v>
      </c>
      <c r="R166" s="165"/>
      <c r="S166" s="165"/>
      <c r="T166" s="77"/>
      <c r="U166" s="77"/>
      <c r="V166" s="77"/>
      <c r="W166" s="77"/>
      <c r="X166" s="82">
        <v>153155</v>
      </c>
      <c r="Z166" s="77"/>
      <c r="AA166" s="77"/>
      <c r="AB166" s="145"/>
      <c r="AC166" s="77"/>
      <c r="AD166" s="184"/>
      <c r="AE166" s="86"/>
      <c r="AF166" s="77"/>
      <c r="AG166" s="77"/>
      <c r="AJ166" s="187"/>
    </row>
    <row r="167" spans="1:36">
      <c r="A167" s="33" t="s">
        <v>926</v>
      </c>
      <c r="B167" s="33" t="s">
        <v>963</v>
      </c>
      <c r="C167" s="33" t="s">
        <v>965</v>
      </c>
      <c r="D167" s="34">
        <v>120</v>
      </c>
      <c r="E167" s="34" t="s">
        <v>2</v>
      </c>
      <c r="F167" s="34"/>
      <c r="G167" s="57">
        <v>2.1132941176470585</v>
      </c>
      <c r="H167" s="57">
        <f t="shared" si="77"/>
        <v>253.59529411764703</v>
      </c>
      <c r="I167" s="42">
        <f t="shared" ref="I167:I199" si="78">G167/(1-0.4)</f>
        <v>3.5221568627450979</v>
      </c>
      <c r="J167" s="27">
        <f t="shared" ref="J167:J199" si="79">D167*I167</f>
        <v>422.65882352941173</v>
      </c>
      <c r="K167" s="41">
        <f t="shared" si="76"/>
        <v>0.40000000000000008</v>
      </c>
      <c r="L167" s="47">
        <f t="shared" ref="L167:L199" si="80">G167/(1-0.35)</f>
        <v>3.2512217194570132</v>
      </c>
      <c r="M167" s="28">
        <f t="shared" ref="M167:M199" si="81">D167*L167</f>
        <v>390.14660633484158</v>
      </c>
      <c r="N167" s="48">
        <f t="shared" ref="N167:N199" si="82">(L167-G167)/L167</f>
        <v>0.35000000000000003</v>
      </c>
      <c r="O167" s="71">
        <f t="shared" ref="O167:O199" si="83">G167/(1-0.3)</f>
        <v>3.0189915966386551</v>
      </c>
      <c r="P167" s="71">
        <f t="shared" si="73"/>
        <v>362.2789915966386</v>
      </c>
      <c r="Q167" s="37">
        <f t="shared" ref="Q167:Q199" si="84">(O167-G167)/O167</f>
        <v>0.3</v>
      </c>
      <c r="R167" s="165"/>
      <c r="S167" s="165"/>
      <c r="T167" s="77"/>
      <c r="U167" s="77"/>
      <c r="V167" s="77"/>
      <c r="W167" s="77"/>
      <c r="X167" s="82">
        <v>153155</v>
      </c>
      <c r="Z167" s="77" t="s">
        <v>1135</v>
      </c>
      <c r="AA167" s="77">
        <v>4.5</v>
      </c>
      <c r="AB167" s="145">
        <f>I167</f>
        <v>3.5221568627450979</v>
      </c>
      <c r="AC167" s="77">
        <f>AB167-AA167</f>
        <v>-0.97784313725490213</v>
      </c>
      <c r="AD167" s="184"/>
      <c r="AE167" s="33"/>
      <c r="AF167" s="77"/>
      <c r="AG167" s="77"/>
      <c r="AJ167" s="187"/>
    </row>
    <row r="168" spans="1:36">
      <c r="A168" s="33" t="s">
        <v>926</v>
      </c>
      <c r="B168" s="33" t="s">
        <v>964</v>
      </c>
      <c r="C168" s="33" t="s">
        <v>966</v>
      </c>
      <c r="D168" s="34">
        <v>80</v>
      </c>
      <c r="E168" s="34" t="s">
        <v>2</v>
      </c>
      <c r="F168" s="34"/>
      <c r="G168" s="57">
        <v>3.3782941176470587</v>
      </c>
      <c r="H168" s="57">
        <f t="shared" si="77"/>
        <v>270.26352941176469</v>
      </c>
      <c r="I168" s="42">
        <f t="shared" si="78"/>
        <v>5.6304901960784317</v>
      </c>
      <c r="J168" s="27">
        <f t="shared" si="79"/>
        <v>450.43921568627457</v>
      </c>
      <c r="K168" s="41">
        <f t="shared" si="76"/>
        <v>0.40000000000000008</v>
      </c>
      <c r="L168" s="47">
        <f t="shared" si="80"/>
        <v>5.1973755656108596</v>
      </c>
      <c r="M168" s="28">
        <f t="shared" si="81"/>
        <v>415.79004524886875</v>
      </c>
      <c r="N168" s="48">
        <f t="shared" si="82"/>
        <v>0.35000000000000003</v>
      </c>
      <c r="O168" s="71">
        <f t="shared" si="83"/>
        <v>4.8261344537815125</v>
      </c>
      <c r="P168" s="71">
        <f t="shared" si="73"/>
        <v>386.09075630252102</v>
      </c>
      <c r="Q168" s="37">
        <f t="shared" si="84"/>
        <v>0.30000000000000004</v>
      </c>
      <c r="R168" s="165"/>
      <c r="S168" s="165"/>
      <c r="T168" s="77"/>
      <c r="U168" s="77"/>
      <c r="V168" s="77"/>
      <c r="W168" s="77"/>
      <c r="X168" s="82">
        <v>153155</v>
      </c>
      <c r="Z168" s="77" t="s">
        <v>1141</v>
      </c>
      <c r="AA168" s="77">
        <v>6</v>
      </c>
      <c r="AB168" s="145">
        <f>I168</f>
        <v>5.6304901960784317</v>
      </c>
      <c r="AC168" s="77">
        <f>AB168-AA168</f>
        <v>-0.36950980392156829</v>
      </c>
      <c r="AD168" s="184"/>
      <c r="AE168" s="33"/>
      <c r="AF168" s="77"/>
      <c r="AG168" s="77"/>
      <c r="AJ168" s="10"/>
    </row>
    <row r="169" spans="1:36">
      <c r="A169" s="33" t="s">
        <v>926</v>
      </c>
      <c r="B169" s="33" t="s">
        <v>967</v>
      </c>
      <c r="C169" s="33" t="s">
        <v>968</v>
      </c>
      <c r="D169" s="34">
        <v>40</v>
      </c>
      <c r="E169" s="34" t="s">
        <v>2</v>
      </c>
      <c r="F169" s="34">
        <v>24</v>
      </c>
      <c r="G169" s="57">
        <v>3.5271176470588239</v>
      </c>
      <c r="H169" s="57">
        <f t="shared" si="77"/>
        <v>141.08470588235295</v>
      </c>
      <c r="I169" s="42">
        <f t="shared" si="78"/>
        <v>5.8785294117647071</v>
      </c>
      <c r="J169" s="27">
        <f t="shared" si="79"/>
        <v>235.14117647058828</v>
      </c>
      <c r="K169" s="41">
        <f t="shared" si="76"/>
        <v>0.40000000000000008</v>
      </c>
      <c r="L169" s="47">
        <f t="shared" si="80"/>
        <v>5.4263348416289601</v>
      </c>
      <c r="M169" s="28">
        <f t="shared" si="81"/>
        <v>217.05339366515841</v>
      </c>
      <c r="N169" s="48">
        <f t="shared" si="82"/>
        <v>0.35000000000000003</v>
      </c>
      <c r="O169" s="71">
        <f t="shared" si="83"/>
        <v>5.0387394957983203</v>
      </c>
      <c r="P169" s="71">
        <f t="shared" si="73"/>
        <v>201.54957983193282</v>
      </c>
      <c r="Q169" s="37">
        <f t="shared" si="84"/>
        <v>0.30000000000000004</v>
      </c>
      <c r="R169" s="165"/>
      <c r="S169" s="165"/>
      <c r="T169" s="77"/>
      <c r="U169" s="77"/>
      <c r="V169" s="77"/>
      <c r="W169" s="77"/>
      <c r="X169" s="82">
        <v>153155</v>
      </c>
      <c r="Z169" s="77" t="s">
        <v>1142</v>
      </c>
      <c r="AA169" s="77">
        <v>6.91</v>
      </c>
      <c r="AB169" s="145">
        <f>I169</f>
        <v>5.8785294117647071</v>
      </c>
      <c r="AC169" s="77">
        <f>AB169-AA169</f>
        <v>-1.031470588235293</v>
      </c>
      <c r="AD169" s="184"/>
      <c r="AE169" s="33"/>
      <c r="AF169" s="77"/>
      <c r="AG169" s="77"/>
      <c r="AJ169" s="10"/>
    </row>
    <row r="170" spans="1:36">
      <c r="A170" s="33" t="s">
        <v>926</v>
      </c>
      <c r="B170" s="33" t="s">
        <v>969</v>
      </c>
      <c r="C170" s="33" t="s">
        <v>970</v>
      </c>
      <c r="D170" s="34">
        <v>40</v>
      </c>
      <c r="E170" s="34" t="s">
        <v>2</v>
      </c>
      <c r="F170" s="34">
        <v>24</v>
      </c>
      <c r="G170" s="57">
        <v>3.125294117647059</v>
      </c>
      <c r="H170" s="57">
        <f t="shared" si="77"/>
        <v>125.01176470588236</v>
      </c>
      <c r="I170" s="42">
        <f t="shared" si="78"/>
        <v>5.2088235294117649</v>
      </c>
      <c r="J170" s="27">
        <f t="shared" si="79"/>
        <v>208.35294117647061</v>
      </c>
      <c r="K170" s="41">
        <f t="shared" si="76"/>
        <v>0.39999999999999997</v>
      </c>
      <c r="L170" s="47">
        <f t="shared" si="80"/>
        <v>4.8081447963800903</v>
      </c>
      <c r="M170" s="28">
        <f t="shared" si="81"/>
        <v>192.32579185520362</v>
      </c>
      <c r="N170" s="48">
        <f t="shared" si="82"/>
        <v>0.34999999999999992</v>
      </c>
      <c r="O170" s="71">
        <f t="shared" si="83"/>
        <v>4.4647058823529413</v>
      </c>
      <c r="P170" s="71">
        <f t="shared" si="73"/>
        <v>178.58823529411765</v>
      </c>
      <c r="Q170" s="37">
        <f t="shared" si="84"/>
        <v>0.3</v>
      </c>
      <c r="R170" s="165"/>
      <c r="S170" s="165"/>
      <c r="T170" s="77"/>
      <c r="U170" s="77"/>
      <c r="V170" s="77"/>
      <c r="W170" s="77"/>
      <c r="X170" s="82">
        <v>153155</v>
      </c>
      <c r="Z170" s="77" t="s">
        <v>1143</v>
      </c>
      <c r="AA170" s="77">
        <v>7.5</v>
      </c>
      <c r="AB170" s="145">
        <f>I170</f>
        <v>5.2088235294117649</v>
      </c>
      <c r="AC170" s="77">
        <f>AB170-AA170</f>
        <v>-2.2911764705882351</v>
      </c>
      <c r="AD170" s="184"/>
      <c r="AE170" s="33"/>
      <c r="AF170" s="77"/>
      <c r="AG170" s="77"/>
      <c r="AJ170" s="10"/>
    </row>
    <row r="171" spans="1:36">
      <c r="A171" s="33" t="s">
        <v>926</v>
      </c>
      <c r="B171" s="33" t="s">
        <v>971</v>
      </c>
      <c r="C171" s="33" t="s">
        <v>972</v>
      </c>
      <c r="D171" s="34">
        <v>160</v>
      </c>
      <c r="E171" s="34" t="s">
        <v>2</v>
      </c>
      <c r="F171" s="34"/>
      <c r="G171" s="57">
        <v>1.3557823529411765</v>
      </c>
      <c r="H171" s="57">
        <f t="shared" si="77"/>
        <v>216.92517647058824</v>
      </c>
      <c r="I171" s="42">
        <f t="shared" si="78"/>
        <v>2.259637254901961</v>
      </c>
      <c r="J171" s="27">
        <f t="shared" si="79"/>
        <v>361.54196078431374</v>
      </c>
      <c r="K171" s="41">
        <f t="shared" si="76"/>
        <v>0.4</v>
      </c>
      <c r="L171" s="47">
        <f t="shared" si="80"/>
        <v>2.085819004524887</v>
      </c>
      <c r="M171" s="28">
        <f t="shared" si="81"/>
        <v>333.73104072398189</v>
      </c>
      <c r="N171" s="48">
        <f t="shared" si="82"/>
        <v>0.35</v>
      </c>
      <c r="O171" s="71">
        <f t="shared" si="83"/>
        <v>1.9368319327731094</v>
      </c>
      <c r="P171" s="71">
        <f t="shared" si="73"/>
        <v>309.8931092436975</v>
      </c>
      <c r="Q171" s="37">
        <f t="shared" si="84"/>
        <v>0.3</v>
      </c>
      <c r="R171" s="165"/>
      <c r="S171" s="165"/>
      <c r="T171" s="77"/>
      <c r="U171" s="77"/>
      <c r="V171" s="77"/>
      <c r="W171" s="77"/>
      <c r="X171" s="82">
        <v>153155</v>
      </c>
      <c r="Z171" s="77"/>
      <c r="AA171" s="77"/>
      <c r="AB171" s="34"/>
      <c r="AC171" s="34"/>
      <c r="AD171" s="184"/>
      <c r="AE171" s="33"/>
      <c r="AF171" s="77"/>
      <c r="AG171" s="77"/>
      <c r="AJ171" s="10"/>
    </row>
    <row r="172" spans="1:36">
      <c r="A172" s="33" t="s">
        <v>926</v>
      </c>
      <c r="B172" s="33" t="s">
        <v>973</v>
      </c>
      <c r="C172" s="33" t="s">
        <v>974</v>
      </c>
      <c r="D172" s="34">
        <v>120</v>
      </c>
      <c r="E172" s="34" t="s">
        <v>2</v>
      </c>
      <c r="F172" s="34"/>
      <c r="G172" s="57">
        <v>2.6341764705882351</v>
      </c>
      <c r="H172" s="57">
        <f t="shared" si="77"/>
        <v>316.1011764705882</v>
      </c>
      <c r="I172" s="42">
        <f t="shared" si="78"/>
        <v>4.3902941176470591</v>
      </c>
      <c r="J172" s="27">
        <f t="shared" si="79"/>
        <v>526.83529411764709</v>
      </c>
      <c r="K172" s="41">
        <f t="shared" si="76"/>
        <v>0.40000000000000008</v>
      </c>
      <c r="L172" s="47">
        <f t="shared" si="80"/>
        <v>4.0525791855203614</v>
      </c>
      <c r="M172" s="28">
        <f t="shared" si="81"/>
        <v>486.3095022624434</v>
      </c>
      <c r="N172" s="48">
        <f t="shared" si="82"/>
        <v>0.35</v>
      </c>
      <c r="O172" s="71">
        <f t="shared" si="83"/>
        <v>3.7631092436974791</v>
      </c>
      <c r="P172" s="71">
        <f t="shared" si="73"/>
        <v>451.5731092436975</v>
      </c>
      <c r="Q172" s="37">
        <f t="shared" si="84"/>
        <v>0.30000000000000004</v>
      </c>
      <c r="R172" s="165"/>
      <c r="S172" s="165"/>
      <c r="T172" s="77"/>
      <c r="U172" s="77"/>
      <c r="V172" s="77"/>
      <c r="W172" s="77"/>
      <c r="X172" s="82">
        <v>153155</v>
      </c>
      <c r="Z172" s="77"/>
      <c r="AA172" s="77"/>
      <c r="AB172" s="34"/>
      <c r="AC172" s="34"/>
      <c r="AD172" s="184"/>
      <c r="AE172" s="86" t="s">
        <v>189</v>
      </c>
      <c r="AF172" s="77"/>
      <c r="AG172" s="77"/>
      <c r="AJ172" s="10"/>
    </row>
    <row r="173" spans="1:36">
      <c r="A173" s="33" t="s">
        <v>926</v>
      </c>
      <c r="B173" s="33" t="s">
        <v>975</v>
      </c>
      <c r="C173" s="33" t="s">
        <v>976</v>
      </c>
      <c r="D173" s="34">
        <v>40</v>
      </c>
      <c r="E173" s="34" t="s">
        <v>2</v>
      </c>
      <c r="F173" s="34"/>
      <c r="G173" s="57">
        <v>2.7830000000000004</v>
      </c>
      <c r="H173" s="57">
        <f t="shared" si="77"/>
        <v>111.32000000000002</v>
      </c>
      <c r="I173" s="42">
        <f t="shared" si="78"/>
        <v>4.6383333333333345</v>
      </c>
      <c r="J173" s="27">
        <f t="shared" si="79"/>
        <v>185.53333333333339</v>
      </c>
      <c r="K173" s="41">
        <f t="shared" si="76"/>
        <v>0.40000000000000008</v>
      </c>
      <c r="L173" s="47">
        <f t="shared" si="80"/>
        <v>4.281538461538462</v>
      </c>
      <c r="M173" s="28">
        <f t="shared" si="81"/>
        <v>171.26153846153846</v>
      </c>
      <c r="N173" s="48">
        <f t="shared" si="82"/>
        <v>0.35</v>
      </c>
      <c r="O173" s="71">
        <f t="shared" si="83"/>
        <v>3.9757142857142864</v>
      </c>
      <c r="P173" s="71">
        <f t="shared" si="73"/>
        <v>159.02857142857147</v>
      </c>
      <c r="Q173" s="37">
        <f t="shared" si="84"/>
        <v>0.30000000000000004</v>
      </c>
      <c r="R173" s="165"/>
      <c r="S173" s="165"/>
      <c r="T173" s="77"/>
      <c r="U173" s="77"/>
      <c r="V173" s="77"/>
      <c r="W173" s="77"/>
      <c r="X173" s="82">
        <v>153155</v>
      </c>
      <c r="Z173" s="77"/>
      <c r="AA173" s="77"/>
      <c r="AB173" s="34"/>
      <c r="AC173" s="34"/>
      <c r="AD173" s="184"/>
      <c r="AE173" s="86" t="s">
        <v>191</v>
      </c>
      <c r="AF173" s="77">
        <f>VLOOKUP(AE173,B:G,6,FALSE)</f>
        <v>4.55</v>
      </c>
      <c r="AG173" s="77">
        <f>AF173-G173</f>
        <v>1.7669999999999995</v>
      </c>
      <c r="AJ173" s="10"/>
    </row>
    <row r="174" spans="1:36">
      <c r="A174" s="33" t="s">
        <v>926</v>
      </c>
      <c r="B174" s="33" t="s">
        <v>977</v>
      </c>
      <c r="C174" s="33" t="s">
        <v>978</v>
      </c>
      <c r="D174" s="34">
        <v>40</v>
      </c>
      <c r="E174" s="34" t="s">
        <v>2</v>
      </c>
      <c r="F174" s="34"/>
      <c r="G174" s="57">
        <v>2.3811764705882354</v>
      </c>
      <c r="H174" s="57">
        <f t="shared" si="77"/>
        <v>95.247058823529414</v>
      </c>
      <c r="I174" s="42">
        <f t="shared" si="78"/>
        <v>3.9686274509803927</v>
      </c>
      <c r="J174" s="27">
        <f t="shared" si="79"/>
        <v>158.74509803921572</v>
      </c>
      <c r="K174" s="41">
        <f t="shared" si="76"/>
        <v>0.4</v>
      </c>
      <c r="L174" s="47">
        <f t="shared" si="80"/>
        <v>3.6633484162895931</v>
      </c>
      <c r="M174" s="28">
        <f t="shared" si="81"/>
        <v>146.53393665158373</v>
      </c>
      <c r="N174" s="48">
        <f t="shared" si="82"/>
        <v>0.35000000000000003</v>
      </c>
      <c r="O174" s="71">
        <f t="shared" si="83"/>
        <v>3.4016806722689079</v>
      </c>
      <c r="P174" s="71">
        <f t="shared" si="73"/>
        <v>136.06722689075633</v>
      </c>
      <c r="Q174" s="37">
        <f t="shared" si="84"/>
        <v>0.30000000000000004</v>
      </c>
      <c r="R174" s="165"/>
      <c r="S174" s="165"/>
      <c r="T174" s="77"/>
      <c r="U174" s="77"/>
      <c r="V174" s="77"/>
      <c r="W174" s="77"/>
      <c r="X174" s="82">
        <v>153155</v>
      </c>
      <c r="Z174" s="77"/>
      <c r="AA174" s="77"/>
      <c r="AB174" s="34"/>
      <c r="AC174" s="34"/>
      <c r="AD174" s="184"/>
      <c r="AE174" s="33"/>
      <c r="AF174" s="77"/>
      <c r="AG174" s="77"/>
      <c r="AJ174" s="10"/>
    </row>
    <row r="175" spans="1:36">
      <c r="A175" s="33" t="s">
        <v>926</v>
      </c>
      <c r="B175" s="33" t="s">
        <v>979</v>
      </c>
      <c r="C175" s="86" t="s">
        <v>984</v>
      </c>
      <c r="D175" s="34">
        <v>250</v>
      </c>
      <c r="E175" s="34" t="s">
        <v>2</v>
      </c>
      <c r="F175" s="34"/>
      <c r="G175" s="57">
        <v>0.58560000000000001</v>
      </c>
      <c r="H175" s="57">
        <f t="shared" si="77"/>
        <v>146.4</v>
      </c>
      <c r="I175" s="42">
        <f t="shared" si="78"/>
        <v>0.97600000000000009</v>
      </c>
      <c r="J175" s="27">
        <f t="shared" si="79"/>
        <v>244.00000000000003</v>
      </c>
      <c r="K175" s="41">
        <f t="shared" si="76"/>
        <v>0.4</v>
      </c>
      <c r="L175" s="47">
        <f t="shared" si="80"/>
        <v>0.90092307692307694</v>
      </c>
      <c r="M175" s="28">
        <f t="shared" si="81"/>
        <v>225.23076923076923</v>
      </c>
      <c r="N175" s="48">
        <f t="shared" si="82"/>
        <v>0.35</v>
      </c>
      <c r="O175" s="71">
        <f t="shared" si="83"/>
        <v>0.83657142857142863</v>
      </c>
      <c r="P175" s="71">
        <f t="shared" si="73"/>
        <v>209.14285714285717</v>
      </c>
      <c r="Q175" s="37">
        <f t="shared" si="84"/>
        <v>0.30000000000000004</v>
      </c>
      <c r="R175" s="165"/>
      <c r="S175" s="165"/>
      <c r="T175" s="77"/>
      <c r="U175" s="77"/>
      <c r="V175" s="77"/>
      <c r="W175" s="77"/>
      <c r="X175" s="82">
        <v>153155</v>
      </c>
      <c r="Z175" s="77"/>
      <c r="AA175" s="77"/>
      <c r="AB175" s="34"/>
      <c r="AC175" s="34"/>
      <c r="AD175" s="184"/>
      <c r="AE175" s="86" t="s">
        <v>195</v>
      </c>
      <c r="AF175" s="77">
        <f>VLOOKUP(AE175,B:G,6,FALSE)</f>
        <v>0.96</v>
      </c>
      <c r="AG175" s="77">
        <f>AF175-G175</f>
        <v>0.37439999999999996</v>
      </c>
      <c r="AJ175" s="187"/>
    </row>
    <row r="176" spans="1:36">
      <c r="A176" s="33" t="s">
        <v>926</v>
      </c>
      <c r="B176" s="33" t="s">
        <v>980</v>
      </c>
      <c r="C176" s="86" t="s">
        <v>985</v>
      </c>
      <c r="D176" s="34">
        <v>180</v>
      </c>
      <c r="E176" s="34" t="s">
        <v>2</v>
      </c>
      <c r="F176" s="34"/>
      <c r="G176" s="57">
        <v>0.72960000000000014</v>
      </c>
      <c r="H176" s="57">
        <f t="shared" si="77"/>
        <v>131.32800000000003</v>
      </c>
      <c r="I176" s="42">
        <f t="shared" si="78"/>
        <v>1.2160000000000002</v>
      </c>
      <c r="J176" s="27">
        <f t="shared" si="79"/>
        <v>218.88000000000002</v>
      </c>
      <c r="K176" s="41">
        <f t="shared" si="76"/>
        <v>0.39999999999999997</v>
      </c>
      <c r="L176" s="47">
        <f t="shared" si="80"/>
        <v>1.1224615384615386</v>
      </c>
      <c r="M176" s="28">
        <f t="shared" si="81"/>
        <v>202.04307692307694</v>
      </c>
      <c r="N176" s="48">
        <f t="shared" si="82"/>
        <v>0.35</v>
      </c>
      <c r="O176" s="71">
        <f t="shared" si="83"/>
        <v>1.0422857142857145</v>
      </c>
      <c r="P176" s="71">
        <f t="shared" si="73"/>
        <v>187.6114285714286</v>
      </c>
      <c r="Q176" s="37">
        <f t="shared" si="84"/>
        <v>0.3</v>
      </c>
      <c r="R176" s="165"/>
      <c r="S176" s="165"/>
      <c r="T176" s="77"/>
      <c r="U176" s="77"/>
      <c r="V176" s="77"/>
      <c r="W176" s="77"/>
      <c r="X176" s="82">
        <v>153155</v>
      </c>
      <c r="Z176" s="77"/>
      <c r="AA176" s="77"/>
      <c r="AB176" s="34"/>
      <c r="AC176" s="34"/>
      <c r="AD176" s="184"/>
      <c r="AE176" s="86" t="s">
        <v>197</v>
      </c>
      <c r="AF176" s="77">
        <f>VLOOKUP(AE176,B:G,6,FALSE)</f>
        <v>1.1499999999999999</v>
      </c>
      <c r="AG176" s="77">
        <f>AF176-G176</f>
        <v>0.42039999999999977</v>
      </c>
      <c r="AJ176" s="187"/>
    </row>
    <row r="177" spans="1:37">
      <c r="A177" s="33" t="s">
        <v>926</v>
      </c>
      <c r="B177" s="33" t="s">
        <v>981</v>
      </c>
      <c r="C177" s="86" t="s">
        <v>986</v>
      </c>
      <c r="D177" s="34">
        <v>120</v>
      </c>
      <c r="E177" s="34" t="s">
        <v>2</v>
      </c>
      <c r="F177" s="34"/>
      <c r="G177" s="57">
        <v>1.0752000000000002</v>
      </c>
      <c r="H177" s="57">
        <f t="shared" si="77"/>
        <v>129.02400000000003</v>
      </c>
      <c r="I177" s="42">
        <f t="shared" si="78"/>
        <v>1.7920000000000003</v>
      </c>
      <c r="J177" s="27">
        <f t="shared" si="79"/>
        <v>215.04000000000002</v>
      </c>
      <c r="K177" s="41">
        <f t="shared" si="76"/>
        <v>0.4</v>
      </c>
      <c r="L177" s="47">
        <f t="shared" si="80"/>
        <v>1.6541538461538463</v>
      </c>
      <c r="M177" s="28">
        <f t="shared" si="81"/>
        <v>198.49846153846156</v>
      </c>
      <c r="N177" s="48">
        <f t="shared" si="82"/>
        <v>0.35</v>
      </c>
      <c r="O177" s="71">
        <f t="shared" si="83"/>
        <v>1.5360000000000003</v>
      </c>
      <c r="P177" s="71">
        <f t="shared" si="73"/>
        <v>184.32000000000002</v>
      </c>
      <c r="Q177" s="37">
        <f t="shared" si="84"/>
        <v>0.3</v>
      </c>
      <c r="R177" s="165"/>
      <c r="S177" s="165"/>
      <c r="T177" s="77"/>
      <c r="U177" s="77"/>
      <c r="V177" s="77"/>
      <c r="W177" s="77"/>
      <c r="X177" s="82">
        <v>153155</v>
      </c>
      <c r="Z177" s="77" t="s">
        <v>1182</v>
      </c>
      <c r="AA177" s="77"/>
      <c r="AB177" s="34"/>
      <c r="AC177" s="34"/>
      <c r="AD177" s="184"/>
      <c r="AE177" s="86" t="s">
        <v>199</v>
      </c>
      <c r="AF177" s="77">
        <f>VLOOKUP(AE177,B:G,6,FALSE)</f>
        <v>2.0299999999999998</v>
      </c>
      <c r="AG177" s="77">
        <f>AF177-G177</f>
        <v>0.95479999999999965</v>
      </c>
      <c r="AJ177" s="187"/>
    </row>
    <row r="178" spans="1:37">
      <c r="A178" s="33" t="s">
        <v>926</v>
      </c>
      <c r="B178" s="33" t="s">
        <v>982</v>
      </c>
      <c r="C178" s="86" t="s">
        <v>987</v>
      </c>
      <c r="D178" s="34">
        <v>50</v>
      </c>
      <c r="E178" s="34" t="s">
        <v>2</v>
      </c>
      <c r="F178" s="34"/>
      <c r="G178" s="57">
        <v>2.5152000000000001</v>
      </c>
      <c r="H178" s="57">
        <f t="shared" si="77"/>
        <v>125.76</v>
      </c>
      <c r="I178" s="42">
        <f t="shared" si="78"/>
        <v>4.1920000000000002</v>
      </c>
      <c r="J178" s="27">
        <f t="shared" si="79"/>
        <v>209.60000000000002</v>
      </c>
      <c r="K178" s="41">
        <f t="shared" si="76"/>
        <v>0.4</v>
      </c>
      <c r="L178" s="47">
        <f t="shared" si="80"/>
        <v>3.8695384615384616</v>
      </c>
      <c r="M178" s="28">
        <f t="shared" si="81"/>
        <v>193.47692307692307</v>
      </c>
      <c r="N178" s="48">
        <f t="shared" si="82"/>
        <v>0.35</v>
      </c>
      <c r="O178" s="71">
        <f t="shared" si="83"/>
        <v>3.5931428571428574</v>
      </c>
      <c r="P178" s="71">
        <f t="shared" ref="P178:P210" si="85">D178*O178</f>
        <v>179.65714285714287</v>
      </c>
      <c r="Q178" s="37">
        <f t="shared" si="84"/>
        <v>0.30000000000000004</v>
      </c>
      <c r="R178" s="165"/>
      <c r="S178" s="165"/>
      <c r="T178" s="77"/>
      <c r="U178" s="77"/>
      <c r="V178" s="77"/>
      <c r="W178" s="77"/>
      <c r="X178" s="82">
        <v>153155</v>
      </c>
      <c r="Z178" s="77"/>
      <c r="AA178" s="77"/>
      <c r="AB178" s="34"/>
      <c r="AC178" s="34"/>
      <c r="AD178" s="184"/>
      <c r="AE178" s="86" t="s">
        <v>201</v>
      </c>
      <c r="AF178" s="77">
        <f>VLOOKUP(AE178,B:G,6,FALSE)</f>
        <v>4.32</v>
      </c>
      <c r="AG178" s="77">
        <f>AF178-G178</f>
        <v>1.8048000000000002</v>
      </c>
      <c r="AJ178" s="187"/>
    </row>
    <row r="179" spans="1:37">
      <c r="A179" s="33" t="s">
        <v>926</v>
      </c>
      <c r="B179" s="33" t="s">
        <v>983</v>
      </c>
      <c r="C179" s="86" t="s">
        <v>988</v>
      </c>
      <c r="D179" s="34">
        <v>80</v>
      </c>
      <c r="E179" s="34" t="s">
        <v>2</v>
      </c>
      <c r="F179" s="34"/>
      <c r="G179" s="57">
        <v>2.6015999999999999</v>
      </c>
      <c r="H179" s="57">
        <f t="shared" si="77"/>
        <v>208.12799999999999</v>
      </c>
      <c r="I179" s="42">
        <f t="shared" si="78"/>
        <v>4.3360000000000003</v>
      </c>
      <c r="J179" s="27">
        <f t="shared" si="79"/>
        <v>346.88</v>
      </c>
      <c r="K179" s="41">
        <f t="shared" si="76"/>
        <v>0.40000000000000008</v>
      </c>
      <c r="L179" s="47">
        <f t="shared" si="80"/>
        <v>4.0024615384615378</v>
      </c>
      <c r="M179" s="28">
        <f t="shared" si="81"/>
        <v>320.19692307692304</v>
      </c>
      <c r="N179" s="48">
        <f t="shared" si="82"/>
        <v>0.34999999999999992</v>
      </c>
      <c r="O179" s="71">
        <f t="shared" si="83"/>
        <v>3.7165714285714286</v>
      </c>
      <c r="P179" s="71">
        <f t="shared" si="85"/>
        <v>297.3257142857143</v>
      </c>
      <c r="Q179" s="37">
        <f t="shared" si="84"/>
        <v>0.30000000000000004</v>
      </c>
      <c r="R179" s="165"/>
      <c r="S179" s="165"/>
      <c r="T179" s="77"/>
      <c r="U179" s="77"/>
      <c r="V179" s="77"/>
      <c r="W179" s="77"/>
      <c r="X179" s="82">
        <v>153155</v>
      </c>
      <c r="Z179" s="77"/>
      <c r="AA179" s="77"/>
      <c r="AB179" s="34"/>
      <c r="AC179" s="34"/>
      <c r="AD179" s="184"/>
      <c r="AE179" s="86" t="s">
        <v>203</v>
      </c>
      <c r="AF179" s="77"/>
      <c r="AG179" s="77"/>
      <c r="AJ179" s="187"/>
    </row>
    <row r="180" spans="1:37">
      <c r="A180" s="33" t="s">
        <v>926</v>
      </c>
      <c r="B180" s="33" t="s">
        <v>1099</v>
      </c>
      <c r="C180" s="33" t="s">
        <v>1100</v>
      </c>
      <c r="D180" s="34">
        <v>8</v>
      </c>
      <c r="E180" s="34" t="s">
        <v>2</v>
      </c>
      <c r="F180" s="34"/>
      <c r="G180" s="57">
        <v>11.2</v>
      </c>
      <c r="H180" s="57">
        <f t="shared" si="77"/>
        <v>89.6</v>
      </c>
      <c r="I180" s="42">
        <f t="shared" si="78"/>
        <v>18.666666666666668</v>
      </c>
      <c r="J180" s="27">
        <f t="shared" si="79"/>
        <v>149.33333333333334</v>
      </c>
      <c r="K180" s="41">
        <f t="shared" si="76"/>
        <v>0.40000000000000008</v>
      </c>
      <c r="L180" s="47">
        <f t="shared" si="80"/>
        <v>17.23076923076923</v>
      </c>
      <c r="M180" s="28">
        <f t="shared" si="81"/>
        <v>137.84615384615384</v>
      </c>
      <c r="N180" s="48">
        <f t="shared" si="82"/>
        <v>0.35000000000000003</v>
      </c>
      <c r="O180" s="71">
        <f t="shared" si="83"/>
        <v>16</v>
      </c>
      <c r="P180" s="71">
        <f t="shared" si="85"/>
        <v>128</v>
      </c>
      <c r="Q180" s="37">
        <f t="shared" si="84"/>
        <v>0.30000000000000004</v>
      </c>
      <c r="R180" s="165"/>
      <c r="S180" s="165"/>
      <c r="T180" s="77"/>
      <c r="U180" s="77"/>
      <c r="V180" s="77"/>
      <c r="W180" s="77"/>
      <c r="X180" s="82">
        <v>153155</v>
      </c>
      <c r="Z180" s="77" t="s">
        <v>1131</v>
      </c>
      <c r="AA180" s="77">
        <v>18.809999999999999</v>
      </c>
      <c r="AB180" s="145">
        <f>I180</f>
        <v>18.666666666666668</v>
      </c>
      <c r="AC180" s="77">
        <f>AB180-AA180</f>
        <v>-0.14333333333333087</v>
      </c>
      <c r="AD180" s="184"/>
      <c r="AE180" s="86"/>
      <c r="AF180" s="77"/>
      <c r="AG180" s="77"/>
      <c r="AJ180" s="187"/>
    </row>
    <row r="181" spans="1:37">
      <c r="A181" s="33" t="s">
        <v>926</v>
      </c>
      <c r="B181" s="33" t="s">
        <v>1066</v>
      </c>
      <c r="C181" s="86" t="s">
        <v>1071</v>
      </c>
      <c r="D181" s="175">
        <v>75</v>
      </c>
      <c r="E181" s="34" t="s">
        <v>2</v>
      </c>
      <c r="F181" s="34"/>
      <c r="G181" s="57">
        <v>1.8720000000000001</v>
      </c>
      <c r="H181" s="57">
        <f t="shared" si="77"/>
        <v>140.4</v>
      </c>
      <c r="I181" s="42">
        <f t="shared" si="78"/>
        <v>3.12</v>
      </c>
      <c r="J181" s="27">
        <f t="shared" si="79"/>
        <v>234</v>
      </c>
      <c r="K181" s="41">
        <f t="shared" si="76"/>
        <v>0.39999999999999997</v>
      </c>
      <c r="L181" s="47">
        <f t="shared" si="80"/>
        <v>2.88</v>
      </c>
      <c r="M181" s="28">
        <f t="shared" si="81"/>
        <v>216</v>
      </c>
      <c r="N181" s="48">
        <f t="shared" si="82"/>
        <v>0.34999999999999992</v>
      </c>
      <c r="O181" s="71">
        <f t="shared" si="83"/>
        <v>2.6742857142857148</v>
      </c>
      <c r="P181" s="71">
        <f t="shared" si="85"/>
        <v>200.57142857142861</v>
      </c>
      <c r="Q181" s="37">
        <f t="shared" si="84"/>
        <v>0.3000000000000001</v>
      </c>
      <c r="R181" s="165"/>
      <c r="S181" s="165"/>
      <c r="T181" s="77"/>
      <c r="U181" s="77"/>
      <c r="V181" s="77"/>
      <c r="W181" s="77"/>
      <c r="X181" s="82">
        <v>153155</v>
      </c>
      <c r="Y181" s="10"/>
      <c r="Z181" s="77" t="s">
        <v>1115</v>
      </c>
      <c r="AA181" s="77">
        <v>3.83</v>
      </c>
      <c r="AB181" s="145">
        <f>I181</f>
        <v>3.12</v>
      </c>
      <c r="AC181" s="77">
        <f>AB181-AA181</f>
        <v>-0.71</v>
      </c>
      <c r="AD181" s="184"/>
      <c r="AE181" s="86" t="s">
        <v>213</v>
      </c>
      <c r="AF181" s="77">
        <f>VLOOKUP(AE181,B:G,6,FALSE)</f>
        <v>2.08</v>
      </c>
      <c r="AG181" s="77">
        <f>AF181-G181</f>
        <v>0.20799999999999996</v>
      </c>
    </row>
    <row r="182" spans="1:37">
      <c r="A182" s="33" t="s">
        <v>926</v>
      </c>
      <c r="B182" s="33" t="s">
        <v>1067</v>
      </c>
      <c r="C182" s="86" t="s">
        <v>1072</v>
      </c>
      <c r="D182" s="175">
        <v>75</v>
      </c>
      <c r="E182" s="34" t="s">
        <v>2</v>
      </c>
      <c r="F182" s="34"/>
      <c r="G182" s="57">
        <v>2.0880000000000001</v>
      </c>
      <c r="H182" s="57">
        <f t="shared" si="77"/>
        <v>156.6</v>
      </c>
      <c r="I182" s="42">
        <f t="shared" si="78"/>
        <v>3.4800000000000004</v>
      </c>
      <c r="J182" s="27">
        <f t="shared" si="79"/>
        <v>261.00000000000006</v>
      </c>
      <c r="K182" s="41">
        <f t="shared" si="76"/>
        <v>0.40000000000000008</v>
      </c>
      <c r="L182" s="47">
        <f t="shared" si="80"/>
        <v>3.2123076923076925</v>
      </c>
      <c r="M182" s="28">
        <f t="shared" si="81"/>
        <v>240.92307692307693</v>
      </c>
      <c r="N182" s="48">
        <f t="shared" si="82"/>
        <v>0.35000000000000003</v>
      </c>
      <c r="O182" s="71">
        <f t="shared" si="83"/>
        <v>2.9828571428571431</v>
      </c>
      <c r="P182" s="71">
        <f t="shared" si="85"/>
        <v>223.71428571428572</v>
      </c>
      <c r="Q182" s="37">
        <f t="shared" si="84"/>
        <v>0.30000000000000004</v>
      </c>
      <c r="R182" s="165"/>
      <c r="S182" s="165"/>
      <c r="T182" s="77"/>
      <c r="U182" s="77"/>
      <c r="V182" s="77"/>
      <c r="W182" s="77"/>
      <c r="X182" s="82">
        <v>153155</v>
      </c>
      <c r="Y182" s="10"/>
      <c r="Z182" s="77" t="s">
        <v>1116</v>
      </c>
      <c r="AA182" s="77">
        <v>3.92</v>
      </c>
      <c r="AB182" s="145">
        <f>I182</f>
        <v>3.4800000000000004</v>
      </c>
      <c r="AC182" s="77">
        <f>AB182-AA182</f>
        <v>-0.4399999999999995</v>
      </c>
      <c r="AD182" s="184"/>
      <c r="AE182" s="86" t="s">
        <v>215</v>
      </c>
      <c r="AF182" s="77">
        <f>VLOOKUP(AE182,B:G,6,FALSE)</f>
        <v>2.3199999999999998</v>
      </c>
      <c r="AG182" s="77">
        <f>AF182-G182</f>
        <v>0.23199999999999976</v>
      </c>
    </row>
    <row r="183" spans="1:37">
      <c r="A183" s="33" t="s">
        <v>926</v>
      </c>
      <c r="B183" s="33" t="s">
        <v>1068</v>
      </c>
      <c r="C183" s="86" t="s">
        <v>1073</v>
      </c>
      <c r="D183" s="175">
        <v>100</v>
      </c>
      <c r="E183" s="34" t="s">
        <v>2</v>
      </c>
      <c r="F183" s="34"/>
      <c r="G183" s="57">
        <v>2.4649999999999999</v>
      </c>
      <c r="H183" s="57">
        <f t="shared" si="77"/>
        <v>246.5</v>
      </c>
      <c r="I183" s="42">
        <f t="shared" si="78"/>
        <v>4.1083333333333334</v>
      </c>
      <c r="J183" s="27">
        <f t="shared" si="79"/>
        <v>410.83333333333331</v>
      </c>
      <c r="K183" s="41">
        <f t="shared" si="76"/>
        <v>0.4</v>
      </c>
      <c r="L183" s="47">
        <f t="shared" si="80"/>
        <v>3.7923076923076922</v>
      </c>
      <c r="M183" s="28">
        <f t="shared" si="81"/>
        <v>379.23076923076923</v>
      </c>
      <c r="N183" s="48">
        <f t="shared" si="82"/>
        <v>0.35000000000000003</v>
      </c>
      <c r="O183" s="71">
        <f t="shared" si="83"/>
        <v>3.5214285714285714</v>
      </c>
      <c r="P183" s="71">
        <f t="shared" si="85"/>
        <v>352.14285714285711</v>
      </c>
      <c r="Q183" s="37">
        <f t="shared" si="84"/>
        <v>0.30000000000000004</v>
      </c>
      <c r="R183" s="165"/>
      <c r="S183" s="165"/>
      <c r="T183" s="77"/>
      <c r="U183" s="77"/>
      <c r="V183" s="77"/>
      <c r="W183" s="77"/>
      <c r="X183" s="82">
        <v>153155</v>
      </c>
      <c r="Y183" s="10"/>
      <c r="Z183" s="77" t="s">
        <v>1169</v>
      </c>
      <c r="AA183" s="77"/>
      <c r="AB183" s="145"/>
      <c r="AC183" s="77"/>
      <c r="AD183" s="184"/>
      <c r="AE183" s="86" t="s">
        <v>223</v>
      </c>
      <c r="AF183" s="77">
        <f>VLOOKUP(AE183,B:G,6,FALSE)</f>
        <v>2.9</v>
      </c>
      <c r="AG183" s="77">
        <f>AF183-G183</f>
        <v>0.43500000000000005</v>
      </c>
    </row>
    <row r="184" spans="1:37">
      <c r="A184" s="33" t="s">
        <v>926</v>
      </c>
      <c r="B184" s="33" t="s">
        <v>1069</v>
      </c>
      <c r="C184" s="86" t="s">
        <v>1074</v>
      </c>
      <c r="D184" s="175">
        <v>100</v>
      </c>
      <c r="E184" s="34" t="s">
        <v>2</v>
      </c>
      <c r="F184" s="34"/>
      <c r="G184" s="57">
        <v>2.72</v>
      </c>
      <c r="H184" s="57">
        <f t="shared" si="77"/>
        <v>272</v>
      </c>
      <c r="I184" s="42">
        <f t="shared" si="78"/>
        <v>4.5333333333333341</v>
      </c>
      <c r="J184" s="27">
        <f t="shared" si="79"/>
        <v>453.33333333333343</v>
      </c>
      <c r="K184" s="41">
        <f t="shared" si="76"/>
        <v>0.40000000000000008</v>
      </c>
      <c r="L184" s="47">
        <f t="shared" si="80"/>
        <v>4.1846153846153848</v>
      </c>
      <c r="M184" s="28">
        <f t="shared" si="81"/>
        <v>418.46153846153851</v>
      </c>
      <c r="N184" s="48">
        <f t="shared" si="82"/>
        <v>0.35</v>
      </c>
      <c r="O184" s="71">
        <f t="shared" si="83"/>
        <v>3.8857142857142861</v>
      </c>
      <c r="P184" s="71">
        <f t="shared" si="85"/>
        <v>388.57142857142861</v>
      </c>
      <c r="Q184" s="37">
        <f t="shared" si="84"/>
        <v>0.30000000000000004</v>
      </c>
      <c r="R184" s="165"/>
      <c r="S184" s="165"/>
      <c r="T184" s="77"/>
      <c r="U184" s="77"/>
      <c r="V184" s="77"/>
      <c r="W184" s="77"/>
      <c r="X184" s="82">
        <v>153155</v>
      </c>
      <c r="Y184" s="10"/>
      <c r="Z184" s="77" t="s">
        <v>1109</v>
      </c>
      <c r="AA184" s="77">
        <v>3.3</v>
      </c>
      <c r="AB184" s="145">
        <f>I184</f>
        <v>4.5333333333333341</v>
      </c>
      <c r="AC184" s="77">
        <f>AB184-AA184</f>
        <v>1.2333333333333343</v>
      </c>
      <c r="AD184" s="184"/>
      <c r="AE184" s="86" t="s">
        <v>225</v>
      </c>
      <c r="AF184" s="77">
        <f>VLOOKUP(AE184,B:G,6,FALSE)</f>
        <v>3.2</v>
      </c>
      <c r="AG184" s="77">
        <f>AF184-G184</f>
        <v>0.48</v>
      </c>
    </row>
    <row r="185" spans="1:37">
      <c r="A185" s="33" t="s">
        <v>926</v>
      </c>
      <c r="B185" s="33" t="s">
        <v>1022</v>
      </c>
      <c r="C185" s="86" t="s">
        <v>1023</v>
      </c>
      <c r="D185" s="34">
        <v>30</v>
      </c>
      <c r="E185" s="34" t="s">
        <v>2</v>
      </c>
      <c r="F185" s="34"/>
      <c r="G185" s="57">
        <v>1.5840000000000001</v>
      </c>
      <c r="H185" s="57">
        <f t="shared" si="77"/>
        <v>47.52</v>
      </c>
      <c r="I185" s="42">
        <f t="shared" si="78"/>
        <v>2.64</v>
      </c>
      <c r="J185" s="27">
        <f t="shared" si="79"/>
        <v>79.2</v>
      </c>
      <c r="K185" s="41">
        <f t="shared" ref="K185:K217" si="86">(I185-G185)/I185</f>
        <v>0.4</v>
      </c>
      <c r="L185" s="47">
        <f t="shared" si="80"/>
        <v>2.436923076923077</v>
      </c>
      <c r="M185" s="28">
        <f t="shared" si="81"/>
        <v>73.107692307692304</v>
      </c>
      <c r="N185" s="48">
        <f t="shared" si="82"/>
        <v>0.35</v>
      </c>
      <c r="O185" s="71">
        <f t="shared" si="83"/>
        <v>2.2628571428571429</v>
      </c>
      <c r="P185" s="71">
        <f t="shared" si="85"/>
        <v>67.885714285714286</v>
      </c>
      <c r="Q185" s="37">
        <f t="shared" si="84"/>
        <v>0.3</v>
      </c>
      <c r="R185" s="165"/>
      <c r="S185" s="165"/>
      <c r="T185" s="77"/>
      <c r="U185" s="77"/>
      <c r="V185" s="77"/>
      <c r="W185" s="77"/>
      <c r="X185" s="82">
        <v>153155</v>
      </c>
      <c r="Z185" s="77" t="s">
        <v>1114</v>
      </c>
      <c r="AA185" s="77">
        <v>3</v>
      </c>
      <c r="AB185" s="145">
        <f>I185</f>
        <v>2.64</v>
      </c>
      <c r="AC185" s="77">
        <f>AB185-AA185</f>
        <v>-0.35999999999999988</v>
      </c>
      <c r="AD185" s="184"/>
      <c r="AE185" s="33"/>
      <c r="AF185" s="77"/>
      <c r="AG185" s="77"/>
    </row>
    <row r="186" spans="1:37">
      <c r="A186" s="33" t="s">
        <v>926</v>
      </c>
      <c r="B186" s="33" t="s">
        <v>1026</v>
      </c>
      <c r="C186" s="33" t="s">
        <v>1024</v>
      </c>
      <c r="D186" s="34">
        <v>30</v>
      </c>
      <c r="E186" s="34" t="s">
        <v>2</v>
      </c>
      <c r="F186" s="34"/>
      <c r="G186" s="57">
        <v>1.728</v>
      </c>
      <c r="H186" s="57">
        <f t="shared" si="77"/>
        <v>51.839999999999996</v>
      </c>
      <c r="I186" s="42">
        <f t="shared" si="78"/>
        <v>2.88</v>
      </c>
      <c r="J186" s="27">
        <f t="shared" si="79"/>
        <v>86.399999999999991</v>
      </c>
      <c r="K186" s="41">
        <f t="shared" si="86"/>
        <v>0.39999999999999997</v>
      </c>
      <c r="L186" s="47">
        <f t="shared" si="80"/>
        <v>2.6584615384615384</v>
      </c>
      <c r="M186" s="28">
        <f t="shared" si="81"/>
        <v>79.753846153846155</v>
      </c>
      <c r="N186" s="48">
        <f t="shared" si="82"/>
        <v>0.35</v>
      </c>
      <c r="O186" s="71">
        <f t="shared" si="83"/>
        <v>2.4685714285714289</v>
      </c>
      <c r="P186" s="71">
        <f t="shared" si="85"/>
        <v>74.057142857142864</v>
      </c>
      <c r="Q186" s="37">
        <f t="shared" si="84"/>
        <v>0.3000000000000001</v>
      </c>
      <c r="R186" s="165"/>
      <c r="S186" s="165"/>
      <c r="T186" s="77"/>
      <c r="U186" s="77"/>
      <c r="V186" s="77"/>
      <c r="W186" s="77"/>
      <c r="X186" s="82">
        <v>153155</v>
      </c>
      <c r="Z186" s="77"/>
      <c r="AA186" s="77"/>
      <c r="AB186" s="145"/>
      <c r="AC186" s="77"/>
      <c r="AD186" s="184"/>
      <c r="AE186" s="86" t="s">
        <v>227</v>
      </c>
      <c r="AF186" s="77">
        <f>VLOOKUP(AE186,B:G,6,FALSE)</f>
        <v>3.66</v>
      </c>
      <c r="AG186" s="77">
        <f>AF186-G186</f>
        <v>1.9320000000000002</v>
      </c>
      <c r="AI186" s="10"/>
      <c r="AJ186" s="187"/>
    </row>
    <row r="187" spans="1:37">
      <c r="A187" s="33" t="s">
        <v>926</v>
      </c>
      <c r="B187" s="33" t="s">
        <v>989</v>
      </c>
      <c r="C187" s="86" t="s">
        <v>994</v>
      </c>
      <c r="D187" s="34">
        <v>18</v>
      </c>
      <c r="E187" s="34" t="s">
        <v>2</v>
      </c>
      <c r="F187" s="34"/>
      <c r="G187" s="57">
        <v>10.881</v>
      </c>
      <c r="H187" s="57">
        <f t="shared" si="77"/>
        <v>195.858</v>
      </c>
      <c r="I187" s="42">
        <f t="shared" si="78"/>
        <v>18.135000000000002</v>
      </c>
      <c r="J187" s="27">
        <f t="shared" si="79"/>
        <v>326.43</v>
      </c>
      <c r="K187" s="41">
        <f t="shared" si="86"/>
        <v>0.4</v>
      </c>
      <c r="L187" s="47">
        <f t="shared" si="80"/>
        <v>16.739999999999998</v>
      </c>
      <c r="M187" s="28">
        <f t="shared" si="81"/>
        <v>301.32</v>
      </c>
      <c r="N187" s="48">
        <f t="shared" si="82"/>
        <v>0.34999999999999992</v>
      </c>
      <c r="O187" s="71">
        <f t="shared" si="83"/>
        <v>15.544285714285715</v>
      </c>
      <c r="P187" s="71">
        <f t="shared" si="85"/>
        <v>279.79714285714289</v>
      </c>
      <c r="Q187" s="37">
        <f t="shared" si="84"/>
        <v>0.30000000000000004</v>
      </c>
      <c r="R187" s="165"/>
      <c r="S187" s="165"/>
      <c r="T187" s="77"/>
      <c r="U187" s="77"/>
      <c r="V187" s="77"/>
      <c r="W187" s="77"/>
      <c r="X187" s="82">
        <v>153155</v>
      </c>
      <c r="Z187" s="77" t="s">
        <v>1122</v>
      </c>
      <c r="AA187" s="77">
        <v>17.27</v>
      </c>
      <c r="AB187" s="145">
        <f>I187</f>
        <v>18.135000000000002</v>
      </c>
      <c r="AC187" s="77">
        <f>AB187-AA187</f>
        <v>0.86500000000000199</v>
      </c>
      <c r="AD187" s="184"/>
      <c r="AE187" s="86" t="s">
        <v>233</v>
      </c>
      <c r="AF187" s="77">
        <f>VLOOKUP(AE187,B:G,6,FALSE)</f>
        <v>12.09</v>
      </c>
      <c r="AG187" s="77">
        <f>AF187-G187</f>
        <v>1.2089999999999996</v>
      </c>
      <c r="AJ187" s="187"/>
    </row>
    <row r="188" spans="1:37">
      <c r="A188" s="33" t="s">
        <v>926</v>
      </c>
      <c r="B188" s="33" t="s">
        <v>990</v>
      </c>
      <c r="C188" s="86" t="s">
        <v>995</v>
      </c>
      <c r="D188" s="34">
        <v>20</v>
      </c>
      <c r="E188" s="34" t="s">
        <v>2</v>
      </c>
      <c r="F188" s="34"/>
      <c r="G188" s="57">
        <v>9.1999999999999993</v>
      </c>
      <c r="H188" s="57">
        <f t="shared" si="77"/>
        <v>184</v>
      </c>
      <c r="I188" s="42">
        <f t="shared" si="78"/>
        <v>15.333333333333332</v>
      </c>
      <c r="J188" s="27">
        <f t="shared" si="79"/>
        <v>306.66666666666663</v>
      </c>
      <c r="K188" s="41">
        <f t="shared" si="86"/>
        <v>0.4</v>
      </c>
      <c r="L188" s="47">
        <f t="shared" si="80"/>
        <v>14.153846153846152</v>
      </c>
      <c r="M188" s="28">
        <f t="shared" si="81"/>
        <v>283.07692307692304</v>
      </c>
      <c r="N188" s="48">
        <f t="shared" si="82"/>
        <v>0.34999999999999992</v>
      </c>
      <c r="O188" s="71">
        <f t="shared" si="83"/>
        <v>13.142857142857142</v>
      </c>
      <c r="P188" s="71">
        <f t="shared" si="85"/>
        <v>262.85714285714283</v>
      </c>
      <c r="Q188" s="37">
        <f t="shared" si="84"/>
        <v>0.30000000000000004</v>
      </c>
      <c r="R188" s="165"/>
      <c r="S188" s="165"/>
      <c r="T188" s="77"/>
      <c r="U188" s="77"/>
      <c r="V188" s="77"/>
      <c r="W188" s="77"/>
      <c r="X188" s="82">
        <v>153155</v>
      </c>
      <c r="Z188" s="77" t="s">
        <v>1120</v>
      </c>
      <c r="AA188" s="77">
        <v>13.04</v>
      </c>
      <c r="AB188" s="145">
        <f>I188</f>
        <v>15.333333333333332</v>
      </c>
      <c r="AC188" s="77">
        <f>AB188-AA188</f>
        <v>2.293333333333333</v>
      </c>
      <c r="AD188" s="184"/>
      <c r="AE188" s="86" t="s">
        <v>235</v>
      </c>
      <c r="AF188" s="77">
        <f>VLOOKUP(AE188,B:G,6,FALSE)</f>
        <v>10.220000000000001</v>
      </c>
      <c r="AG188" s="77">
        <f>AF188-G188</f>
        <v>1.0200000000000014</v>
      </c>
      <c r="AJ188" s="10"/>
    </row>
    <row r="189" spans="1:37">
      <c r="A189" s="33" t="s">
        <v>926</v>
      </c>
      <c r="B189" s="33" t="s">
        <v>991</v>
      </c>
      <c r="C189" s="86" t="s">
        <v>996</v>
      </c>
      <c r="D189" s="34">
        <v>14</v>
      </c>
      <c r="E189" s="34" t="s">
        <v>2</v>
      </c>
      <c r="F189" s="34">
        <v>36</v>
      </c>
      <c r="G189" s="57">
        <v>11.25</v>
      </c>
      <c r="H189" s="57">
        <f t="shared" si="77"/>
        <v>157.5</v>
      </c>
      <c r="I189" s="42">
        <f t="shared" si="78"/>
        <v>18.75</v>
      </c>
      <c r="J189" s="27">
        <f t="shared" si="79"/>
        <v>262.5</v>
      </c>
      <c r="K189" s="41">
        <f t="shared" si="86"/>
        <v>0.4</v>
      </c>
      <c r="L189" s="47">
        <f t="shared" si="80"/>
        <v>17.307692307692307</v>
      </c>
      <c r="M189" s="28">
        <f t="shared" si="81"/>
        <v>242.30769230769229</v>
      </c>
      <c r="N189" s="48">
        <f t="shared" si="82"/>
        <v>0.35</v>
      </c>
      <c r="O189" s="71">
        <f t="shared" si="83"/>
        <v>16.071428571428573</v>
      </c>
      <c r="P189" s="71">
        <f t="shared" si="85"/>
        <v>225.00000000000003</v>
      </c>
      <c r="Q189" s="37">
        <f t="shared" si="84"/>
        <v>0.30000000000000004</v>
      </c>
      <c r="R189" s="165"/>
      <c r="S189" s="165"/>
      <c r="T189" s="77"/>
      <c r="U189" s="77"/>
      <c r="V189" s="77"/>
      <c r="W189" s="77"/>
      <c r="X189" s="82">
        <v>153155</v>
      </c>
      <c r="Z189" s="77" t="s">
        <v>1119</v>
      </c>
      <c r="AA189" s="77">
        <v>18.66</v>
      </c>
      <c r="AB189" s="145">
        <f>I189</f>
        <v>18.75</v>
      </c>
      <c r="AC189" s="77">
        <f>AB189-AA189</f>
        <v>8.9999999999999858E-2</v>
      </c>
      <c r="AD189" s="184"/>
      <c r="AE189" s="86" t="s">
        <v>237</v>
      </c>
      <c r="AF189" s="77">
        <f>VLOOKUP(AE189,B:G,6,FALSE)</f>
        <v>12.5</v>
      </c>
      <c r="AG189" s="77">
        <f>AF189-G189</f>
        <v>1.25</v>
      </c>
      <c r="AI189" s="10"/>
      <c r="AJ189" s="187"/>
      <c r="AK189" s="10"/>
    </row>
    <row r="190" spans="1:37">
      <c r="A190" s="33" t="s">
        <v>926</v>
      </c>
      <c r="B190" s="33" t="s">
        <v>992</v>
      </c>
      <c r="C190" s="86" t="s">
        <v>1165</v>
      </c>
      <c r="D190" s="34">
        <v>8</v>
      </c>
      <c r="E190" s="34" t="s">
        <v>2</v>
      </c>
      <c r="F190" s="34"/>
      <c r="G190" s="57">
        <v>9.1980000000000004</v>
      </c>
      <c r="H190" s="57">
        <f t="shared" si="77"/>
        <v>73.584000000000003</v>
      </c>
      <c r="I190" s="42">
        <f t="shared" si="78"/>
        <v>15.330000000000002</v>
      </c>
      <c r="J190" s="27">
        <f t="shared" si="79"/>
        <v>122.64000000000001</v>
      </c>
      <c r="K190" s="41">
        <f t="shared" si="86"/>
        <v>0.4</v>
      </c>
      <c r="L190" s="47">
        <f t="shared" si="80"/>
        <v>14.150769230769232</v>
      </c>
      <c r="M190" s="28">
        <f t="shared" si="81"/>
        <v>113.20615384615385</v>
      </c>
      <c r="N190" s="48">
        <f t="shared" si="82"/>
        <v>0.35000000000000003</v>
      </c>
      <c r="O190" s="71">
        <f t="shared" si="83"/>
        <v>13.14</v>
      </c>
      <c r="P190" s="71">
        <f t="shared" si="85"/>
        <v>105.12</v>
      </c>
      <c r="Q190" s="37">
        <f t="shared" si="84"/>
        <v>0.3</v>
      </c>
      <c r="R190" s="165"/>
      <c r="S190" s="165"/>
      <c r="T190" s="77"/>
      <c r="U190" s="77"/>
      <c r="V190" s="77"/>
      <c r="W190" s="77"/>
      <c r="X190" s="82">
        <v>153155</v>
      </c>
      <c r="Z190" s="77" t="s">
        <v>1170</v>
      </c>
      <c r="AA190" s="77"/>
      <c r="AB190" s="145"/>
      <c r="AC190" s="77"/>
      <c r="AD190" s="184"/>
      <c r="AE190" s="86" t="s">
        <v>241</v>
      </c>
      <c r="AF190" s="77">
        <f>VLOOKUP(AE190,B:G,6,FALSE)</f>
        <v>12.8</v>
      </c>
      <c r="AG190" s="77">
        <f>AF190-G190</f>
        <v>3.6020000000000003</v>
      </c>
      <c r="AI190" s="10"/>
      <c r="AJ190" s="187"/>
      <c r="AK190" s="10"/>
    </row>
    <row r="191" spans="1:37">
      <c r="A191" s="33" t="s">
        <v>926</v>
      </c>
      <c r="B191" s="33" t="s">
        <v>1164</v>
      </c>
      <c r="C191" s="86" t="s">
        <v>1166</v>
      </c>
      <c r="D191" s="34">
        <v>8</v>
      </c>
      <c r="E191" s="34" t="s">
        <v>2</v>
      </c>
      <c r="F191" s="34"/>
      <c r="G191" s="57">
        <v>7.34</v>
      </c>
      <c r="H191" s="57">
        <f t="shared" si="77"/>
        <v>58.72</v>
      </c>
      <c r="I191" s="42">
        <f t="shared" si="78"/>
        <v>12.233333333333334</v>
      </c>
      <c r="J191" s="27">
        <f t="shared" si="79"/>
        <v>97.866666666666674</v>
      </c>
      <c r="K191" s="41">
        <f t="shared" si="86"/>
        <v>0.40000000000000008</v>
      </c>
      <c r="L191" s="47">
        <f t="shared" si="80"/>
        <v>11.292307692307691</v>
      </c>
      <c r="M191" s="28">
        <f t="shared" si="81"/>
        <v>90.33846153846153</v>
      </c>
      <c r="N191" s="48">
        <f t="shared" si="82"/>
        <v>0.35</v>
      </c>
      <c r="O191" s="71">
        <f t="shared" si="83"/>
        <v>10.485714285714286</v>
      </c>
      <c r="P191" s="71">
        <f t="shared" si="85"/>
        <v>83.885714285714286</v>
      </c>
      <c r="Q191" s="37">
        <f t="shared" si="84"/>
        <v>0.30000000000000004</v>
      </c>
      <c r="R191" s="165"/>
      <c r="S191" s="165"/>
      <c r="T191" s="77"/>
      <c r="U191" s="77"/>
      <c r="V191" s="77"/>
      <c r="W191" s="77"/>
      <c r="X191" s="82">
        <v>153155</v>
      </c>
      <c r="Z191" s="77" t="s">
        <v>1171</v>
      </c>
      <c r="AA191" s="77"/>
      <c r="AB191" s="145"/>
      <c r="AC191" s="77"/>
      <c r="AD191" s="184"/>
      <c r="AE191" s="86"/>
      <c r="AF191" s="77"/>
      <c r="AG191" s="77"/>
      <c r="AI191" s="10"/>
      <c r="AJ191" s="187"/>
      <c r="AK191" s="10"/>
    </row>
    <row r="192" spans="1:37">
      <c r="A192" s="33" t="s">
        <v>926</v>
      </c>
      <c r="B192" s="33" t="s">
        <v>993</v>
      </c>
      <c r="C192" s="86" t="s">
        <v>998</v>
      </c>
      <c r="D192" s="34">
        <v>8</v>
      </c>
      <c r="E192" s="34" t="s">
        <v>2</v>
      </c>
      <c r="F192" s="34">
        <v>36</v>
      </c>
      <c r="G192" s="57">
        <v>11.647058823529413</v>
      </c>
      <c r="H192" s="57">
        <f t="shared" si="77"/>
        <v>93.176470588235304</v>
      </c>
      <c r="I192" s="42">
        <f t="shared" si="78"/>
        <v>19.411764705882355</v>
      </c>
      <c r="J192" s="27">
        <f t="shared" si="79"/>
        <v>155.29411764705884</v>
      </c>
      <c r="K192" s="41">
        <f t="shared" si="86"/>
        <v>0.4</v>
      </c>
      <c r="L192" s="47">
        <f t="shared" si="80"/>
        <v>17.918552036199095</v>
      </c>
      <c r="M192" s="28">
        <f t="shared" si="81"/>
        <v>143.34841628959276</v>
      </c>
      <c r="N192" s="48">
        <f t="shared" si="82"/>
        <v>0.34999999999999992</v>
      </c>
      <c r="O192" s="71">
        <f t="shared" si="83"/>
        <v>16.638655462184875</v>
      </c>
      <c r="P192" s="71">
        <f t="shared" si="85"/>
        <v>133.109243697479</v>
      </c>
      <c r="Q192" s="37">
        <f t="shared" si="84"/>
        <v>0.3</v>
      </c>
      <c r="R192" s="165"/>
      <c r="S192" s="165"/>
      <c r="T192" s="77"/>
      <c r="U192" s="77"/>
      <c r="V192" s="77"/>
      <c r="W192" s="77"/>
      <c r="X192" s="82">
        <v>153155</v>
      </c>
      <c r="Z192" s="77" t="s">
        <v>1121</v>
      </c>
      <c r="AA192" s="77">
        <v>26.83</v>
      </c>
      <c r="AB192" s="145">
        <f>I192</f>
        <v>19.411764705882355</v>
      </c>
      <c r="AC192" s="77">
        <f>AB192-AA192</f>
        <v>-7.4182352941176433</v>
      </c>
      <c r="AD192" s="184"/>
      <c r="AE192" s="86" t="s">
        <v>245</v>
      </c>
      <c r="AF192" s="77">
        <f>VLOOKUP(AE192,B:G,6,FALSE)</f>
        <v>14.2</v>
      </c>
      <c r="AG192" s="77">
        <f>AF192-G192</f>
        <v>2.5529411764705863</v>
      </c>
      <c r="AI192" s="10"/>
      <c r="AJ192" s="10"/>
      <c r="AK192" s="10"/>
    </row>
    <row r="193" spans="1:37">
      <c r="A193" s="33" t="s">
        <v>926</v>
      </c>
      <c r="B193" s="33" t="s">
        <v>1091</v>
      </c>
      <c r="C193" s="86" t="s">
        <v>1092</v>
      </c>
      <c r="D193" s="34">
        <v>12</v>
      </c>
      <c r="E193" s="34" t="s">
        <v>2</v>
      </c>
      <c r="F193" s="34"/>
      <c r="G193" s="57">
        <v>6.75</v>
      </c>
      <c r="H193" s="57">
        <f t="shared" si="77"/>
        <v>81</v>
      </c>
      <c r="I193" s="42">
        <f t="shared" si="78"/>
        <v>11.25</v>
      </c>
      <c r="J193" s="27">
        <f t="shared" si="79"/>
        <v>135</v>
      </c>
      <c r="K193" s="41">
        <f t="shared" si="86"/>
        <v>0.4</v>
      </c>
      <c r="L193" s="47">
        <f t="shared" si="80"/>
        <v>10.384615384615385</v>
      </c>
      <c r="M193" s="28">
        <f t="shared" si="81"/>
        <v>124.61538461538461</v>
      </c>
      <c r="N193" s="48">
        <f t="shared" si="82"/>
        <v>0.35000000000000003</v>
      </c>
      <c r="O193" s="71">
        <f t="shared" si="83"/>
        <v>9.6428571428571441</v>
      </c>
      <c r="P193" s="71">
        <f t="shared" si="85"/>
        <v>115.71428571428572</v>
      </c>
      <c r="Q193" s="37">
        <f t="shared" si="84"/>
        <v>0.3000000000000001</v>
      </c>
      <c r="R193" s="165"/>
      <c r="S193" s="165"/>
      <c r="T193" s="77"/>
      <c r="U193" s="77"/>
      <c r="V193" s="77"/>
      <c r="W193" s="77"/>
      <c r="X193" s="82">
        <v>153155</v>
      </c>
      <c r="Z193" s="77" t="s">
        <v>1172</v>
      </c>
      <c r="AA193" s="77"/>
      <c r="AB193" s="34"/>
      <c r="AC193" s="34"/>
      <c r="AD193" s="184"/>
      <c r="AE193" s="86"/>
      <c r="AF193" s="77"/>
      <c r="AG193" s="77"/>
      <c r="AI193" s="10"/>
      <c r="AJ193" s="10"/>
      <c r="AK193" s="10"/>
    </row>
    <row r="194" spans="1:37">
      <c r="A194" s="33" t="s">
        <v>926</v>
      </c>
      <c r="B194" s="33" t="s">
        <v>999</v>
      </c>
      <c r="C194" s="33" t="s">
        <v>1000</v>
      </c>
      <c r="D194" s="34">
        <v>12</v>
      </c>
      <c r="E194" s="34" t="s">
        <v>2</v>
      </c>
      <c r="F194" s="34"/>
      <c r="G194" s="57">
        <v>11.25</v>
      </c>
      <c r="H194" s="57">
        <f t="shared" ref="H194:H226" si="87">D194*G194</f>
        <v>135</v>
      </c>
      <c r="I194" s="42">
        <f t="shared" si="78"/>
        <v>18.75</v>
      </c>
      <c r="J194" s="27">
        <f t="shared" si="79"/>
        <v>225</v>
      </c>
      <c r="K194" s="41">
        <f t="shared" si="86"/>
        <v>0.4</v>
      </c>
      <c r="L194" s="47">
        <f t="shared" si="80"/>
        <v>17.307692307692307</v>
      </c>
      <c r="M194" s="28">
        <f t="shared" si="81"/>
        <v>207.69230769230768</v>
      </c>
      <c r="N194" s="48">
        <f t="shared" si="82"/>
        <v>0.35</v>
      </c>
      <c r="O194" s="71">
        <f t="shared" si="83"/>
        <v>16.071428571428573</v>
      </c>
      <c r="P194" s="71">
        <f t="shared" si="85"/>
        <v>192.85714285714289</v>
      </c>
      <c r="Q194" s="37">
        <f t="shared" si="84"/>
        <v>0.30000000000000004</v>
      </c>
      <c r="R194" s="165"/>
      <c r="S194" s="165"/>
      <c r="T194" s="77"/>
      <c r="U194" s="77"/>
      <c r="V194" s="77"/>
      <c r="W194" s="77"/>
      <c r="X194" s="82">
        <v>153155</v>
      </c>
      <c r="Z194" s="77"/>
      <c r="AA194" s="77"/>
      <c r="AB194" s="34"/>
      <c r="AC194" s="34"/>
      <c r="AD194" s="184"/>
      <c r="AE194" s="33"/>
      <c r="AF194" s="77"/>
      <c r="AG194" s="77"/>
      <c r="AI194" s="10"/>
      <c r="AJ194" s="10"/>
      <c r="AK194" s="10"/>
    </row>
    <row r="195" spans="1:37">
      <c r="A195" s="33" t="s">
        <v>926</v>
      </c>
      <c r="B195" s="33" t="s">
        <v>1001</v>
      </c>
      <c r="C195" s="86" t="s">
        <v>1002</v>
      </c>
      <c r="D195" s="34">
        <v>18</v>
      </c>
      <c r="E195" s="34" t="s">
        <v>2</v>
      </c>
      <c r="F195" s="34"/>
      <c r="G195" s="57">
        <v>10.352941176470589</v>
      </c>
      <c r="H195" s="57">
        <f t="shared" si="87"/>
        <v>186.35294117647061</v>
      </c>
      <c r="I195" s="42">
        <f t="shared" si="78"/>
        <v>17.254901960784316</v>
      </c>
      <c r="J195" s="27">
        <f t="shared" si="79"/>
        <v>310.58823529411768</v>
      </c>
      <c r="K195" s="41">
        <f t="shared" si="86"/>
        <v>0.40000000000000008</v>
      </c>
      <c r="L195" s="47">
        <f t="shared" si="80"/>
        <v>15.927601809954751</v>
      </c>
      <c r="M195" s="28">
        <f t="shared" si="81"/>
        <v>286.69683257918552</v>
      </c>
      <c r="N195" s="48">
        <f t="shared" si="82"/>
        <v>0.35</v>
      </c>
      <c r="O195" s="71">
        <f t="shared" si="83"/>
        <v>14.789915966386557</v>
      </c>
      <c r="P195" s="71">
        <f t="shared" si="85"/>
        <v>266.218487394958</v>
      </c>
      <c r="Q195" s="37">
        <f t="shared" si="84"/>
        <v>0.3000000000000001</v>
      </c>
      <c r="R195" s="165"/>
      <c r="S195" s="165"/>
      <c r="T195" s="77"/>
      <c r="U195" s="77"/>
      <c r="V195" s="77"/>
      <c r="W195" s="77"/>
      <c r="X195" s="82">
        <v>153155</v>
      </c>
      <c r="Z195" s="77" t="s">
        <v>1173</v>
      </c>
      <c r="AA195" s="77"/>
      <c r="AB195" s="34"/>
      <c r="AC195" s="34"/>
      <c r="AD195" s="184"/>
      <c r="AE195" s="86" t="s">
        <v>249</v>
      </c>
      <c r="AF195" s="77">
        <f>VLOOKUP(AE195,B:G,6,FALSE)</f>
        <v>12</v>
      </c>
      <c r="AG195" s="77">
        <f>AF195-G195</f>
        <v>1.6470588235294112</v>
      </c>
      <c r="AI195" s="10"/>
      <c r="AJ195" s="10"/>
      <c r="AK195" s="10"/>
    </row>
    <row r="196" spans="1:37">
      <c r="A196" s="33" t="s">
        <v>926</v>
      </c>
      <c r="B196" s="33" t="s">
        <v>1616</v>
      </c>
      <c r="C196" s="86" t="s">
        <v>1617</v>
      </c>
      <c r="D196" s="34">
        <v>20</v>
      </c>
      <c r="E196" s="34" t="s">
        <v>2</v>
      </c>
      <c r="F196" s="34"/>
      <c r="G196" s="57">
        <v>8.08</v>
      </c>
      <c r="H196" s="57">
        <f t="shared" si="87"/>
        <v>161.6</v>
      </c>
      <c r="I196" s="42">
        <f t="shared" si="78"/>
        <v>13.466666666666667</v>
      </c>
      <c r="J196" s="27">
        <f t="shared" si="79"/>
        <v>269.33333333333331</v>
      </c>
      <c r="K196" s="41">
        <f t="shared" si="86"/>
        <v>0.4</v>
      </c>
      <c r="L196" s="47">
        <f t="shared" si="80"/>
        <v>12.430769230769231</v>
      </c>
      <c r="M196" s="28">
        <f t="shared" si="81"/>
        <v>248.61538461538461</v>
      </c>
      <c r="N196" s="48">
        <f t="shared" si="82"/>
        <v>0.35000000000000003</v>
      </c>
      <c r="O196" s="71">
        <f t="shared" si="83"/>
        <v>11.542857142857144</v>
      </c>
      <c r="P196" s="71">
        <f t="shared" si="85"/>
        <v>230.85714285714289</v>
      </c>
      <c r="Q196" s="37">
        <f t="shared" si="84"/>
        <v>0.3000000000000001</v>
      </c>
      <c r="R196" s="165"/>
      <c r="S196" s="165"/>
      <c r="T196" s="77"/>
      <c r="U196" s="77"/>
      <c r="V196" s="77"/>
      <c r="W196" s="77"/>
      <c r="X196" s="82">
        <v>153155</v>
      </c>
      <c r="Z196" s="77"/>
      <c r="AA196" s="77"/>
      <c r="AB196" s="34"/>
      <c r="AC196" s="34"/>
      <c r="AD196" s="184"/>
      <c r="AE196" s="86"/>
      <c r="AF196" s="77"/>
      <c r="AG196" s="77"/>
      <c r="AI196" s="10"/>
      <c r="AJ196" s="10"/>
      <c r="AK196" s="10"/>
    </row>
    <row r="197" spans="1:37">
      <c r="A197" s="33" t="s">
        <v>926</v>
      </c>
      <c r="B197" s="33" t="s">
        <v>1097</v>
      </c>
      <c r="C197" s="33" t="s">
        <v>1098</v>
      </c>
      <c r="D197" s="34">
        <v>20</v>
      </c>
      <c r="E197" s="34" t="s">
        <v>2</v>
      </c>
      <c r="F197" s="34"/>
      <c r="G197" s="57">
        <v>5.78</v>
      </c>
      <c r="H197" s="57">
        <f t="shared" si="87"/>
        <v>115.60000000000001</v>
      </c>
      <c r="I197" s="42">
        <f t="shared" si="78"/>
        <v>9.6333333333333346</v>
      </c>
      <c r="J197" s="27">
        <f t="shared" si="79"/>
        <v>192.66666666666669</v>
      </c>
      <c r="K197" s="41">
        <f t="shared" si="86"/>
        <v>0.40000000000000008</v>
      </c>
      <c r="L197" s="47">
        <f t="shared" si="80"/>
        <v>8.8923076923076927</v>
      </c>
      <c r="M197" s="28">
        <f t="shared" si="81"/>
        <v>177.84615384615387</v>
      </c>
      <c r="N197" s="48">
        <f t="shared" si="82"/>
        <v>0.35</v>
      </c>
      <c r="O197" s="71">
        <f t="shared" si="83"/>
        <v>8.257142857142858</v>
      </c>
      <c r="P197" s="71">
        <f t="shared" si="85"/>
        <v>165.14285714285717</v>
      </c>
      <c r="Q197" s="37">
        <f t="shared" si="84"/>
        <v>0.30000000000000004</v>
      </c>
      <c r="R197" s="165"/>
      <c r="S197" s="165"/>
      <c r="T197" s="77"/>
      <c r="U197" s="77"/>
      <c r="V197" s="77"/>
      <c r="W197" s="77"/>
      <c r="X197" s="82">
        <v>153155</v>
      </c>
      <c r="Z197" s="77" t="s">
        <v>1123</v>
      </c>
      <c r="AA197" s="77">
        <v>9.4</v>
      </c>
      <c r="AB197" s="145">
        <f t="shared" ref="AB197:AB203" si="88">I197</f>
        <v>9.6333333333333346</v>
      </c>
      <c r="AC197" s="77">
        <f t="shared" ref="AC197:AC203" si="89">AB197-AA197</f>
        <v>0.23333333333333428</v>
      </c>
      <c r="AD197" s="184"/>
      <c r="AE197" s="33"/>
      <c r="AF197" s="77"/>
      <c r="AG197" s="77"/>
      <c r="AJ197" s="10"/>
      <c r="AK197" s="10"/>
    </row>
    <row r="198" spans="1:37">
      <c r="A198" s="33" t="s">
        <v>926</v>
      </c>
      <c r="B198" s="33" t="s">
        <v>1003</v>
      </c>
      <c r="C198" s="86" t="s">
        <v>1377</v>
      </c>
      <c r="D198" s="34">
        <v>20</v>
      </c>
      <c r="E198" s="34" t="s">
        <v>2</v>
      </c>
      <c r="F198" s="34">
        <v>36</v>
      </c>
      <c r="G198" s="57">
        <v>4.88</v>
      </c>
      <c r="H198" s="57">
        <f t="shared" si="87"/>
        <v>97.6</v>
      </c>
      <c r="I198" s="42">
        <f t="shared" si="78"/>
        <v>8.1333333333333329</v>
      </c>
      <c r="J198" s="27">
        <f t="shared" si="79"/>
        <v>162.66666666666666</v>
      </c>
      <c r="K198" s="41">
        <f t="shared" si="86"/>
        <v>0.39999999999999997</v>
      </c>
      <c r="L198" s="47">
        <f t="shared" si="80"/>
        <v>7.5076923076923077</v>
      </c>
      <c r="M198" s="28">
        <f t="shared" si="81"/>
        <v>150.15384615384616</v>
      </c>
      <c r="N198" s="48">
        <f t="shared" si="82"/>
        <v>0.35000000000000003</v>
      </c>
      <c r="O198" s="71">
        <f t="shared" si="83"/>
        <v>6.9714285714285715</v>
      </c>
      <c r="P198" s="71">
        <f t="shared" si="85"/>
        <v>139.42857142857144</v>
      </c>
      <c r="Q198" s="37">
        <f t="shared" si="84"/>
        <v>0.30000000000000004</v>
      </c>
      <c r="R198" s="165"/>
      <c r="S198" s="165"/>
      <c r="T198" s="77"/>
      <c r="U198" s="77"/>
      <c r="V198" s="77"/>
      <c r="W198" s="77"/>
      <c r="X198" s="82">
        <v>153155</v>
      </c>
      <c r="Z198" s="77" t="s">
        <v>1174</v>
      </c>
      <c r="AA198" s="77">
        <v>8.81</v>
      </c>
      <c r="AB198" s="145">
        <f t="shared" si="88"/>
        <v>8.1333333333333329</v>
      </c>
      <c r="AC198" s="77">
        <f t="shared" si="89"/>
        <v>-0.67666666666666764</v>
      </c>
      <c r="AD198" s="184"/>
      <c r="AE198" s="33"/>
      <c r="AF198" s="77"/>
      <c r="AG198" s="77"/>
      <c r="AJ198" s="10"/>
      <c r="AK198" s="10"/>
    </row>
    <row r="199" spans="1:37">
      <c r="A199" s="33" t="s">
        <v>926</v>
      </c>
      <c r="B199" s="33" t="s">
        <v>1006</v>
      </c>
      <c r="C199" s="33" t="s">
        <v>1007</v>
      </c>
      <c r="D199" s="34">
        <v>20</v>
      </c>
      <c r="E199" s="34" t="s">
        <v>2</v>
      </c>
      <c r="F199" s="34">
        <v>36</v>
      </c>
      <c r="G199" s="57">
        <v>8.8647058823529417</v>
      </c>
      <c r="H199" s="57">
        <f t="shared" si="87"/>
        <v>177.29411764705884</v>
      </c>
      <c r="I199" s="42">
        <f t="shared" si="78"/>
        <v>14.774509803921569</v>
      </c>
      <c r="J199" s="27">
        <f t="shared" si="79"/>
        <v>295.49019607843138</v>
      </c>
      <c r="K199" s="41">
        <f t="shared" si="86"/>
        <v>0.4</v>
      </c>
      <c r="L199" s="47">
        <f t="shared" si="80"/>
        <v>13.638009049773755</v>
      </c>
      <c r="M199" s="28">
        <f t="shared" si="81"/>
        <v>272.76018099547508</v>
      </c>
      <c r="N199" s="48">
        <f t="shared" si="82"/>
        <v>0.34999999999999992</v>
      </c>
      <c r="O199" s="71">
        <f t="shared" si="83"/>
        <v>12.663865546218489</v>
      </c>
      <c r="P199" s="71">
        <f t="shared" si="85"/>
        <v>253.27731092436977</v>
      </c>
      <c r="Q199" s="37">
        <f t="shared" si="84"/>
        <v>0.30000000000000004</v>
      </c>
      <c r="R199" s="165"/>
      <c r="S199" s="165"/>
      <c r="T199" s="77"/>
      <c r="U199" s="77"/>
      <c r="V199" s="77"/>
      <c r="W199" s="77"/>
      <c r="X199" s="82">
        <v>153155</v>
      </c>
      <c r="Z199" s="77" t="s">
        <v>1117</v>
      </c>
      <c r="AA199" s="77">
        <v>18.350000000000001</v>
      </c>
      <c r="AB199" s="145">
        <f t="shared" si="88"/>
        <v>14.774509803921569</v>
      </c>
      <c r="AC199" s="77">
        <f t="shared" si="89"/>
        <v>-3.575490196078432</v>
      </c>
      <c r="AD199" s="184"/>
      <c r="AE199" s="33"/>
      <c r="AF199" s="77"/>
      <c r="AG199" s="77"/>
      <c r="AI199" s="187" t="s">
        <v>318</v>
      </c>
      <c r="AJ199" s="187" t="s">
        <v>319</v>
      </c>
      <c r="AK199" s="10"/>
    </row>
    <row r="200" spans="1:37">
      <c r="A200" s="33" t="s">
        <v>926</v>
      </c>
      <c r="B200" s="33" t="s">
        <v>1005</v>
      </c>
      <c r="C200" s="86" t="s">
        <v>1004</v>
      </c>
      <c r="D200" s="34">
        <v>10</v>
      </c>
      <c r="E200" s="34" t="s">
        <v>2</v>
      </c>
      <c r="F200" s="34"/>
      <c r="G200" s="57">
        <v>12.75</v>
      </c>
      <c r="H200" s="57">
        <f t="shared" si="87"/>
        <v>127.5</v>
      </c>
      <c r="I200" s="42">
        <f t="shared" ref="I200:I229" si="90">G200/(1-0.4)</f>
        <v>21.25</v>
      </c>
      <c r="J200" s="27">
        <f t="shared" ref="J200:J229" si="91">D200*I200</f>
        <v>212.5</v>
      </c>
      <c r="K200" s="41">
        <f t="shared" si="86"/>
        <v>0.4</v>
      </c>
      <c r="L200" s="47">
        <f t="shared" ref="L200:L229" si="92">G200/(1-0.35)</f>
        <v>19.615384615384613</v>
      </c>
      <c r="M200" s="28">
        <f t="shared" ref="M200:M229" si="93">D200*L200</f>
        <v>196.15384615384613</v>
      </c>
      <c r="N200" s="48">
        <f t="shared" ref="N200:N229" si="94">(L200-G200)/L200</f>
        <v>0.34999999999999992</v>
      </c>
      <c r="O200" s="71">
        <f t="shared" ref="O200:O229" si="95">G200/(1-0.3)</f>
        <v>18.214285714285715</v>
      </c>
      <c r="P200" s="71">
        <f t="shared" si="85"/>
        <v>182.14285714285717</v>
      </c>
      <c r="Q200" s="37">
        <f t="shared" ref="Q200:Q229" si="96">(O200-G200)/O200</f>
        <v>0.30000000000000004</v>
      </c>
      <c r="R200" s="165"/>
      <c r="S200" s="165"/>
      <c r="T200" s="77"/>
      <c r="U200" s="77"/>
      <c r="V200" s="77"/>
      <c r="W200" s="77"/>
      <c r="X200" s="82">
        <v>153155</v>
      </c>
      <c r="Z200" s="77" t="s">
        <v>1118</v>
      </c>
      <c r="AA200" s="77">
        <v>29.97</v>
      </c>
      <c r="AB200" s="145">
        <f t="shared" si="88"/>
        <v>21.25</v>
      </c>
      <c r="AC200" s="77">
        <f t="shared" si="89"/>
        <v>-8.7199999999999989</v>
      </c>
      <c r="AD200" s="184"/>
      <c r="AE200" s="86" t="s">
        <v>259</v>
      </c>
      <c r="AF200" s="77">
        <f>VLOOKUP(AE200,B:G,6,FALSE)</f>
        <v>15</v>
      </c>
      <c r="AG200" s="77">
        <f>AF200-G200</f>
        <v>2.25</v>
      </c>
      <c r="AI200" s="187" t="s">
        <v>909</v>
      </c>
      <c r="AJ200" s="187" t="s">
        <v>910</v>
      </c>
    </row>
    <row r="201" spans="1:37">
      <c r="A201" s="33" t="s">
        <v>926</v>
      </c>
      <c r="B201" s="33" t="s">
        <v>1008</v>
      </c>
      <c r="C201" s="86" t="s">
        <v>1160</v>
      </c>
      <c r="D201" s="34">
        <v>10</v>
      </c>
      <c r="E201" s="34" t="s">
        <v>2</v>
      </c>
      <c r="F201" s="34"/>
      <c r="G201" s="57">
        <v>10.176</v>
      </c>
      <c r="H201" s="57">
        <f t="shared" si="87"/>
        <v>101.76</v>
      </c>
      <c r="I201" s="42">
        <f t="shared" si="90"/>
        <v>16.96</v>
      </c>
      <c r="J201" s="27">
        <f t="shared" si="91"/>
        <v>169.60000000000002</v>
      </c>
      <c r="K201" s="41">
        <f t="shared" si="86"/>
        <v>0.4</v>
      </c>
      <c r="L201" s="47">
        <f t="shared" si="92"/>
        <v>15.655384615384616</v>
      </c>
      <c r="M201" s="28">
        <f t="shared" si="93"/>
        <v>156.55384615384617</v>
      </c>
      <c r="N201" s="48">
        <f t="shared" si="94"/>
        <v>0.35000000000000003</v>
      </c>
      <c r="O201" s="71">
        <f t="shared" si="95"/>
        <v>14.537142857142859</v>
      </c>
      <c r="P201" s="71">
        <f t="shared" si="85"/>
        <v>145.37142857142859</v>
      </c>
      <c r="Q201" s="37">
        <f t="shared" si="96"/>
        <v>0.3000000000000001</v>
      </c>
      <c r="R201" s="165"/>
      <c r="S201" s="165"/>
      <c r="T201" s="77"/>
      <c r="U201" s="77"/>
      <c r="V201" s="77"/>
      <c r="W201" s="77"/>
      <c r="X201" s="82">
        <v>153155</v>
      </c>
      <c r="Z201" s="77" t="s">
        <v>1124</v>
      </c>
      <c r="AA201" s="77">
        <v>27.4</v>
      </c>
      <c r="AB201" s="145">
        <f t="shared" si="88"/>
        <v>16.96</v>
      </c>
      <c r="AC201" s="77">
        <f t="shared" si="89"/>
        <v>-10.439999999999998</v>
      </c>
      <c r="AD201" s="184"/>
      <c r="AE201" s="86" t="s">
        <v>261</v>
      </c>
      <c r="AF201" s="77"/>
      <c r="AG201" s="77"/>
      <c r="AI201" s="187" t="s">
        <v>169</v>
      </c>
      <c r="AJ201" s="187" t="s">
        <v>170</v>
      </c>
    </row>
    <row r="202" spans="1:37">
      <c r="A202" s="33" t="s">
        <v>926</v>
      </c>
      <c r="B202" s="33" t="s">
        <v>1009</v>
      </c>
      <c r="C202" s="86" t="s">
        <v>1161</v>
      </c>
      <c r="D202" s="34">
        <v>10</v>
      </c>
      <c r="E202" s="34" t="s">
        <v>2</v>
      </c>
      <c r="F202" s="34"/>
      <c r="G202" s="57">
        <v>10.176</v>
      </c>
      <c r="H202" s="57">
        <f t="shared" si="87"/>
        <v>101.76</v>
      </c>
      <c r="I202" s="42">
        <f t="shared" si="90"/>
        <v>16.96</v>
      </c>
      <c r="J202" s="27">
        <f t="shared" si="91"/>
        <v>169.60000000000002</v>
      </c>
      <c r="K202" s="41">
        <f t="shared" si="86"/>
        <v>0.4</v>
      </c>
      <c r="L202" s="47">
        <f t="shared" si="92"/>
        <v>15.655384615384616</v>
      </c>
      <c r="M202" s="28">
        <f t="shared" si="93"/>
        <v>156.55384615384617</v>
      </c>
      <c r="N202" s="48">
        <f t="shared" si="94"/>
        <v>0.35000000000000003</v>
      </c>
      <c r="O202" s="71">
        <f t="shared" si="95"/>
        <v>14.537142857142859</v>
      </c>
      <c r="P202" s="71">
        <f t="shared" si="85"/>
        <v>145.37142857142859</v>
      </c>
      <c r="Q202" s="37">
        <f t="shared" si="96"/>
        <v>0.3000000000000001</v>
      </c>
      <c r="R202" s="165"/>
      <c r="S202" s="165"/>
      <c r="T202" s="77"/>
      <c r="U202" s="77"/>
      <c r="V202" s="77"/>
      <c r="W202" s="77"/>
      <c r="X202" s="82">
        <v>153155</v>
      </c>
      <c r="Z202" s="77" t="s">
        <v>1125</v>
      </c>
      <c r="AA202" s="77">
        <v>27.05</v>
      </c>
      <c r="AB202" s="145">
        <f t="shared" si="88"/>
        <v>16.96</v>
      </c>
      <c r="AC202" s="77">
        <f t="shared" si="89"/>
        <v>-10.09</v>
      </c>
      <c r="AD202" s="184"/>
      <c r="AE202" s="86" t="s">
        <v>263</v>
      </c>
      <c r="AF202" s="77">
        <f>VLOOKUP(AE202,B:G,6,FALSE)</f>
        <v>12.86</v>
      </c>
      <c r="AG202" s="77">
        <f>AF202-G202</f>
        <v>2.6839999999999993</v>
      </c>
      <c r="AI202" s="187" t="s">
        <v>205</v>
      </c>
      <c r="AJ202" s="187" t="s">
        <v>206</v>
      </c>
    </row>
    <row r="203" spans="1:37">
      <c r="A203" s="33" t="s">
        <v>926</v>
      </c>
      <c r="B203" s="33" t="s">
        <v>1012</v>
      </c>
      <c r="C203" s="33" t="s">
        <v>1014</v>
      </c>
      <c r="D203" s="34">
        <v>24</v>
      </c>
      <c r="E203" s="34" t="s">
        <v>2</v>
      </c>
      <c r="F203" s="34"/>
      <c r="G203" s="57">
        <v>2.64</v>
      </c>
      <c r="H203" s="57">
        <f t="shared" si="87"/>
        <v>63.36</v>
      </c>
      <c r="I203" s="42">
        <f t="shared" si="90"/>
        <v>4.4000000000000004</v>
      </c>
      <c r="J203" s="27">
        <f t="shared" si="91"/>
        <v>105.60000000000001</v>
      </c>
      <c r="K203" s="41">
        <f t="shared" si="86"/>
        <v>0.4</v>
      </c>
      <c r="L203" s="47">
        <f t="shared" si="92"/>
        <v>4.0615384615384613</v>
      </c>
      <c r="M203" s="28">
        <f t="shared" si="93"/>
        <v>97.476923076923072</v>
      </c>
      <c r="N203" s="48">
        <f t="shared" si="94"/>
        <v>0.34999999999999992</v>
      </c>
      <c r="O203" s="71">
        <f t="shared" si="95"/>
        <v>3.7714285714285718</v>
      </c>
      <c r="P203" s="71">
        <f t="shared" si="85"/>
        <v>90.51428571428572</v>
      </c>
      <c r="Q203" s="37">
        <f t="shared" si="96"/>
        <v>0.30000000000000004</v>
      </c>
      <c r="R203" s="165"/>
      <c r="S203" s="165"/>
      <c r="T203" s="77"/>
      <c r="U203" s="77"/>
      <c r="V203" s="77"/>
      <c r="W203" s="77"/>
      <c r="X203" s="82">
        <v>153155</v>
      </c>
      <c r="Z203" s="77" t="s">
        <v>1140</v>
      </c>
      <c r="AA203" s="77">
        <v>6.58</v>
      </c>
      <c r="AB203" s="145">
        <f t="shared" si="88"/>
        <v>4.4000000000000004</v>
      </c>
      <c r="AC203" s="77">
        <f t="shared" si="89"/>
        <v>-2.1799999999999997</v>
      </c>
      <c r="AD203" s="184"/>
      <c r="AE203" s="33"/>
      <c r="AF203" s="77"/>
      <c r="AG203" s="77"/>
      <c r="AI203" s="10"/>
      <c r="AJ203" s="187"/>
    </row>
    <row r="204" spans="1:37">
      <c r="A204" s="33" t="s">
        <v>926</v>
      </c>
      <c r="B204" s="33" t="s">
        <v>1013</v>
      </c>
      <c r="C204" s="86" t="s">
        <v>1015</v>
      </c>
      <c r="D204" s="34">
        <v>10</v>
      </c>
      <c r="E204" s="34" t="s">
        <v>2</v>
      </c>
      <c r="F204" s="34"/>
      <c r="G204" s="57">
        <v>9.06</v>
      </c>
      <c r="H204" s="57">
        <f t="shared" si="87"/>
        <v>90.600000000000009</v>
      </c>
      <c r="I204" s="42">
        <f t="shared" si="90"/>
        <v>15.100000000000001</v>
      </c>
      <c r="J204" s="27">
        <f t="shared" si="91"/>
        <v>151</v>
      </c>
      <c r="K204" s="41">
        <f t="shared" si="86"/>
        <v>0.4</v>
      </c>
      <c r="L204" s="47">
        <f t="shared" si="92"/>
        <v>13.938461538461539</v>
      </c>
      <c r="M204" s="28">
        <f t="shared" si="93"/>
        <v>139.38461538461539</v>
      </c>
      <c r="N204" s="48">
        <f t="shared" si="94"/>
        <v>0.35</v>
      </c>
      <c r="O204" s="71">
        <f t="shared" si="95"/>
        <v>12.942857142857145</v>
      </c>
      <c r="P204" s="71">
        <f t="shared" si="85"/>
        <v>129.42857142857144</v>
      </c>
      <c r="Q204" s="37">
        <f t="shared" si="96"/>
        <v>0.30000000000000004</v>
      </c>
      <c r="R204" s="165"/>
      <c r="S204" s="165"/>
      <c r="T204" s="78"/>
      <c r="U204" s="78"/>
      <c r="V204" s="78"/>
      <c r="W204" s="78"/>
      <c r="X204" s="82">
        <v>153155</v>
      </c>
      <c r="Z204" s="77" t="s">
        <v>1175</v>
      </c>
      <c r="AA204" s="77"/>
      <c r="AB204" s="145"/>
      <c r="AC204" s="77"/>
      <c r="AD204" s="184"/>
      <c r="AE204" s="86" t="s">
        <v>267</v>
      </c>
      <c r="AF204" s="77">
        <f>VLOOKUP(AE204,B:G,6,FALSE)</f>
        <v>11.86</v>
      </c>
      <c r="AG204" s="77">
        <f>AF204-G204</f>
        <v>2.7999999999999989</v>
      </c>
      <c r="AI204" s="10"/>
      <c r="AJ204" s="10"/>
    </row>
    <row r="205" spans="1:37">
      <c r="A205" s="33" t="s">
        <v>926</v>
      </c>
      <c r="B205" s="33" t="s">
        <v>1019</v>
      </c>
      <c r="C205" s="33" t="s">
        <v>1016</v>
      </c>
      <c r="D205" s="175">
        <v>40</v>
      </c>
      <c r="E205" s="34" t="s">
        <v>2</v>
      </c>
      <c r="F205" s="34"/>
      <c r="G205" s="57">
        <v>5.6</v>
      </c>
      <c r="H205" s="57">
        <f t="shared" si="87"/>
        <v>224</v>
      </c>
      <c r="I205" s="42">
        <f t="shared" si="90"/>
        <v>9.3333333333333339</v>
      </c>
      <c r="J205" s="27">
        <f t="shared" si="91"/>
        <v>373.33333333333337</v>
      </c>
      <c r="K205" s="41">
        <f t="shared" si="86"/>
        <v>0.40000000000000008</v>
      </c>
      <c r="L205" s="47">
        <f t="shared" si="92"/>
        <v>8.615384615384615</v>
      </c>
      <c r="M205" s="28">
        <f t="shared" si="93"/>
        <v>344.61538461538458</v>
      </c>
      <c r="N205" s="48">
        <f t="shared" si="94"/>
        <v>0.35000000000000003</v>
      </c>
      <c r="O205" s="71">
        <f t="shared" si="95"/>
        <v>8</v>
      </c>
      <c r="P205" s="71">
        <f t="shared" si="85"/>
        <v>320</v>
      </c>
      <c r="Q205" s="37">
        <f t="shared" si="96"/>
        <v>0.30000000000000004</v>
      </c>
      <c r="R205" s="165"/>
      <c r="S205" s="165"/>
      <c r="T205" s="78"/>
      <c r="U205" s="78"/>
      <c r="V205" s="78"/>
      <c r="W205" s="78"/>
      <c r="X205" s="82">
        <v>153155</v>
      </c>
      <c r="Z205" s="77" t="s">
        <v>1139</v>
      </c>
      <c r="AA205" s="77">
        <v>11.05</v>
      </c>
      <c r="AB205" s="145">
        <f>I205</f>
        <v>9.3333333333333339</v>
      </c>
      <c r="AC205" s="77">
        <f>AB205-AA205</f>
        <v>-1.7166666666666668</v>
      </c>
      <c r="AD205" s="184"/>
      <c r="AE205" s="33"/>
      <c r="AF205" s="77"/>
      <c r="AG205" s="77"/>
      <c r="AI205" s="10"/>
      <c r="AJ205" s="10"/>
    </row>
    <row r="206" spans="1:37">
      <c r="A206" s="33" t="s">
        <v>926</v>
      </c>
      <c r="B206" s="33" t="s">
        <v>1020</v>
      </c>
      <c r="C206" s="86" t="s">
        <v>1017</v>
      </c>
      <c r="D206" s="34">
        <v>10</v>
      </c>
      <c r="E206" s="34" t="s">
        <v>2</v>
      </c>
      <c r="F206" s="34"/>
      <c r="G206" s="57">
        <v>10.4</v>
      </c>
      <c r="H206" s="57">
        <f t="shared" si="87"/>
        <v>104</v>
      </c>
      <c r="I206" s="42">
        <f t="shared" si="90"/>
        <v>17.333333333333336</v>
      </c>
      <c r="J206" s="27">
        <f t="shared" si="91"/>
        <v>173.33333333333337</v>
      </c>
      <c r="K206" s="41">
        <f t="shared" si="86"/>
        <v>0.40000000000000008</v>
      </c>
      <c r="L206" s="47">
        <f t="shared" si="92"/>
        <v>16</v>
      </c>
      <c r="M206" s="28">
        <f t="shared" si="93"/>
        <v>160</v>
      </c>
      <c r="N206" s="48">
        <f t="shared" si="94"/>
        <v>0.35</v>
      </c>
      <c r="O206" s="71">
        <f t="shared" si="95"/>
        <v>14.857142857142859</v>
      </c>
      <c r="P206" s="71">
        <f t="shared" si="85"/>
        <v>148.57142857142858</v>
      </c>
      <c r="Q206" s="37">
        <f t="shared" si="96"/>
        <v>0.3000000000000001</v>
      </c>
      <c r="R206" s="165"/>
      <c r="S206" s="165"/>
      <c r="T206" s="78"/>
      <c r="U206" s="78"/>
      <c r="V206" s="78"/>
      <c r="W206" s="78"/>
      <c r="X206" s="82">
        <v>153155</v>
      </c>
      <c r="Z206" s="77" t="s">
        <v>1176</v>
      </c>
      <c r="AA206" s="77"/>
      <c r="AB206" s="34"/>
      <c r="AC206" s="34"/>
      <c r="AD206" s="184"/>
      <c r="AE206" s="86" t="s">
        <v>271</v>
      </c>
      <c r="AF206" s="77">
        <f>VLOOKUP(AE206,B:G,6,FALSE)</f>
        <v>11.96</v>
      </c>
      <c r="AG206" s="77">
        <f>AF206-G206</f>
        <v>1.5600000000000005</v>
      </c>
      <c r="AI206" s="10"/>
      <c r="AJ206" s="187"/>
    </row>
    <row r="207" spans="1:37">
      <c r="A207" s="33" t="s">
        <v>926</v>
      </c>
      <c r="B207" s="33" t="s">
        <v>1021</v>
      </c>
      <c r="C207" s="86" t="s">
        <v>1018</v>
      </c>
      <c r="D207" s="34">
        <v>10</v>
      </c>
      <c r="E207" s="34" t="s">
        <v>2</v>
      </c>
      <c r="F207" s="34">
        <v>36</v>
      </c>
      <c r="G207" s="57">
        <v>10.88</v>
      </c>
      <c r="H207" s="57">
        <f t="shared" si="87"/>
        <v>108.80000000000001</v>
      </c>
      <c r="I207" s="42">
        <f t="shared" si="90"/>
        <v>18.133333333333336</v>
      </c>
      <c r="J207" s="27">
        <f t="shared" si="91"/>
        <v>181.33333333333337</v>
      </c>
      <c r="K207" s="41">
        <f t="shared" si="86"/>
        <v>0.40000000000000008</v>
      </c>
      <c r="L207" s="47">
        <f t="shared" si="92"/>
        <v>16.738461538461539</v>
      </c>
      <c r="M207" s="28">
        <f t="shared" si="93"/>
        <v>167.38461538461539</v>
      </c>
      <c r="N207" s="48">
        <f t="shared" si="94"/>
        <v>0.35</v>
      </c>
      <c r="O207" s="71">
        <f t="shared" si="95"/>
        <v>15.542857142857144</v>
      </c>
      <c r="P207" s="71">
        <f t="shared" si="85"/>
        <v>155.42857142857144</v>
      </c>
      <c r="Q207" s="37">
        <f t="shared" si="96"/>
        <v>0.30000000000000004</v>
      </c>
      <c r="R207" s="165"/>
      <c r="S207" s="165"/>
      <c r="T207" s="78"/>
      <c r="U207" s="78"/>
      <c r="V207" s="78"/>
      <c r="W207" s="78"/>
      <c r="X207" s="82">
        <v>153155</v>
      </c>
      <c r="Z207" s="77" t="s">
        <v>1177</v>
      </c>
      <c r="AA207" s="77"/>
      <c r="AB207" s="34"/>
      <c r="AC207" s="34"/>
      <c r="AD207" s="184"/>
      <c r="AE207" s="86" t="s">
        <v>275</v>
      </c>
      <c r="AF207" s="77">
        <f>VLOOKUP(AE207,B:G,6,FALSE)</f>
        <v>12.8</v>
      </c>
      <c r="AG207" s="77">
        <f>AF207-G207</f>
        <v>1.92</v>
      </c>
      <c r="AI207" s="10"/>
      <c r="AJ207" s="10"/>
    </row>
    <row r="208" spans="1:37">
      <c r="A208" s="33" t="s">
        <v>926</v>
      </c>
      <c r="B208" s="33" t="s">
        <v>1027</v>
      </c>
      <c r="C208" s="86" t="s">
        <v>1025</v>
      </c>
      <c r="D208" s="34">
        <v>60</v>
      </c>
      <c r="E208" s="34" t="s">
        <v>2</v>
      </c>
      <c r="F208" s="34"/>
      <c r="G208" s="57">
        <v>2.08</v>
      </c>
      <c r="H208" s="57">
        <f t="shared" si="87"/>
        <v>124.80000000000001</v>
      </c>
      <c r="I208" s="42">
        <f t="shared" si="90"/>
        <v>3.4666666666666668</v>
      </c>
      <c r="J208" s="27">
        <f t="shared" si="91"/>
        <v>208</v>
      </c>
      <c r="K208" s="41">
        <f t="shared" si="86"/>
        <v>0.4</v>
      </c>
      <c r="L208" s="47">
        <f t="shared" si="92"/>
        <v>3.2</v>
      </c>
      <c r="M208" s="28">
        <f t="shared" si="93"/>
        <v>192</v>
      </c>
      <c r="N208" s="48">
        <f t="shared" si="94"/>
        <v>0.35000000000000003</v>
      </c>
      <c r="O208" s="71">
        <f t="shared" si="95"/>
        <v>2.9714285714285715</v>
      </c>
      <c r="P208" s="71">
        <f t="shared" si="85"/>
        <v>178.28571428571428</v>
      </c>
      <c r="Q208" s="37">
        <f t="shared" si="96"/>
        <v>0.3</v>
      </c>
      <c r="R208" s="165"/>
      <c r="S208" s="165"/>
      <c r="T208" s="78"/>
      <c r="U208" s="78"/>
      <c r="V208" s="78"/>
      <c r="W208" s="78"/>
      <c r="X208" s="82">
        <v>153155</v>
      </c>
      <c r="Z208" s="77" t="s">
        <v>1178</v>
      </c>
      <c r="AA208" s="77"/>
      <c r="AB208" s="34"/>
      <c r="AC208" s="34"/>
      <c r="AD208" s="184"/>
      <c r="AE208" s="86" t="s">
        <v>277</v>
      </c>
      <c r="AF208" s="77">
        <f>VLOOKUP(AE208,B:G,6,FALSE)</f>
        <v>2.4500000000000002</v>
      </c>
      <c r="AG208" s="77">
        <f>AF208-G208</f>
        <v>0.37000000000000011</v>
      </c>
    </row>
    <row r="209" spans="1:36">
      <c r="A209" s="33" t="s">
        <v>926</v>
      </c>
      <c r="B209" s="33" t="s">
        <v>1028</v>
      </c>
      <c r="C209" s="33" t="s">
        <v>1084</v>
      </c>
      <c r="D209" s="34">
        <v>20</v>
      </c>
      <c r="E209" s="34" t="s">
        <v>2</v>
      </c>
      <c r="F209" s="34"/>
      <c r="G209" s="57">
        <v>5.42</v>
      </c>
      <c r="H209" s="57">
        <f t="shared" si="87"/>
        <v>108.4</v>
      </c>
      <c r="I209" s="42">
        <f t="shared" si="90"/>
        <v>9.0333333333333332</v>
      </c>
      <c r="J209" s="27">
        <f t="shared" si="91"/>
        <v>180.66666666666666</v>
      </c>
      <c r="K209" s="41">
        <f t="shared" si="86"/>
        <v>0.4</v>
      </c>
      <c r="L209" s="47">
        <f t="shared" si="92"/>
        <v>8.3384615384615373</v>
      </c>
      <c r="M209" s="28">
        <f t="shared" si="93"/>
        <v>166.76923076923075</v>
      </c>
      <c r="N209" s="48">
        <f t="shared" si="94"/>
        <v>0.34999999999999992</v>
      </c>
      <c r="O209" s="71">
        <f t="shared" si="95"/>
        <v>7.7428571428571429</v>
      </c>
      <c r="P209" s="71">
        <f t="shared" si="85"/>
        <v>154.85714285714286</v>
      </c>
      <c r="Q209" s="37">
        <f t="shared" si="96"/>
        <v>0.3</v>
      </c>
      <c r="R209" s="165"/>
      <c r="S209" s="165"/>
      <c r="T209" s="78"/>
      <c r="U209" s="78"/>
      <c r="V209" s="78"/>
      <c r="W209" s="78"/>
      <c r="X209" s="82">
        <v>153155</v>
      </c>
      <c r="Y209" s="10"/>
      <c r="Z209" s="77" t="s">
        <v>1179</v>
      </c>
      <c r="AA209" s="77">
        <v>10.8</v>
      </c>
      <c r="AB209" s="145">
        <f>I209</f>
        <v>9.0333333333333332</v>
      </c>
      <c r="AC209" s="77">
        <f>AB209-AA209</f>
        <v>-1.7666666666666675</v>
      </c>
      <c r="AD209" s="184"/>
      <c r="AE209" s="33"/>
      <c r="AF209" s="77"/>
      <c r="AG209" s="77"/>
    </row>
    <row r="210" spans="1:36">
      <c r="A210" s="33" t="s">
        <v>926</v>
      </c>
      <c r="B210" s="33" t="s">
        <v>1082</v>
      </c>
      <c r="C210" s="33" t="s">
        <v>1083</v>
      </c>
      <c r="D210" s="34">
        <v>40</v>
      </c>
      <c r="E210" s="34" t="s">
        <v>2</v>
      </c>
      <c r="F210" s="34"/>
      <c r="G210" s="57">
        <v>3.67</v>
      </c>
      <c r="H210" s="57">
        <f t="shared" si="87"/>
        <v>146.80000000000001</v>
      </c>
      <c r="I210" s="42">
        <f t="shared" si="90"/>
        <v>6.1166666666666671</v>
      </c>
      <c r="J210" s="27">
        <f t="shared" si="91"/>
        <v>244.66666666666669</v>
      </c>
      <c r="K210" s="41">
        <f t="shared" si="86"/>
        <v>0.40000000000000008</v>
      </c>
      <c r="L210" s="47">
        <f t="shared" si="92"/>
        <v>5.6461538461538456</v>
      </c>
      <c r="M210" s="28">
        <f t="shared" si="93"/>
        <v>225.84615384615381</v>
      </c>
      <c r="N210" s="48">
        <f t="shared" si="94"/>
        <v>0.35</v>
      </c>
      <c r="O210" s="71">
        <f t="shared" si="95"/>
        <v>5.2428571428571429</v>
      </c>
      <c r="P210" s="71">
        <f t="shared" si="85"/>
        <v>209.71428571428572</v>
      </c>
      <c r="Q210" s="37">
        <f t="shared" si="96"/>
        <v>0.30000000000000004</v>
      </c>
      <c r="R210" s="165"/>
      <c r="S210" s="165"/>
      <c r="T210" s="78"/>
      <c r="U210" s="78"/>
      <c r="V210" s="78"/>
      <c r="W210" s="78"/>
      <c r="X210" s="82">
        <v>153155</v>
      </c>
      <c r="Y210" s="10"/>
      <c r="Z210" s="77"/>
      <c r="AA210" s="77"/>
      <c r="AB210" s="145"/>
      <c r="AC210" s="77"/>
      <c r="AD210" s="184"/>
      <c r="AE210" s="33"/>
      <c r="AF210" s="77"/>
      <c r="AG210" s="77"/>
    </row>
    <row r="211" spans="1:36">
      <c r="A211" s="33" t="s">
        <v>926</v>
      </c>
      <c r="B211" s="33" t="s">
        <v>1029</v>
      </c>
      <c r="C211" s="33" t="s">
        <v>1032</v>
      </c>
      <c r="D211" s="34">
        <v>30</v>
      </c>
      <c r="E211" s="34" t="s">
        <v>2</v>
      </c>
      <c r="F211" s="34"/>
      <c r="G211" s="57">
        <v>4.55</v>
      </c>
      <c r="H211" s="57">
        <f t="shared" si="87"/>
        <v>136.5</v>
      </c>
      <c r="I211" s="42">
        <f t="shared" si="90"/>
        <v>7.583333333333333</v>
      </c>
      <c r="J211" s="27">
        <f t="shared" si="91"/>
        <v>227.5</v>
      </c>
      <c r="K211" s="41">
        <f t="shared" si="86"/>
        <v>0.4</v>
      </c>
      <c r="L211" s="47">
        <f t="shared" si="92"/>
        <v>6.9999999999999991</v>
      </c>
      <c r="M211" s="28">
        <f t="shared" si="93"/>
        <v>209.99999999999997</v>
      </c>
      <c r="N211" s="48">
        <f t="shared" si="94"/>
        <v>0.34999999999999992</v>
      </c>
      <c r="O211" s="71">
        <f t="shared" si="95"/>
        <v>6.5</v>
      </c>
      <c r="P211" s="71">
        <f t="shared" ref="P211:P229" si="97">D211*O211</f>
        <v>195</v>
      </c>
      <c r="Q211" s="37">
        <f t="shared" si="96"/>
        <v>0.30000000000000004</v>
      </c>
      <c r="R211" s="165"/>
      <c r="S211" s="165"/>
      <c r="T211" s="78"/>
      <c r="U211" s="78"/>
      <c r="V211" s="78"/>
      <c r="W211" s="78"/>
      <c r="X211" s="82">
        <v>153155</v>
      </c>
      <c r="Y211" s="10"/>
      <c r="Z211" s="77" t="s">
        <v>1134</v>
      </c>
      <c r="AA211" s="77">
        <v>12.19</v>
      </c>
      <c r="AB211" s="145">
        <f>I211</f>
        <v>7.583333333333333</v>
      </c>
      <c r="AC211" s="77">
        <f>AB211-AA211</f>
        <v>-4.6066666666666665</v>
      </c>
      <c r="AD211" s="184"/>
      <c r="AE211" s="33" t="s">
        <v>283</v>
      </c>
      <c r="AF211" s="77">
        <f t="shared" ref="AF211:AF217" si="98">VLOOKUP(AE211,B:G,6,FALSE)</f>
        <v>5.35</v>
      </c>
      <c r="AG211" s="77">
        <f t="shared" ref="AG211:AG217" si="99">AF211-G211</f>
        <v>0.79999999999999982</v>
      </c>
    </row>
    <row r="212" spans="1:36">
      <c r="A212" s="33" t="s">
        <v>926</v>
      </c>
      <c r="B212" s="33" t="s">
        <v>1030</v>
      </c>
      <c r="C212" s="86" t="s">
        <v>1033</v>
      </c>
      <c r="D212" s="34">
        <v>30</v>
      </c>
      <c r="E212" s="34" t="s">
        <v>2</v>
      </c>
      <c r="F212" s="34"/>
      <c r="G212" s="57">
        <v>4.5474999999999994</v>
      </c>
      <c r="H212" s="57">
        <f t="shared" si="87"/>
        <v>136.42499999999998</v>
      </c>
      <c r="I212" s="42">
        <f t="shared" si="90"/>
        <v>7.5791666666666657</v>
      </c>
      <c r="J212" s="27">
        <f t="shared" si="91"/>
        <v>227.37499999999997</v>
      </c>
      <c r="K212" s="41">
        <f t="shared" si="86"/>
        <v>0.4</v>
      </c>
      <c r="L212" s="47">
        <f t="shared" si="92"/>
        <v>6.9961538461538453</v>
      </c>
      <c r="M212" s="28">
        <f t="shared" si="93"/>
        <v>209.88461538461536</v>
      </c>
      <c r="N212" s="48">
        <f t="shared" si="94"/>
        <v>0.35</v>
      </c>
      <c r="O212" s="71">
        <f t="shared" si="95"/>
        <v>6.496428571428571</v>
      </c>
      <c r="P212" s="71">
        <f t="shared" si="97"/>
        <v>194.89285714285714</v>
      </c>
      <c r="Q212" s="37">
        <f t="shared" si="96"/>
        <v>0.30000000000000004</v>
      </c>
      <c r="R212" s="165"/>
      <c r="S212" s="165"/>
      <c r="T212" s="78"/>
      <c r="U212" s="78"/>
      <c r="V212" s="78"/>
      <c r="W212" s="78"/>
      <c r="X212" s="82">
        <v>153155</v>
      </c>
      <c r="Y212" s="10"/>
      <c r="Z212" s="77"/>
      <c r="AA212" s="77"/>
      <c r="AB212" s="145"/>
      <c r="AC212" s="77"/>
      <c r="AD212" s="184"/>
      <c r="AE212" s="86" t="s">
        <v>285</v>
      </c>
      <c r="AF212" s="77">
        <f t="shared" si="98"/>
        <v>5.35</v>
      </c>
      <c r="AG212" s="77">
        <f t="shared" si="99"/>
        <v>0.80250000000000021</v>
      </c>
    </row>
    <row r="213" spans="1:36">
      <c r="A213" s="33" t="s">
        <v>926</v>
      </c>
      <c r="B213" s="33" t="s">
        <v>1031</v>
      </c>
      <c r="C213" s="86" t="s">
        <v>1034</v>
      </c>
      <c r="D213" s="34">
        <v>45</v>
      </c>
      <c r="E213" s="34" t="s">
        <v>2</v>
      </c>
      <c r="F213" s="34"/>
      <c r="G213" s="57">
        <v>4.2839999999999998</v>
      </c>
      <c r="H213" s="57">
        <f t="shared" si="87"/>
        <v>192.78</v>
      </c>
      <c r="I213" s="42">
        <f t="shared" si="90"/>
        <v>7.14</v>
      </c>
      <c r="J213" s="27">
        <f t="shared" si="91"/>
        <v>321.3</v>
      </c>
      <c r="K213" s="41">
        <f t="shared" si="86"/>
        <v>0.4</v>
      </c>
      <c r="L213" s="47">
        <f t="shared" si="92"/>
        <v>6.5907692307692303</v>
      </c>
      <c r="M213" s="28">
        <f t="shared" si="93"/>
        <v>296.58461538461535</v>
      </c>
      <c r="N213" s="48">
        <f t="shared" si="94"/>
        <v>0.35</v>
      </c>
      <c r="O213" s="71">
        <f t="shared" si="95"/>
        <v>6.12</v>
      </c>
      <c r="P213" s="71">
        <f t="shared" si="97"/>
        <v>275.39999999999998</v>
      </c>
      <c r="Q213" s="37">
        <f t="shared" si="96"/>
        <v>0.30000000000000004</v>
      </c>
      <c r="R213" s="165"/>
      <c r="S213" s="165"/>
      <c r="T213" s="78"/>
      <c r="U213" s="78"/>
      <c r="V213" s="78"/>
      <c r="W213" s="78"/>
      <c r="X213" s="82">
        <v>153155</v>
      </c>
      <c r="Y213" s="10"/>
      <c r="Z213" s="77"/>
      <c r="AA213" s="77"/>
      <c r="AB213" s="145"/>
      <c r="AC213" s="77"/>
      <c r="AD213" s="184"/>
      <c r="AE213" s="86" t="s">
        <v>287</v>
      </c>
      <c r="AF213" s="77">
        <f t="shared" si="98"/>
        <v>5.04</v>
      </c>
      <c r="AG213" s="77">
        <f t="shared" si="99"/>
        <v>0.75600000000000023</v>
      </c>
      <c r="AI213" s="187"/>
      <c r="AJ213" s="187"/>
    </row>
    <row r="214" spans="1:36">
      <c r="A214" s="33" t="s">
        <v>926</v>
      </c>
      <c r="B214" s="33" t="s">
        <v>1042</v>
      </c>
      <c r="C214" s="86" t="s">
        <v>1043</v>
      </c>
      <c r="D214" s="175">
        <v>100</v>
      </c>
      <c r="E214" s="34" t="s">
        <v>2</v>
      </c>
      <c r="F214" s="34"/>
      <c r="G214" s="57">
        <v>0.97599999999999998</v>
      </c>
      <c r="H214" s="57">
        <f t="shared" si="87"/>
        <v>97.6</v>
      </c>
      <c r="I214" s="42">
        <f t="shared" si="90"/>
        <v>1.6266666666666667</v>
      </c>
      <c r="J214" s="27">
        <f t="shared" si="91"/>
        <v>162.66666666666666</v>
      </c>
      <c r="K214" s="41">
        <f t="shared" si="86"/>
        <v>0.4</v>
      </c>
      <c r="L214" s="47">
        <f t="shared" si="92"/>
        <v>1.5015384615384615</v>
      </c>
      <c r="M214" s="28">
        <f t="shared" si="93"/>
        <v>150.15384615384616</v>
      </c>
      <c r="N214" s="48">
        <f t="shared" si="94"/>
        <v>0.35</v>
      </c>
      <c r="O214" s="71">
        <f t="shared" si="95"/>
        <v>1.3942857142857144</v>
      </c>
      <c r="P214" s="71">
        <f t="shared" si="97"/>
        <v>139.42857142857144</v>
      </c>
      <c r="Q214" s="37">
        <f t="shared" si="96"/>
        <v>0.30000000000000004</v>
      </c>
      <c r="R214" s="165"/>
      <c r="S214" s="165"/>
      <c r="T214" s="78"/>
      <c r="U214" s="78"/>
      <c r="V214" s="78"/>
      <c r="W214" s="78"/>
      <c r="X214" s="82">
        <v>153155</v>
      </c>
      <c r="Y214" s="10"/>
      <c r="Z214" s="77" t="s">
        <v>1110</v>
      </c>
      <c r="AA214" s="77">
        <v>1.1499999999999999</v>
      </c>
      <c r="AB214" s="145">
        <f>I214</f>
        <v>1.6266666666666667</v>
      </c>
      <c r="AC214" s="77">
        <f>AB214-AA214</f>
        <v>0.47666666666666679</v>
      </c>
      <c r="AD214" s="184"/>
      <c r="AE214" s="86" t="s">
        <v>291</v>
      </c>
      <c r="AF214" s="77">
        <f t="shared" si="98"/>
        <v>1.22</v>
      </c>
      <c r="AG214" s="77">
        <f t="shared" si="99"/>
        <v>0.24399999999999999</v>
      </c>
      <c r="AI214" s="10"/>
      <c r="AJ214" s="187"/>
    </row>
    <row r="215" spans="1:36">
      <c r="A215" s="33" t="s">
        <v>926</v>
      </c>
      <c r="B215" s="33" t="s">
        <v>1044</v>
      </c>
      <c r="C215" s="86" t="s">
        <v>1045</v>
      </c>
      <c r="D215" s="175">
        <v>100</v>
      </c>
      <c r="E215" s="34" t="s">
        <v>2</v>
      </c>
      <c r="F215" s="34"/>
      <c r="G215" s="57">
        <v>1.1919999999999999</v>
      </c>
      <c r="H215" s="57">
        <f t="shared" si="87"/>
        <v>119.19999999999999</v>
      </c>
      <c r="I215" s="42">
        <f t="shared" si="90"/>
        <v>1.9866666666666666</v>
      </c>
      <c r="J215" s="27">
        <f t="shared" si="91"/>
        <v>198.66666666666666</v>
      </c>
      <c r="K215" s="41">
        <f t="shared" si="86"/>
        <v>0.4</v>
      </c>
      <c r="L215" s="47">
        <f t="shared" si="92"/>
        <v>1.8338461538461537</v>
      </c>
      <c r="M215" s="28">
        <f t="shared" si="93"/>
        <v>183.38461538461536</v>
      </c>
      <c r="N215" s="48">
        <f t="shared" si="94"/>
        <v>0.35</v>
      </c>
      <c r="O215" s="71">
        <f t="shared" si="95"/>
        <v>1.7028571428571428</v>
      </c>
      <c r="P215" s="71">
        <f t="shared" si="97"/>
        <v>170.28571428571428</v>
      </c>
      <c r="Q215" s="37">
        <f t="shared" si="96"/>
        <v>0.30000000000000004</v>
      </c>
      <c r="R215" s="165"/>
      <c r="S215" s="165"/>
      <c r="T215" s="78"/>
      <c r="U215" s="78"/>
      <c r="V215" s="78"/>
      <c r="W215" s="78"/>
      <c r="X215" s="82">
        <v>153155</v>
      </c>
      <c r="Y215" s="10"/>
      <c r="Z215" s="77" t="s">
        <v>1111</v>
      </c>
      <c r="AA215" s="77">
        <v>2.75</v>
      </c>
      <c r="AB215" s="145">
        <f>I215</f>
        <v>1.9866666666666666</v>
      </c>
      <c r="AC215" s="77">
        <f>AB215-AA215</f>
        <v>-0.76333333333333342</v>
      </c>
      <c r="AD215" s="184"/>
      <c r="AE215" s="86" t="s">
        <v>293</v>
      </c>
      <c r="AF215" s="77">
        <f t="shared" si="98"/>
        <v>1.49</v>
      </c>
      <c r="AG215" s="77">
        <f t="shared" si="99"/>
        <v>0.29800000000000004</v>
      </c>
      <c r="AI215" s="10"/>
      <c r="AJ215" s="10"/>
    </row>
    <row r="216" spans="1:36">
      <c r="A216" s="33" t="s">
        <v>926</v>
      </c>
      <c r="B216" s="33" t="s">
        <v>1046</v>
      </c>
      <c r="C216" s="86" t="s">
        <v>1047</v>
      </c>
      <c r="D216" s="175">
        <v>90</v>
      </c>
      <c r="E216" s="34" t="s">
        <v>2</v>
      </c>
      <c r="F216" s="34">
        <v>48</v>
      </c>
      <c r="G216" s="57">
        <v>1.3680000000000001</v>
      </c>
      <c r="H216" s="57">
        <f t="shared" si="87"/>
        <v>123.12</v>
      </c>
      <c r="I216" s="42">
        <f t="shared" si="90"/>
        <v>2.2800000000000002</v>
      </c>
      <c r="J216" s="27">
        <f t="shared" si="91"/>
        <v>205.20000000000002</v>
      </c>
      <c r="K216" s="41">
        <f t="shared" si="86"/>
        <v>0.4</v>
      </c>
      <c r="L216" s="47">
        <f t="shared" si="92"/>
        <v>2.1046153846153848</v>
      </c>
      <c r="M216" s="28">
        <f t="shared" si="93"/>
        <v>189.41538461538462</v>
      </c>
      <c r="N216" s="48">
        <f t="shared" si="94"/>
        <v>0.35</v>
      </c>
      <c r="O216" s="71">
        <f t="shared" si="95"/>
        <v>1.9542857142857146</v>
      </c>
      <c r="P216" s="71">
        <f t="shared" si="97"/>
        <v>175.88571428571433</v>
      </c>
      <c r="Q216" s="37">
        <f t="shared" si="96"/>
        <v>0.30000000000000004</v>
      </c>
      <c r="R216" s="165"/>
      <c r="S216" s="165"/>
      <c r="T216" s="78"/>
      <c r="U216" s="78"/>
      <c r="V216" s="78"/>
      <c r="W216" s="78"/>
      <c r="X216" s="82">
        <v>153155</v>
      </c>
      <c r="Y216" s="10"/>
      <c r="Z216" s="77"/>
      <c r="AA216" s="77"/>
      <c r="AB216" s="145"/>
      <c r="AC216" s="77"/>
      <c r="AD216" s="184"/>
      <c r="AE216" s="86" t="s">
        <v>295</v>
      </c>
      <c r="AF216" s="77">
        <f t="shared" si="98"/>
        <v>1.71</v>
      </c>
      <c r="AG216" s="77">
        <f t="shared" si="99"/>
        <v>0.34199999999999986</v>
      </c>
      <c r="AI216" s="10"/>
      <c r="AJ216" s="10"/>
    </row>
    <row r="217" spans="1:36">
      <c r="A217" s="33" t="s">
        <v>926</v>
      </c>
      <c r="B217" s="33" t="s">
        <v>1050</v>
      </c>
      <c r="C217" s="86" t="s">
        <v>1059</v>
      </c>
      <c r="D217" s="175">
        <v>60</v>
      </c>
      <c r="E217" s="34" t="s">
        <v>2</v>
      </c>
      <c r="F217" s="34"/>
      <c r="G217" s="57">
        <v>1.87</v>
      </c>
      <c r="H217" s="57">
        <f t="shared" si="87"/>
        <v>112.2</v>
      </c>
      <c r="I217" s="42">
        <f t="shared" si="90"/>
        <v>3.1166666666666671</v>
      </c>
      <c r="J217" s="27">
        <f t="shared" si="91"/>
        <v>187.00000000000003</v>
      </c>
      <c r="K217" s="41">
        <f t="shared" si="86"/>
        <v>0.40000000000000008</v>
      </c>
      <c r="L217" s="47">
        <f t="shared" si="92"/>
        <v>2.8769230769230769</v>
      </c>
      <c r="M217" s="28">
        <f t="shared" si="93"/>
        <v>172.61538461538461</v>
      </c>
      <c r="N217" s="48">
        <f t="shared" si="94"/>
        <v>0.35</v>
      </c>
      <c r="O217" s="71">
        <f t="shared" si="95"/>
        <v>2.6714285714285717</v>
      </c>
      <c r="P217" s="71">
        <f t="shared" si="97"/>
        <v>160.28571428571431</v>
      </c>
      <c r="Q217" s="37">
        <f t="shared" si="96"/>
        <v>0.30000000000000004</v>
      </c>
      <c r="R217" s="165"/>
      <c r="S217" s="165"/>
      <c r="T217" s="78"/>
      <c r="U217" s="78"/>
      <c r="V217" s="78"/>
      <c r="W217" s="78"/>
      <c r="X217" s="82">
        <v>153155</v>
      </c>
      <c r="Y217" s="10"/>
      <c r="Z217" s="77" t="s">
        <v>1112</v>
      </c>
      <c r="AA217" s="77">
        <v>3.64</v>
      </c>
      <c r="AB217" s="145">
        <f>I217</f>
        <v>3.1166666666666671</v>
      </c>
      <c r="AC217" s="77">
        <f>AB217-AA217</f>
        <v>-0.52333333333333298</v>
      </c>
      <c r="AD217" s="184"/>
      <c r="AE217" s="86" t="s">
        <v>297</v>
      </c>
      <c r="AF217" s="77">
        <f t="shared" si="98"/>
        <v>2.2000000000000002</v>
      </c>
      <c r="AG217" s="74">
        <f t="shared" si="99"/>
        <v>0.33000000000000007</v>
      </c>
    </row>
    <row r="218" spans="1:36">
      <c r="A218" s="33" t="s">
        <v>926</v>
      </c>
      <c r="B218" s="33" t="s">
        <v>1064</v>
      </c>
      <c r="C218" s="86" t="s">
        <v>1057</v>
      </c>
      <c r="D218" s="175">
        <v>70</v>
      </c>
      <c r="E218" s="34" t="s">
        <v>2</v>
      </c>
      <c r="F218" s="34"/>
      <c r="G218" s="57">
        <v>1.1711764705882355</v>
      </c>
      <c r="H218" s="57">
        <f t="shared" si="87"/>
        <v>81.982352941176487</v>
      </c>
      <c r="I218" s="42">
        <f t="shared" si="90"/>
        <v>1.9519607843137259</v>
      </c>
      <c r="J218" s="27">
        <f t="shared" si="91"/>
        <v>136.6372549019608</v>
      </c>
      <c r="K218" s="41">
        <f t="shared" ref="K218:K229" si="100">(I218-G218)/I218</f>
        <v>0.4</v>
      </c>
      <c r="L218" s="47">
        <f t="shared" si="92"/>
        <v>1.8018099547511315</v>
      </c>
      <c r="M218" s="28">
        <f t="shared" si="93"/>
        <v>126.1266968325792</v>
      </c>
      <c r="N218" s="48">
        <f t="shared" si="94"/>
        <v>0.35</v>
      </c>
      <c r="O218" s="71">
        <f t="shared" si="95"/>
        <v>1.6731092436974793</v>
      </c>
      <c r="P218" s="71">
        <f t="shared" si="97"/>
        <v>117.11764705882355</v>
      </c>
      <c r="Q218" s="37">
        <f t="shared" si="96"/>
        <v>0.3</v>
      </c>
      <c r="R218" s="165"/>
      <c r="S218" s="165"/>
      <c r="T218" s="78"/>
      <c r="U218" s="78"/>
      <c r="V218" s="78"/>
      <c r="W218" s="78"/>
      <c r="X218" s="82">
        <v>153155</v>
      </c>
      <c r="Y218" s="10"/>
      <c r="Z218" s="77" t="s">
        <v>1136</v>
      </c>
      <c r="AA218" s="77">
        <v>3.52</v>
      </c>
      <c r="AB218" s="145">
        <f>I218</f>
        <v>1.9519607843137259</v>
      </c>
      <c r="AC218" s="77">
        <f>AB218-AA218</f>
        <v>-1.5680392156862741</v>
      </c>
      <c r="AD218" s="184"/>
      <c r="AE218" s="33"/>
      <c r="AF218" s="77"/>
      <c r="AG218" s="77"/>
      <c r="AI218" s="10"/>
      <c r="AJ218" s="10"/>
    </row>
    <row r="219" spans="1:36">
      <c r="A219" s="33" t="s">
        <v>926</v>
      </c>
      <c r="B219" s="33" t="s">
        <v>1051</v>
      </c>
      <c r="C219" s="86" t="s">
        <v>1060</v>
      </c>
      <c r="D219" s="175">
        <v>60</v>
      </c>
      <c r="E219" s="34" t="s">
        <v>2</v>
      </c>
      <c r="F219" s="34">
        <v>36</v>
      </c>
      <c r="G219" s="57">
        <v>2.21</v>
      </c>
      <c r="H219" s="57">
        <f t="shared" si="87"/>
        <v>132.6</v>
      </c>
      <c r="I219" s="42">
        <f t="shared" si="90"/>
        <v>3.6833333333333336</v>
      </c>
      <c r="J219" s="27">
        <f t="shared" si="91"/>
        <v>221</v>
      </c>
      <c r="K219" s="41">
        <f t="shared" si="100"/>
        <v>0.4</v>
      </c>
      <c r="L219" s="47">
        <f t="shared" si="92"/>
        <v>3.4</v>
      </c>
      <c r="M219" s="28">
        <f t="shared" si="93"/>
        <v>204</v>
      </c>
      <c r="N219" s="48">
        <f t="shared" si="94"/>
        <v>0.35</v>
      </c>
      <c r="O219" s="71">
        <f t="shared" si="95"/>
        <v>3.1571428571428575</v>
      </c>
      <c r="P219" s="71">
        <f t="shared" si="97"/>
        <v>189.42857142857144</v>
      </c>
      <c r="Q219" s="37">
        <f t="shared" si="96"/>
        <v>0.3000000000000001</v>
      </c>
      <c r="R219" s="165"/>
      <c r="S219" s="165"/>
      <c r="T219" s="78"/>
      <c r="U219" s="78"/>
      <c r="V219" s="78"/>
      <c r="W219" s="78"/>
      <c r="X219" s="82">
        <v>153155</v>
      </c>
      <c r="Y219" s="10"/>
      <c r="Z219" s="77" t="s">
        <v>1113</v>
      </c>
      <c r="AA219" s="77">
        <v>4.59</v>
      </c>
      <c r="AB219" s="145">
        <f>I219</f>
        <v>3.6833333333333336</v>
      </c>
      <c r="AC219" s="77">
        <f>AB219-AA219</f>
        <v>-0.90666666666666629</v>
      </c>
      <c r="AD219" s="184"/>
      <c r="AE219" s="86" t="s">
        <v>299</v>
      </c>
      <c r="AF219" s="77">
        <f>VLOOKUP(AE219,B:G,6,FALSE)</f>
        <v>2.6</v>
      </c>
      <c r="AG219" s="77">
        <f>AF219-G219</f>
        <v>0.39000000000000012</v>
      </c>
    </row>
    <row r="220" spans="1:36">
      <c r="A220" s="33" t="s">
        <v>926</v>
      </c>
      <c r="B220" s="33" t="s">
        <v>1065</v>
      </c>
      <c r="C220" s="86" t="s">
        <v>1058</v>
      </c>
      <c r="D220" s="175">
        <v>50</v>
      </c>
      <c r="E220" s="34" t="s">
        <v>2</v>
      </c>
      <c r="F220" s="34">
        <v>36</v>
      </c>
      <c r="G220" s="57">
        <v>1.2048235294117651</v>
      </c>
      <c r="H220" s="57">
        <f t="shared" si="87"/>
        <v>60.24117647058825</v>
      </c>
      <c r="I220" s="42">
        <f t="shared" si="90"/>
        <v>2.0080392156862752</v>
      </c>
      <c r="J220" s="27">
        <f t="shared" si="91"/>
        <v>100.40196078431376</v>
      </c>
      <c r="K220" s="41">
        <f t="shared" si="100"/>
        <v>0.4</v>
      </c>
      <c r="L220" s="47">
        <f t="shared" si="92"/>
        <v>1.8535746606334846</v>
      </c>
      <c r="M220" s="28">
        <f t="shared" si="93"/>
        <v>92.678733031674227</v>
      </c>
      <c r="N220" s="48">
        <f t="shared" si="94"/>
        <v>0.35</v>
      </c>
      <c r="O220" s="71">
        <f t="shared" si="95"/>
        <v>1.721176470588236</v>
      </c>
      <c r="P220" s="71">
        <f t="shared" si="97"/>
        <v>86.058823529411796</v>
      </c>
      <c r="Q220" s="37">
        <f t="shared" si="96"/>
        <v>0.30000000000000004</v>
      </c>
      <c r="R220" s="165"/>
      <c r="S220" s="165"/>
      <c r="T220" s="78"/>
      <c r="U220" s="78"/>
      <c r="V220" s="78"/>
      <c r="W220" s="78"/>
      <c r="X220" s="82">
        <v>153155</v>
      </c>
      <c r="Y220" s="10"/>
      <c r="Z220" s="77" t="s">
        <v>1137</v>
      </c>
      <c r="AA220" s="77">
        <v>4</v>
      </c>
      <c r="AB220" s="145">
        <f>I220</f>
        <v>2.0080392156862752</v>
      </c>
      <c r="AC220" s="77">
        <f>AB220-AA220</f>
        <v>-1.9919607843137248</v>
      </c>
      <c r="AD220" s="184"/>
      <c r="AE220" s="33"/>
      <c r="AF220" s="77"/>
      <c r="AG220" s="77"/>
    </row>
    <row r="221" spans="1:36">
      <c r="A221" s="33" t="s">
        <v>926</v>
      </c>
      <c r="B221" s="33" t="s">
        <v>1062</v>
      </c>
      <c r="C221" s="86" t="s">
        <v>1063</v>
      </c>
      <c r="D221" s="175">
        <v>40</v>
      </c>
      <c r="E221" s="34" t="s">
        <v>2</v>
      </c>
      <c r="F221" s="34"/>
      <c r="G221" s="57">
        <v>2.5299999999999998</v>
      </c>
      <c r="H221" s="57">
        <f t="shared" si="87"/>
        <v>101.19999999999999</v>
      </c>
      <c r="I221" s="42">
        <f t="shared" si="90"/>
        <v>4.2166666666666668</v>
      </c>
      <c r="J221" s="27">
        <f t="shared" si="91"/>
        <v>168.66666666666669</v>
      </c>
      <c r="K221" s="41">
        <f t="shared" si="100"/>
        <v>0.40000000000000008</v>
      </c>
      <c r="L221" s="47">
        <f t="shared" si="92"/>
        <v>3.8923076923076918</v>
      </c>
      <c r="M221" s="28">
        <f t="shared" si="93"/>
        <v>155.69230769230768</v>
      </c>
      <c r="N221" s="48">
        <f t="shared" si="94"/>
        <v>0.35</v>
      </c>
      <c r="O221" s="71">
        <f t="shared" si="95"/>
        <v>3.6142857142857143</v>
      </c>
      <c r="P221" s="71">
        <f t="shared" si="97"/>
        <v>144.57142857142858</v>
      </c>
      <c r="Q221" s="37">
        <f t="shared" si="96"/>
        <v>0.30000000000000004</v>
      </c>
      <c r="R221" s="165"/>
      <c r="S221" s="165"/>
      <c r="T221" s="78"/>
      <c r="U221" s="78"/>
      <c r="V221" s="78"/>
      <c r="W221" s="78"/>
      <c r="X221" s="82">
        <v>153155</v>
      </c>
      <c r="Y221" s="10"/>
      <c r="Z221" s="77" t="s">
        <v>1185</v>
      </c>
      <c r="AA221" s="77"/>
      <c r="AB221" s="34"/>
      <c r="AC221" s="34"/>
      <c r="AD221" s="184"/>
      <c r="AE221" s="86" t="s">
        <v>305</v>
      </c>
      <c r="AF221" s="77">
        <f>VLOOKUP(AE221,B:G,6,FALSE)</f>
        <v>2.98</v>
      </c>
      <c r="AG221" s="77">
        <f>AF221-G221</f>
        <v>0.45000000000000018</v>
      </c>
    </row>
    <row r="222" spans="1:36">
      <c r="A222" s="33" t="s">
        <v>926</v>
      </c>
      <c r="B222" s="33" t="s">
        <v>1089</v>
      </c>
      <c r="C222" s="86" t="s">
        <v>1090</v>
      </c>
      <c r="D222" s="175">
        <v>30</v>
      </c>
      <c r="E222" s="34" t="s">
        <v>2</v>
      </c>
      <c r="F222" s="34"/>
      <c r="G222" s="57">
        <v>1.38</v>
      </c>
      <c r="H222" s="57">
        <f t="shared" si="87"/>
        <v>41.4</v>
      </c>
      <c r="I222" s="42">
        <f t="shared" si="90"/>
        <v>2.2999999999999998</v>
      </c>
      <c r="J222" s="27">
        <f t="shared" si="91"/>
        <v>69</v>
      </c>
      <c r="K222" s="41">
        <f t="shared" si="100"/>
        <v>0.4</v>
      </c>
      <c r="L222" s="47">
        <f t="shared" si="92"/>
        <v>2.1230769230769226</v>
      </c>
      <c r="M222" s="28">
        <f t="shared" si="93"/>
        <v>63.692307692307679</v>
      </c>
      <c r="N222" s="48">
        <f t="shared" si="94"/>
        <v>0.34999999999999992</v>
      </c>
      <c r="O222" s="71">
        <f t="shared" si="95"/>
        <v>1.9714285714285713</v>
      </c>
      <c r="P222" s="71">
        <f t="shared" si="97"/>
        <v>59.142857142857139</v>
      </c>
      <c r="Q222" s="37">
        <f t="shared" si="96"/>
        <v>0.3</v>
      </c>
      <c r="R222" s="165"/>
      <c r="S222" s="165"/>
      <c r="T222" s="78"/>
      <c r="U222" s="78"/>
      <c r="V222" s="78"/>
      <c r="W222" s="78"/>
      <c r="X222" s="82">
        <v>153155</v>
      </c>
      <c r="Y222" s="10"/>
      <c r="Z222" s="77" t="s">
        <v>1138</v>
      </c>
      <c r="AA222" s="77">
        <v>6.77</v>
      </c>
      <c r="AB222" s="145">
        <f t="shared" ref="AB222" si="101">I222</f>
        <v>2.2999999999999998</v>
      </c>
      <c r="AC222" s="77">
        <f t="shared" ref="AC222" si="102">AB222-AA222</f>
        <v>-4.47</v>
      </c>
      <c r="AD222" s="184"/>
      <c r="AE222" s="86"/>
      <c r="AF222" s="77"/>
      <c r="AG222" s="77"/>
    </row>
    <row r="223" spans="1:36">
      <c r="A223" s="33" t="s">
        <v>926</v>
      </c>
      <c r="B223" s="33" t="s">
        <v>1053</v>
      </c>
      <c r="C223" s="86" t="s">
        <v>1055</v>
      </c>
      <c r="D223" s="175">
        <v>40</v>
      </c>
      <c r="E223" s="34" t="s">
        <v>2</v>
      </c>
      <c r="F223" s="34"/>
      <c r="G223" s="57">
        <v>3.08</v>
      </c>
      <c r="H223" s="57">
        <f t="shared" si="87"/>
        <v>123.2</v>
      </c>
      <c r="I223" s="42">
        <f t="shared" si="90"/>
        <v>5.1333333333333337</v>
      </c>
      <c r="J223" s="27">
        <f t="shared" si="91"/>
        <v>205.33333333333334</v>
      </c>
      <c r="K223" s="41">
        <f t="shared" si="100"/>
        <v>0.4</v>
      </c>
      <c r="L223" s="47">
        <f t="shared" si="92"/>
        <v>4.7384615384615385</v>
      </c>
      <c r="M223" s="28">
        <f t="shared" si="93"/>
        <v>189.53846153846155</v>
      </c>
      <c r="N223" s="48">
        <f t="shared" si="94"/>
        <v>0.35</v>
      </c>
      <c r="O223" s="71">
        <f t="shared" si="95"/>
        <v>4.4000000000000004</v>
      </c>
      <c r="P223" s="71">
        <f t="shared" si="97"/>
        <v>176</v>
      </c>
      <c r="Q223" s="37">
        <f t="shared" si="96"/>
        <v>0.30000000000000004</v>
      </c>
      <c r="R223" s="165"/>
      <c r="S223" s="165"/>
      <c r="T223" s="78"/>
      <c r="U223" s="78"/>
      <c r="V223" s="78"/>
      <c r="W223" s="78"/>
      <c r="X223" s="82">
        <v>153155</v>
      </c>
      <c r="Y223" s="10"/>
      <c r="Z223" s="77" t="s">
        <v>1186</v>
      </c>
      <c r="AA223" s="77"/>
      <c r="AB223" s="145"/>
      <c r="AC223" s="77"/>
      <c r="AD223" s="184"/>
      <c r="AE223" s="86" t="s">
        <v>307</v>
      </c>
      <c r="AF223" s="77">
        <f>VLOOKUP(AE223,B:G,6,FALSE)</f>
        <v>3.87</v>
      </c>
      <c r="AG223" s="77">
        <f>AF223-G223</f>
        <v>0.79</v>
      </c>
    </row>
    <row r="224" spans="1:36">
      <c r="A224" s="33" t="s">
        <v>926</v>
      </c>
      <c r="B224" s="33" t="s">
        <v>1070</v>
      </c>
      <c r="C224" s="86" t="s">
        <v>1075</v>
      </c>
      <c r="D224" s="175">
        <v>14</v>
      </c>
      <c r="E224" s="34" t="s">
        <v>2</v>
      </c>
      <c r="F224" s="34">
        <v>24</v>
      </c>
      <c r="G224" s="57">
        <v>18.600000000000001</v>
      </c>
      <c r="H224" s="57">
        <f t="shared" si="87"/>
        <v>260.40000000000003</v>
      </c>
      <c r="I224" s="42">
        <f t="shared" si="90"/>
        <v>31.000000000000004</v>
      </c>
      <c r="J224" s="27">
        <f t="shared" si="91"/>
        <v>434.00000000000006</v>
      </c>
      <c r="K224" s="41">
        <f t="shared" si="100"/>
        <v>0.4</v>
      </c>
      <c r="L224" s="47">
        <f t="shared" si="92"/>
        <v>28.615384615384617</v>
      </c>
      <c r="M224" s="28">
        <f t="shared" si="93"/>
        <v>400.61538461538464</v>
      </c>
      <c r="N224" s="48">
        <f t="shared" si="94"/>
        <v>0.35</v>
      </c>
      <c r="O224" s="71">
        <f t="shared" si="95"/>
        <v>26.571428571428577</v>
      </c>
      <c r="P224" s="71">
        <f t="shared" si="97"/>
        <v>372.00000000000006</v>
      </c>
      <c r="Q224" s="37">
        <f t="shared" si="96"/>
        <v>0.3000000000000001</v>
      </c>
      <c r="R224" s="165"/>
      <c r="S224" s="165"/>
      <c r="T224" s="78"/>
      <c r="U224" s="78"/>
      <c r="V224" s="78"/>
      <c r="W224" s="78"/>
      <c r="X224" s="82">
        <v>153155</v>
      </c>
      <c r="Z224" s="77" t="s">
        <v>1130</v>
      </c>
      <c r="AA224" s="77">
        <v>22</v>
      </c>
      <c r="AB224" s="145">
        <f t="shared" ref="AB224" si="103">I224</f>
        <v>31.000000000000004</v>
      </c>
      <c r="AC224" s="77">
        <f t="shared" ref="AC224" si="104">AB224-AA224</f>
        <v>9.0000000000000036</v>
      </c>
      <c r="AD224" s="184"/>
      <c r="AE224" s="86" t="s">
        <v>315</v>
      </c>
      <c r="AF224" s="77">
        <f>VLOOKUP(AE224,B:G,6,FALSE)</f>
        <v>23.09</v>
      </c>
      <c r="AG224" s="77">
        <f>AF224-G224</f>
        <v>4.4899999999999984</v>
      </c>
    </row>
    <row r="225" spans="1:36">
      <c r="A225" s="33" t="s">
        <v>926</v>
      </c>
      <c r="B225" s="33" t="s">
        <v>1037</v>
      </c>
      <c r="C225" s="86" t="s">
        <v>1036</v>
      </c>
      <c r="D225" s="34">
        <v>30</v>
      </c>
      <c r="E225" s="34" t="s">
        <v>2</v>
      </c>
      <c r="F225" s="34"/>
      <c r="G225" s="57">
        <v>5.8235294117647065</v>
      </c>
      <c r="H225" s="57">
        <f t="shared" si="87"/>
        <v>174.70588235294119</v>
      </c>
      <c r="I225" s="42">
        <f t="shared" si="90"/>
        <v>9.7058823529411775</v>
      </c>
      <c r="J225" s="27">
        <f t="shared" si="91"/>
        <v>291.1764705882353</v>
      </c>
      <c r="K225" s="41">
        <f t="shared" si="100"/>
        <v>0.4</v>
      </c>
      <c r="L225" s="47">
        <f t="shared" si="92"/>
        <v>8.9592760180995477</v>
      </c>
      <c r="M225" s="28">
        <f t="shared" si="93"/>
        <v>268.77828054298641</v>
      </c>
      <c r="N225" s="48">
        <f t="shared" si="94"/>
        <v>0.34999999999999992</v>
      </c>
      <c r="O225" s="71">
        <f t="shared" si="95"/>
        <v>8.3193277310924376</v>
      </c>
      <c r="P225" s="71">
        <f t="shared" si="97"/>
        <v>249.57983193277312</v>
      </c>
      <c r="Q225" s="37">
        <f t="shared" si="96"/>
        <v>0.3</v>
      </c>
      <c r="R225" s="165"/>
      <c r="S225" s="165"/>
      <c r="T225" s="78"/>
      <c r="U225" s="78"/>
      <c r="V225" s="78"/>
      <c r="W225" s="78"/>
      <c r="X225" s="82">
        <v>153155</v>
      </c>
      <c r="Y225" s="10"/>
      <c r="Z225" s="77" t="s">
        <v>1180</v>
      </c>
      <c r="AA225" s="77"/>
      <c r="AB225" s="34"/>
      <c r="AC225" s="34"/>
      <c r="AD225" s="184"/>
      <c r="AE225" s="33"/>
      <c r="AF225" s="77"/>
      <c r="AG225" s="77"/>
      <c r="AI225" s="187"/>
      <c r="AJ225" s="187"/>
    </row>
    <row r="226" spans="1:36">
      <c r="A226" s="33" t="s">
        <v>926</v>
      </c>
      <c r="B226" s="33" t="s">
        <v>1038</v>
      </c>
      <c r="C226" s="33" t="s">
        <v>1039</v>
      </c>
      <c r="D226" s="34">
        <v>6</v>
      </c>
      <c r="E226" s="34" t="s">
        <v>2</v>
      </c>
      <c r="F226" s="34"/>
      <c r="G226" s="57">
        <v>18.649999999999999</v>
      </c>
      <c r="H226" s="57">
        <f t="shared" si="87"/>
        <v>111.89999999999999</v>
      </c>
      <c r="I226" s="42">
        <f t="shared" si="90"/>
        <v>31.083333333333332</v>
      </c>
      <c r="J226" s="27">
        <f t="shared" si="91"/>
        <v>186.5</v>
      </c>
      <c r="K226" s="41">
        <f t="shared" si="100"/>
        <v>0.4</v>
      </c>
      <c r="L226" s="47">
        <f t="shared" si="92"/>
        <v>28.69230769230769</v>
      </c>
      <c r="M226" s="28">
        <f t="shared" si="93"/>
        <v>172.15384615384613</v>
      </c>
      <c r="N226" s="48">
        <f t="shared" si="94"/>
        <v>0.35</v>
      </c>
      <c r="O226" s="71">
        <f t="shared" si="95"/>
        <v>26.642857142857142</v>
      </c>
      <c r="P226" s="71">
        <f t="shared" si="97"/>
        <v>159.85714285714286</v>
      </c>
      <c r="Q226" s="37">
        <f t="shared" si="96"/>
        <v>0.30000000000000004</v>
      </c>
      <c r="R226" s="165"/>
      <c r="S226" s="165"/>
      <c r="T226" s="78"/>
      <c r="U226" s="78"/>
      <c r="V226" s="78"/>
      <c r="W226" s="78"/>
      <c r="X226" s="82">
        <v>153155</v>
      </c>
      <c r="Y226" s="10"/>
      <c r="Z226" s="77" t="s">
        <v>1183</v>
      </c>
      <c r="AA226" s="77"/>
      <c r="AB226" s="34"/>
      <c r="AC226" s="34"/>
      <c r="AD226" s="184"/>
      <c r="AE226" s="33"/>
      <c r="AF226" s="77"/>
      <c r="AG226" s="77"/>
      <c r="AI226" s="10"/>
      <c r="AJ226" s="187"/>
    </row>
    <row r="227" spans="1:36">
      <c r="A227" s="33" t="s">
        <v>926</v>
      </c>
      <c r="B227" s="33" t="s">
        <v>1040</v>
      </c>
      <c r="C227" s="86" t="s">
        <v>1041</v>
      </c>
      <c r="D227" s="34">
        <v>12</v>
      </c>
      <c r="E227" s="34" t="s">
        <v>2</v>
      </c>
      <c r="F227" s="34"/>
      <c r="G227" s="57">
        <v>7.65</v>
      </c>
      <c r="H227" s="57">
        <f t="shared" ref="H227:H229" si="105">D227*G227</f>
        <v>91.800000000000011</v>
      </c>
      <c r="I227" s="42">
        <f t="shared" si="90"/>
        <v>12.750000000000002</v>
      </c>
      <c r="J227" s="27">
        <f t="shared" si="91"/>
        <v>153.00000000000003</v>
      </c>
      <c r="K227" s="41">
        <f t="shared" si="100"/>
        <v>0.40000000000000008</v>
      </c>
      <c r="L227" s="47">
        <f t="shared" si="92"/>
        <v>11.76923076923077</v>
      </c>
      <c r="M227" s="28">
        <f t="shared" si="93"/>
        <v>141.23076923076923</v>
      </c>
      <c r="N227" s="48">
        <f t="shared" si="94"/>
        <v>0.35000000000000003</v>
      </c>
      <c r="O227" s="71">
        <f t="shared" si="95"/>
        <v>10.928571428571431</v>
      </c>
      <c r="P227" s="71">
        <f t="shared" si="97"/>
        <v>131.14285714285717</v>
      </c>
      <c r="Q227" s="37">
        <f t="shared" si="96"/>
        <v>0.3000000000000001</v>
      </c>
      <c r="R227" s="165"/>
      <c r="S227" s="165"/>
      <c r="T227" s="78"/>
      <c r="U227" s="78"/>
      <c r="V227" s="78"/>
      <c r="W227" s="78"/>
      <c r="X227" s="82">
        <v>153155</v>
      </c>
      <c r="Y227" s="10"/>
      <c r="Z227" s="77" t="s">
        <v>1181</v>
      </c>
      <c r="AA227" s="77"/>
      <c r="AB227" s="34"/>
      <c r="AC227" s="34"/>
      <c r="AD227" s="184"/>
      <c r="AE227" s="86" t="s">
        <v>322</v>
      </c>
      <c r="AF227" s="77">
        <f>VLOOKUP(AE227,B:G,6,FALSE)</f>
        <v>9.56</v>
      </c>
      <c r="AG227" s="77">
        <f>AF227-G227</f>
        <v>1.9100000000000001</v>
      </c>
      <c r="AI227" s="10"/>
      <c r="AJ227" s="10"/>
    </row>
    <row r="228" spans="1:36">
      <c r="A228" s="54" t="s">
        <v>926</v>
      </c>
      <c r="B228" s="54" t="s">
        <v>1048</v>
      </c>
      <c r="C228" s="54" t="s">
        <v>1080</v>
      </c>
      <c r="D228" s="189">
        <v>390</v>
      </c>
      <c r="E228" s="189" t="s">
        <v>2</v>
      </c>
      <c r="F228" s="34"/>
      <c r="G228" s="57">
        <v>0.39289411764705884</v>
      </c>
      <c r="H228" s="57">
        <f t="shared" si="105"/>
        <v>153.22870588235295</v>
      </c>
      <c r="I228" s="42">
        <f t="shared" si="90"/>
        <v>0.6548235294117648</v>
      </c>
      <c r="J228" s="27">
        <f t="shared" si="91"/>
        <v>255.38117647058829</v>
      </c>
      <c r="K228" s="41">
        <f t="shared" si="100"/>
        <v>0.40000000000000008</v>
      </c>
      <c r="L228" s="47">
        <f t="shared" si="92"/>
        <v>0.60445248868778279</v>
      </c>
      <c r="M228" s="28">
        <f t="shared" si="93"/>
        <v>235.73647058823528</v>
      </c>
      <c r="N228" s="48">
        <f t="shared" si="94"/>
        <v>0.35</v>
      </c>
      <c r="O228" s="71">
        <f t="shared" si="95"/>
        <v>0.56127731092436983</v>
      </c>
      <c r="P228" s="71">
        <f t="shared" si="97"/>
        <v>218.89815126050422</v>
      </c>
      <c r="Q228" s="37">
        <f t="shared" si="96"/>
        <v>0.3000000000000001</v>
      </c>
      <c r="R228" s="165"/>
      <c r="S228" s="165"/>
      <c r="T228" s="78"/>
      <c r="U228" s="78"/>
      <c r="V228" s="78"/>
      <c r="W228" s="78"/>
      <c r="X228" s="82">
        <v>153155</v>
      </c>
      <c r="Y228" s="10"/>
      <c r="Z228" s="77" t="s">
        <v>1184</v>
      </c>
      <c r="AA228" s="77"/>
      <c r="AB228" s="34"/>
      <c r="AC228" s="34"/>
      <c r="AD228" s="184"/>
      <c r="AE228" s="33"/>
      <c r="AF228" s="77"/>
      <c r="AG228" s="77"/>
      <c r="AI228" s="10"/>
      <c r="AJ228" s="10"/>
    </row>
    <row r="229" spans="1:36">
      <c r="A229" s="85" t="s">
        <v>926</v>
      </c>
      <c r="B229" s="85" t="s">
        <v>1049</v>
      </c>
      <c r="C229" s="85" t="s">
        <v>1081</v>
      </c>
      <c r="D229" s="192">
        <v>120</v>
      </c>
      <c r="E229" s="192" t="s">
        <v>2</v>
      </c>
      <c r="F229" s="14"/>
      <c r="G229" s="58">
        <v>0.73995058823529414</v>
      </c>
      <c r="H229" s="58">
        <f t="shared" si="105"/>
        <v>88.7940705882353</v>
      </c>
      <c r="I229" s="44">
        <f t="shared" si="90"/>
        <v>1.233250980392157</v>
      </c>
      <c r="J229" s="81">
        <f t="shared" si="91"/>
        <v>147.99011764705884</v>
      </c>
      <c r="K229" s="43">
        <f t="shared" si="100"/>
        <v>0.4</v>
      </c>
      <c r="L229" s="49">
        <f t="shared" si="92"/>
        <v>1.138385520361991</v>
      </c>
      <c r="M229" s="30">
        <f t="shared" si="93"/>
        <v>136.60626244343894</v>
      </c>
      <c r="N229" s="50">
        <f t="shared" si="94"/>
        <v>0.35000000000000003</v>
      </c>
      <c r="O229" s="72">
        <f t="shared" si="95"/>
        <v>1.0570722689075631</v>
      </c>
      <c r="P229" s="72">
        <f t="shared" si="97"/>
        <v>126.84867226890758</v>
      </c>
      <c r="Q229" s="38">
        <f t="shared" si="96"/>
        <v>0.30000000000000004</v>
      </c>
      <c r="R229" s="182"/>
      <c r="S229" s="182"/>
      <c r="T229" s="78"/>
      <c r="U229" s="78"/>
      <c r="V229" s="78"/>
      <c r="W229" s="78"/>
      <c r="X229" s="84">
        <v>153155</v>
      </c>
      <c r="Y229" s="10"/>
      <c r="Z229" s="78"/>
      <c r="AA229" s="78"/>
      <c r="AB229" s="14"/>
      <c r="AC229" s="14"/>
      <c r="AD229" s="184"/>
      <c r="AE229" s="7"/>
      <c r="AF229" s="78"/>
      <c r="AG229" s="78"/>
      <c r="AI229" s="10"/>
      <c r="AJ229" s="10"/>
    </row>
    <row r="230" spans="1:36">
      <c r="H230" s="15"/>
      <c r="L230" s="60"/>
      <c r="M230" s="15"/>
      <c r="N230" s="60"/>
      <c r="P230" s="15"/>
      <c r="Q230" s="3"/>
      <c r="S230" s="60"/>
      <c r="X230"/>
      <c r="Y230" s="60"/>
      <c r="AA230" s="15"/>
      <c r="AC230"/>
      <c r="AD230"/>
    </row>
    <row r="231" spans="1:36">
      <c r="B231" s="177"/>
      <c r="C231" s="177"/>
      <c r="D231" s="177"/>
      <c r="E231" s="178"/>
      <c r="F231" s="179"/>
      <c r="G231" s="177"/>
    </row>
    <row r="232" spans="1:36" ht="30">
      <c r="A232" s="10"/>
      <c r="B232" s="143" t="s">
        <v>344</v>
      </c>
      <c r="C232" s="143" t="s">
        <v>345</v>
      </c>
      <c r="D232" s="161" t="s">
        <v>358</v>
      </c>
      <c r="E232" s="161" t="s">
        <v>902</v>
      </c>
      <c r="F232" s="162" t="s">
        <v>915</v>
      </c>
      <c r="G232" s="162" t="s">
        <v>916</v>
      </c>
      <c r="H232" s="162" t="s">
        <v>1162</v>
      </c>
    </row>
    <row r="233" spans="1:36">
      <c r="A233" s="10"/>
      <c r="B233" s="4" t="s">
        <v>1101</v>
      </c>
      <c r="C233" s="4" t="s">
        <v>1102</v>
      </c>
      <c r="D233" s="12">
        <v>250</v>
      </c>
      <c r="E233" s="12" t="s">
        <v>2</v>
      </c>
      <c r="F233" s="203">
        <v>0.53</v>
      </c>
      <c r="G233" s="217">
        <v>132.13999999999999</v>
      </c>
      <c r="H233" s="207">
        <v>18</v>
      </c>
      <c r="I233" s="60"/>
      <c r="K233" s="60"/>
      <c r="L233" s="60"/>
      <c r="M233" s="15"/>
      <c r="N233" s="3"/>
      <c r="O233" s="3"/>
      <c r="Q233" s="60"/>
      <c r="R233" s="60"/>
      <c r="S233" s="60"/>
      <c r="U233"/>
      <c r="X233" s="15"/>
      <c r="Y233" s="15"/>
      <c r="Z233" s="15"/>
      <c r="AA233"/>
      <c r="AB233"/>
      <c r="AC233"/>
      <c r="AD233"/>
    </row>
    <row r="234" spans="1:36">
      <c r="A234" s="10"/>
      <c r="B234" s="33" t="s">
        <v>961</v>
      </c>
      <c r="C234" s="86" t="s">
        <v>962</v>
      </c>
      <c r="D234" s="34">
        <v>50</v>
      </c>
      <c r="E234" s="34" t="s">
        <v>2</v>
      </c>
      <c r="F234" s="164">
        <v>2.1280000000000001</v>
      </c>
      <c r="G234" s="204">
        <v>106.4</v>
      </c>
      <c r="H234" s="208">
        <v>6</v>
      </c>
      <c r="I234" s="60"/>
      <c r="K234" s="60"/>
      <c r="L234" s="60"/>
      <c r="M234" s="15">
        <f>28.62*8</f>
        <v>228.96</v>
      </c>
      <c r="N234" s="3"/>
      <c r="O234" s="3"/>
      <c r="Q234" s="60"/>
      <c r="R234" s="60"/>
      <c r="S234" s="60"/>
      <c r="U234"/>
      <c r="X234" s="15"/>
      <c r="Y234" s="15"/>
      <c r="Z234" s="15"/>
      <c r="AA234"/>
      <c r="AB234"/>
      <c r="AC234"/>
      <c r="AD234"/>
    </row>
    <row r="235" spans="1:36">
      <c r="A235" s="10"/>
      <c r="B235" s="7" t="s">
        <v>1095</v>
      </c>
      <c r="C235" s="88" t="s">
        <v>1096</v>
      </c>
      <c r="D235" s="14">
        <v>20</v>
      </c>
      <c r="E235" s="14" t="s">
        <v>2</v>
      </c>
      <c r="F235" s="205">
        <v>4.9333333333333336</v>
      </c>
      <c r="G235" s="206">
        <v>98.67</v>
      </c>
      <c r="H235" s="209">
        <v>36</v>
      </c>
      <c r="I235" s="60"/>
      <c r="K235" s="60"/>
      <c r="L235" s="60"/>
      <c r="M235" s="15"/>
      <c r="N235" s="3"/>
      <c r="O235" s="3"/>
      <c r="Q235" s="60"/>
      <c r="R235" s="60"/>
      <c r="S235" s="60"/>
      <c r="U235"/>
      <c r="X235" s="15"/>
      <c r="Y235" s="15"/>
      <c r="Z235" s="15"/>
      <c r="AA235"/>
      <c r="AB235"/>
      <c r="AC235"/>
      <c r="AD235"/>
    </row>
    <row r="236" spans="1:36">
      <c r="A236" s="10"/>
    </row>
    <row r="238" spans="1:36" ht="30">
      <c r="B238" s="143" t="s">
        <v>344</v>
      </c>
      <c r="C238" s="143" t="s">
        <v>345</v>
      </c>
      <c r="D238" s="161" t="s">
        <v>358</v>
      </c>
      <c r="E238" s="161" t="s">
        <v>902</v>
      </c>
      <c r="F238" s="161" t="s">
        <v>1163</v>
      </c>
      <c r="G238" s="210" t="s">
        <v>915</v>
      </c>
      <c r="H238" s="162" t="s">
        <v>916</v>
      </c>
    </row>
    <row r="239" spans="1:36">
      <c r="B239" s="33" t="s">
        <v>48</v>
      </c>
      <c r="C239" s="33" t="s">
        <v>49</v>
      </c>
      <c r="D239" s="34">
        <v>40</v>
      </c>
      <c r="E239" s="34" t="s">
        <v>2</v>
      </c>
      <c r="F239" s="215">
        <f>VLOOKUP(B239,Pallets!B:F,5,FALSE)</f>
        <v>24</v>
      </c>
      <c r="G239" s="211">
        <v>4.45</v>
      </c>
      <c r="H239" s="212">
        <v>178</v>
      </c>
    </row>
    <row r="240" spans="1:36">
      <c r="B240" s="86" t="s">
        <v>165</v>
      </c>
      <c r="C240" s="86" t="s">
        <v>166</v>
      </c>
      <c r="D240" s="87">
        <v>50</v>
      </c>
      <c r="E240" s="87" t="s">
        <v>2</v>
      </c>
      <c r="F240" s="215">
        <f>VLOOKUP(B240,Pallets!B:F,5,FALSE)</f>
        <v>48</v>
      </c>
      <c r="G240" s="211">
        <v>1.5</v>
      </c>
      <c r="H240" s="212">
        <v>75</v>
      </c>
    </row>
    <row r="241" spans="2:30">
      <c r="B241" s="88" t="s">
        <v>330</v>
      </c>
      <c r="C241" s="88" t="s">
        <v>923</v>
      </c>
      <c r="D241" s="89">
        <v>8</v>
      </c>
      <c r="E241" s="89" t="s">
        <v>2</v>
      </c>
      <c r="F241" s="216">
        <f>VLOOKUP(B241,Pallets!B:F,5,FALSE)</f>
        <v>24</v>
      </c>
      <c r="G241" s="213">
        <v>17.8</v>
      </c>
      <c r="H241" s="214">
        <v>142.4</v>
      </c>
    </row>
    <row r="244" spans="2:30" ht="30">
      <c r="B244" s="143" t="s">
        <v>344</v>
      </c>
      <c r="C244" s="143" t="s">
        <v>345</v>
      </c>
      <c r="D244" s="161" t="s">
        <v>358</v>
      </c>
      <c r="E244" s="161" t="s">
        <v>902</v>
      </c>
      <c r="F244" s="162" t="s">
        <v>915</v>
      </c>
      <c r="G244" s="162" t="s">
        <v>916</v>
      </c>
      <c r="H244" s="162" t="s">
        <v>1188</v>
      </c>
      <c r="I244" s="162" t="s">
        <v>1187</v>
      </c>
    </row>
    <row r="245" spans="2:30">
      <c r="B245" s="4" t="s">
        <v>961</v>
      </c>
      <c r="C245" s="4" t="s">
        <v>962</v>
      </c>
      <c r="D245" s="12">
        <v>50</v>
      </c>
      <c r="E245" s="12" t="s">
        <v>2</v>
      </c>
      <c r="F245" s="144">
        <v>2.13</v>
      </c>
      <c r="G245" s="144">
        <v>106.4</v>
      </c>
      <c r="H245" s="12">
        <v>4</v>
      </c>
      <c r="I245" s="12"/>
      <c r="J245" s="60"/>
      <c r="L245" s="60"/>
      <c r="O245" s="3"/>
      <c r="P245" s="3"/>
      <c r="Q245" s="60"/>
      <c r="R245" s="60"/>
      <c r="S245" s="60"/>
      <c r="V245"/>
      <c r="Y245" s="15"/>
      <c r="Z245" s="15"/>
      <c r="AA245" s="15"/>
      <c r="AB245"/>
      <c r="AC245"/>
      <c r="AD245"/>
    </row>
    <row r="246" spans="2:30">
      <c r="B246" s="7" t="s">
        <v>175</v>
      </c>
      <c r="C246" s="7" t="s">
        <v>176</v>
      </c>
      <c r="D246" s="14">
        <v>20</v>
      </c>
      <c r="E246" s="14" t="s">
        <v>2</v>
      </c>
      <c r="F246" s="160">
        <v>3.3</v>
      </c>
      <c r="G246" s="160">
        <v>66</v>
      </c>
      <c r="H246" s="14"/>
      <c r="I246" s="14">
        <v>31</v>
      </c>
      <c r="J246" s="60"/>
      <c r="L246" s="60"/>
      <c r="O246" s="3"/>
      <c r="P246" s="3"/>
      <c r="Q246" s="60"/>
      <c r="R246" s="60"/>
      <c r="S246" s="60"/>
      <c r="V246"/>
      <c r="Y246" s="15"/>
      <c r="Z246" s="15"/>
      <c r="AA246" s="15"/>
      <c r="AB246"/>
      <c r="AC246"/>
      <c r="AD246"/>
    </row>
    <row r="247" spans="2:30">
      <c r="B247" s="222" t="s">
        <v>1095</v>
      </c>
      <c r="C247" s="222" t="s">
        <v>1096</v>
      </c>
      <c r="D247" s="223">
        <v>20</v>
      </c>
      <c r="E247" s="223" t="s">
        <v>2</v>
      </c>
      <c r="F247" s="224">
        <v>4.93</v>
      </c>
      <c r="G247" s="224">
        <v>98.67</v>
      </c>
      <c r="H247" s="223">
        <v>34</v>
      </c>
      <c r="I247" s="223" t="s">
        <v>1189</v>
      </c>
      <c r="J247" s="60"/>
      <c r="L247" s="60"/>
      <c r="O247" s="3"/>
      <c r="P247" s="3"/>
      <c r="Q247" s="60"/>
      <c r="R247" s="60"/>
      <c r="S247" s="60"/>
      <c r="V247"/>
      <c r="Y247" s="15"/>
      <c r="Z247" s="15"/>
      <c r="AA247" s="15"/>
      <c r="AB247"/>
      <c r="AC247"/>
      <c r="AD247"/>
    </row>
    <row r="248" spans="2:30">
      <c r="B248" s="4" t="s">
        <v>989</v>
      </c>
      <c r="C248" s="4" t="s">
        <v>994</v>
      </c>
      <c r="D248" s="12">
        <v>18</v>
      </c>
      <c r="E248" s="12" t="s">
        <v>2</v>
      </c>
      <c r="F248" s="144">
        <v>18.14</v>
      </c>
      <c r="G248" s="144">
        <v>326.43</v>
      </c>
      <c r="H248" s="12">
        <v>0</v>
      </c>
      <c r="I248" s="12"/>
      <c r="J248" s="60"/>
      <c r="L248" s="60"/>
      <c r="O248" s="3"/>
      <c r="P248" s="3"/>
      <c r="Q248" s="60"/>
      <c r="R248" s="60"/>
      <c r="S248" s="60"/>
      <c r="V248"/>
      <c r="Y248" s="15"/>
      <c r="Z248" s="15"/>
      <c r="AA248" s="15"/>
      <c r="AB248"/>
      <c r="AC248"/>
      <c r="AD248"/>
    </row>
    <row r="249" spans="2:30">
      <c r="B249" s="7" t="s">
        <v>233</v>
      </c>
      <c r="C249" s="7" t="s">
        <v>234</v>
      </c>
      <c r="D249" s="14">
        <v>8</v>
      </c>
      <c r="E249" s="14" t="s">
        <v>2</v>
      </c>
      <c r="F249" s="160">
        <v>20.149999999999999</v>
      </c>
      <c r="G249" s="160">
        <v>161.19999999999999</v>
      </c>
      <c r="H249" s="14"/>
      <c r="I249" s="14">
        <v>27</v>
      </c>
      <c r="J249" s="60"/>
      <c r="L249" s="60"/>
      <c r="O249" s="3"/>
      <c r="P249" s="3"/>
      <c r="Q249" s="60"/>
      <c r="R249" s="60"/>
      <c r="S249" s="60"/>
      <c r="V249"/>
      <c r="Y249" s="15"/>
      <c r="Z249" s="15"/>
      <c r="AA249" s="15"/>
      <c r="AB249"/>
      <c r="AC249"/>
      <c r="AD249"/>
    </row>
    <row r="250" spans="2:30" s="10" customFormat="1">
      <c r="B250" s="4" t="s">
        <v>990</v>
      </c>
      <c r="C250" s="4" t="s">
        <v>995</v>
      </c>
      <c r="D250" s="12">
        <v>20</v>
      </c>
      <c r="E250" s="12" t="s">
        <v>2</v>
      </c>
      <c r="F250" s="144">
        <v>15.33</v>
      </c>
      <c r="G250" s="144">
        <v>306.67</v>
      </c>
      <c r="H250" s="12">
        <v>7</v>
      </c>
      <c r="I250" s="12"/>
      <c r="J250" s="183"/>
      <c r="K250" s="184"/>
      <c r="L250" s="183"/>
      <c r="M250" s="183"/>
      <c r="N250" s="184"/>
      <c r="O250" s="165"/>
      <c r="P250" s="165"/>
      <c r="Q250" s="183"/>
      <c r="R250" s="183"/>
      <c r="S250" s="183"/>
      <c r="T250" s="183"/>
      <c r="U250" s="183"/>
      <c r="W250" s="183"/>
      <c r="X250" s="183"/>
      <c r="Y250" s="184"/>
      <c r="Z250" s="184"/>
      <c r="AA250" s="184"/>
    </row>
    <row r="251" spans="2:30">
      <c r="B251" s="85" t="s">
        <v>235</v>
      </c>
      <c r="C251" s="7" t="s">
        <v>236</v>
      </c>
      <c r="D251" s="14">
        <v>10</v>
      </c>
      <c r="E251" s="14" t="s">
        <v>2</v>
      </c>
      <c r="F251" s="160">
        <v>17.03</v>
      </c>
      <c r="G251" s="160">
        <v>170.33</v>
      </c>
      <c r="H251" s="78"/>
      <c r="I251" s="14">
        <v>5</v>
      </c>
    </row>
    <row r="254" spans="2:30" ht="30">
      <c r="B254" s="143" t="s">
        <v>344</v>
      </c>
      <c r="C254" s="143" t="s">
        <v>345</v>
      </c>
      <c r="D254" s="161" t="s">
        <v>358</v>
      </c>
      <c r="E254" s="161" t="s">
        <v>902</v>
      </c>
      <c r="F254" s="162" t="s">
        <v>915</v>
      </c>
      <c r="G254" s="162" t="s">
        <v>916</v>
      </c>
    </row>
    <row r="255" spans="2:30">
      <c r="B255" s="33" t="s">
        <v>118</v>
      </c>
      <c r="C255" s="33" t="s">
        <v>119</v>
      </c>
      <c r="D255" s="34">
        <v>26</v>
      </c>
      <c r="E255" s="34" t="s">
        <v>2</v>
      </c>
      <c r="F255" s="145">
        <v>4.47</v>
      </c>
      <c r="G255" s="145">
        <v>116.13</v>
      </c>
      <c r="H255" s="15"/>
      <c r="I255" s="198"/>
      <c r="J255" s="198"/>
      <c r="L255" s="60"/>
      <c r="O255" s="3"/>
      <c r="P255" s="3"/>
      <c r="Q255" s="60"/>
      <c r="R255" s="60"/>
      <c r="S255" s="60"/>
      <c r="V255"/>
      <c r="Y255" s="15"/>
      <c r="Z255" s="15"/>
      <c r="AA255" s="15"/>
      <c r="AB255"/>
      <c r="AC255"/>
      <c r="AD255"/>
    </row>
    <row r="256" spans="2:30">
      <c r="B256" s="33" t="s">
        <v>120</v>
      </c>
      <c r="C256" s="33" t="s">
        <v>121</v>
      </c>
      <c r="D256" s="34">
        <v>20</v>
      </c>
      <c r="E256" s="34" t="s">
        <v>2</v>
      </c>
      <c r="F256" s="145">
        <v>4.47</v>
      </c>
      <c r="G256" s="145">
        <v>89.33</v>
      </c>
      <c r="H256" s="15"/>
      <c r="I256" s="198"/>
      <c r="J256" s="198"/>
      <c r="L256" s="60"/>
      <c r="O256" s="3"/>
      <c r="P256" s="3"/>
      <c r="Q256" s="60"/>
      <c r="R256" s="60"/>
      <c r="S256" s="60"/>
      <c r="V256"/>
      <c r="Y256" s="15"/>
      <c r="Z256" s="15"/>
      <c r="AA256" s="15"/>
      <c r="AB256"/>
      <c r="AC256"/>
      <c r="AD256"/>
    </row>
    <row r="257" spans="2:30">
      <c r="B257" s="7" t="s">
        <v>124</v>
      </c>
      <c r="C257" s="7" t="s">
        <v>366</v>
      </c>
      <c r="D257" s="14">
        <v>10</v>
      </c>
      <c r="E257" s="14" t="s">
        <v>2</v>
      </c>
      <c r="F257" s="160">
        <v>8.9499999999999993</v>
      </c>
      <c r="G257" s="160">
        <v>89.5</v>
      </c>
      <c r="H257" s="15"/>
      <c r="I257" s="198"/>
      <c r="J257" s="198"/>
      <c r="L257" s="60"/>
      <c r="O257" s="3"/>
      <c r="P257" s="3"/>
      <c r="Q257" s="60"/>
      <c r="R257" s="60"/>
      <c r="S257" s="60"/>
      <c r="V257"/>
      <c r="Y257" s="15"/>
      <c r="Z257" s="15"/>
      <c r="AA257" s="15"/>
      <c r="AB257"/>
      <c r="AC257"/>
      <c r="AD257"/>
    </row>
  </sheetData>
  <sortState ref="A29:AK102">
    <sortCondition ref="B29:B102"/>
  </sortState>
  <mergeCells count="3">
    <mergeCell ref="I1:K1"/>
    <mergeCell ref="L1:N1"/>
    <mergeCell ref="O1:Q1"/>
  </mergeCells>
  <printOptions horizontalCentered="1"/>
  <pageMargins left="0.23622047244094491" right="0.23622047244094491" top="0.74803149606299213" bottom="0.74803149606299213" header="0.31496062992125984" footer="0.31496062992125984"/>
  <rowBreaks count="3" manualBreakCount="3">
    <brk id="50" max="23" man="1"/>
    <brk id="102" max="23" man="1"/>
    <brk id="145" max="23" man="1"/>
  </rowBreak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L22" sqref="L22"/>
    </sheetView>
  </sheetViews>
  <sheetFormatPr defaultColWidth="8.85546875" defaultRowHeight="15"/>
  <cols>
    <col min="1" max="1" width="9.28515625" customWidth="1"/>
    <col min="2" max="2" width="15.140625" customWidth="1"/>
    <col min="3" max="3" width="40.85546875" bestFit="1" customWidth="1"/>
    <col min="4" max="6" width="9.28515625" style="15"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7" width="10.28515625" style="60" bestFit="1" customWidth="1"/>
  </cols>
  <sheetData>
    <row r="1" spans="1:17">
      <c r="B1" s="1"/>
      <c r="C1" s="1"/>
      <c r="D1" s="11"/>
      <c r="E1" s="11"/>
      <c r="F1" s="11"/>
      <c r="G1" s="55"/>
      <c r="H1" s="542" t="s">
        <v>347</v>
      </c>
      <c r="I1" s="543"/>
      <c r="J1" s="544"/>
      <c r="K1" s="545" t="s">
        <v>348</v>
      </c>
      <c r="L1" s="546"/>
      <c r="M1" s="547"/>
      <c r="N1" s="557" t="s">
        <v>369</v>
      </c>
      <c r="O1" s="558"/>
      <c r="P1" s="559"/>
    </row>
    <row r="2" spans="1:17" s="26" customFormat="1" ht="45">
      <c r="A2" s="23" t="s">
        <v>350</v>
      </c>
      <c r="B2" s="23" t="s">
        <v>344</v>
      </c>
      <c r="C2" s="23" t="s">
        <v>345</v>
      </c>
      <c r="D2" s="23" t="s">
        <v>1156</v>
      </c>
      <c r="E2" s="23" t="s">
        <v>358</v>
      </c>
      <c r="F2" s="23" t="s">
        <v>902</v>
      </c>
      <c r="G2" s="56" t="s">
        <v>1146</v>
      </c>
      <c r="H2" s="23" t="s">
        <v>360</v>
      </c>
      <c r="I2" s="23" t="s">
        <v>361</v>
      </c>
      <c r="J2" s="23" t="s">
        <v>359</v>
      </c>
      <c r="K2" s="23" t="s">
        <v>362</v>
      </c>
      <c r="L2" s="56" t="s">
        <v>363</v>
      </c>
      <c r="M2" s="23" t="s">
        <v>359</v>
      </c>
      <c r="N2" s="56" t="s">
        <v>365</v>
      </c>
      <c r="O2" s="56" t="s">
        <v>364</v>
      </c>
      <c r="P2" s="23" t="s">
        <v>359</v>
      </c>
      <c r="Q2" s="76" t="s">
        <v>376</v>
      </c>
    </row>
    <row r="3" spans="1:17">
      <c r="A3" s="4" t="s">
        <v>1144</v>
      </c>
      <c r="B3" s="4" t="s">
        <v>1145</v>
      </c>
      <c r="C3" s="4" t="s">
        <v>1151</v>
      </c>
      <c r="D3" s="12">
        <v>180</v>
      </c>
      <c r="E3" s="12"/>
      <c r="F3" s="12" t="s">
        <v>2</v>
      </c>
      <c r="G3" s="59">
        <v>10.57</v>
      </c>
      <c r="H3" s="42">
        <f>G3/(1-0.4)</f>
        <v>17.616666666666667</v>
      </c>
      <c r="I3" s="27" t="e">
        <f>C3*H3</f>
        <v>#VALUE!</v>
      </c>
      <c r="J3" s="41">
        <f>(H3-G3)/H3</f>
        <v>0.4</v>
      </c>
      <c r="K3" s="47">
        <f>G3/(1-0.35)</f>
        <v>16.261538461538461</v>
      </c>
      <c r="L3" s="28" t="e">
        <f>C3*K3</f>
        <v>#VALUE!</v>
      </c>
      <c r="M3" s="48">
        <f>(K3-G3)/K3</f>
        <v>0.34999999999999992</v>
      </c>
      <c r="N3" s="71">
        <f>G3/(1-0.3)</f>
        <v>15.100000000000001</v>
      </c>
      <c r="O3" s="31" t="e">
        <f>C3*N3</f>
        <v>#VALUE!</v>
      </c>
      <c r="P3" s="37">
        <f>(N3-G3)/N3</f>
        <v>0.30000000000000004</v>
      </c>
      <c r="Q3" s="83"/>
    </row>
    <row r="4" spans="1:17">
      <c r="A4" s="33" t="s">
        <v>1144</v>
      </c>
      <c r="B4" s="33" t="s">
        <v>1147</v>
      </c>
      <c r="C4" s="33" t="s">
        <v>1152</v>
      </c>
      <c r="D4" s="34">
        <v>180</v>
      </c>
      <c r="E4" s="34"/>
      <c r="F4" s="34" t="s">
        <v>2</v>
      </c>
      <c r="G4" s="57">
        <v>11.62</v>
      </c>
      <c r="H4" s="42">
        <f t="shared" ref="H4:H7" si="0">G4/(1-0.4)</f>
        <v>19.366666666666667</v>
      </c>
      <c r="I4" s="27" t="e">
        <f t="shared" ref="I4:I7" si="1">C4*H4</f>
        <v>#VALUE!</v>
      </c>
      <c r="J4" s="41">
        <f t="shared" ref="J4:J7" si="2">(H4-G4)/H4</f>
        <v>0.40000000000000008</v>
      </c>
      <c r="K4" s="47">
        <f t="shared" ref="K4:K7" si="3">G4/(1-0.35)</f>
        <v>17.876923076923074</v>
      </c>
      <c r="L4" s="28" t="e">
        <f t="shared" ref="L4:L7" si="4">C4*K4</f>
        <v>#VALUE!</v>
      </c>
      <c r="M4" s="48">
        <f t="shared" ref="M4:M7" si="5">(K4-G4)/K4</f>
        <v>0.34999999999999992</v>
      </c>
      <c r="N4" s="71">
        <f t="shared" ref="N4:N7" si="6">G4/(1-0.3)</f>
        <v>16.600000000000001</v>
      </c>
      <c r="O4" s="31" t="e">
        <f t="shared" ref="O4:O7" si="7">C4*N4</f>
        <v>#VALUE!</v>
      </c>
      <c r="P4" s="37">
        <f t="shared" ref="P4:P7" si="8">(N4-G4)/N4</f>
        <v>0.3000000000000001</v>
      </c>
      <c r="Q4" s="82"/>
    </row>
    <row r="5" spans="1:17">
      <c r="A5" s="33" t="s">
        <v>1144</v>
      </c>
      <c r="B5" s="33" t="s">
        <v>1148</v>
      </c>
      <c r="C5" s="33" t="s">
        <v>1153</v>
      </c>
      <c r="D5" s="34">
        <v>20</v>
      </c>
      <c r="E5" s="34"/>
      <c r="F5" s="34" t="s">
        <v>2</v>
      </c>
      <c r="G5" s="57">
        <v>14.68</v>
      </c>
      <c r="H5" s="42">
        <f t="shared" si="0"/>
        <v>24.466666666666669</v>
      </c>
      <c r="I5" s="27" t="e">
        <f t="shared" si="1"/>
        <v>#VALUE!</v>
      </c>
      <c r="J5" s="41">
        <f t="shared" si="2"/>
        <v>0.40000000000000008</v>
      </c>
      <c r="K5" s="47">
        <f t="shared" si="3"/>
        <v>22.584615384615383</v>
      </c>
      <c r="L5" s="28" t="e">
        <f t="shared" si="4"/>
        <v>#VALUE!</v>
      </c>
      <c r="M5" s="48">
        <f t="shared" si="5"/>
        <v>0.35</v>
      </c>
      <c r="N5" s="71">
        <f t="shared" si="6"/>
        <v>20.971428571428572</v>
      </c>
      <c r="O5" s="31" t="e">
        <f t="shared" si="7"/>
        <v>#VALUE!</v>
      </c>
      <c r="P5" s="37">
        <f t="shared" si="8"/>
        <v>0.30000000000000004</v>
      </c>
      <c r="Q5" s="82"/>
    </row>
    <row r="6" spans="1:17">
      <c r="A6" s="33" t="s">
        <v>1144</v>
      </c>
      <c r="B6" s="33" t="s">
        <v>1149</v>
      </c>
      <c r="C6" s="33" t="s">
        <v>1154</v>
      </c>
      <c r="D6" s="34">
        <v>240</v>
      </c>
      <c r="E6" s="34"/>
      <c r="F6" s="34" t="s">
        <v>2</v>
      </c>
      <c r="G6" s="57">
        <v>45.91</v>
      </c>
      <c r="H6" s="42">
        <f t="shared" si="0"/>
        <v>76.516666666666666</v>
      </c>
      <c r="I6" s="27" t="e">
        <f t="shared" si="1"/>
        <v>#VALUE!</v>
      </c>
      <c r="J6" s="41">
        <f t="shared" si="2"/>
        <v>0.4</v>
      </c>
      <c r="K6" s="47">
        <f t="shared" si="3"/>
        <v>70.630769230769218</v>
      </c>
      <c r="L6" s="28" t="e">
        <f t="shared" si="4"/>
        <v>#VALUE!</v>
      </c>
      <c r="M6" s="48">
        <f t="shared" si="5"/>
        <v>0.34999999999999992</v>
      </c>
      <c r="N6" s="71">
        <f t="shared" si="6"/>
        <v>65.585714285714289</v>
      </c>
      <c r="O6" s="31" t="e">
        <f t="shared" si="7"/>
        <v>#VALUE!</v>
      </c>
      <c r="P6" s="37">
        <f t="shared" si="8"/>
        <v>0.3000000000000001</v>
      </c>
      <c r="Q6" s="82"/>
    </row>
    <row r="7" spans="1:17">
      <c r="A7" s="33" t="s">
        <v>1144</v>
      </c>
      <c r="B7" s="33" t="s">
        <v>1150</v>
      </c>
      <c r="C7" s="33" t="s">
        <v>1155</v>
      </c>
      <c r="D7" s="34">
        <v>240</v>
      </c>
      <c r="E7" s="34"/>
      <c r="F7" s="34" t="s">
        <v>2</v>
      </c>
      <c r="G7" s="57">
        <v>36.33</v>
      </c>
      <c r="H7" s="42">
        <f t="shared" si="0"/>
        <v>60.55</v>
      </c>
      <c r="I7" s="27" t="e">
        <f t="shared" si="1"/>
        <v>#VALUE!</v>
      </c>
      <c r="J7" s="41">
        <f t="shared" si="2"/>
        <v>0.4</v>
      </c>
      <c r="K7" s="47">
        <f t="shared" si="3"/>
        <v>55.892307692307689</v>
      </c>
      <c r="L7" s="28" t="e">
        <f t="shared" si="4"/>
        <v>#VALUE!</v>
      </c>
      <c r="M7" s="48">
        <f t="shared" si="5"/>
        <v>0.35</v>
      </c>
      <c r="N7" s="71">
        <f t="shared" si="6"/>
        <v>51.9</v>
      </c>
      <c r="O7" s="31" t="e">
        <f t="shared" si="7"/>
        <v>#VALUE!</v>
      </c>
      <c r="P7" s="37">
        <f t="shared" si="8"/>
        <v>0.3</v>
      </c>
      <c r="Q7" s="82"/>
    </row>
    <row r="8" spans="1:17">
      <c r="A8" s="33" t="s">
        <v>1144</v>
      </c>
      <c r="B8" s="33"/>
      <c r="C8" s="33"/>
      <c r="D8" s="34"/>
      <c r="E8" s="34"/>
      <c r="F8" s="34" t="s">
        <v>2</v>
      </c>
      <c r="G8" s="57"/>
      <c r="H8" s="42"/>
      <c r="I8" s="65"/>
      <c r="J8" s="41"/>
      <c r="K8" s="47"/>
      <c r="L8" s="68"/>
      <c r="M8" s="48"/>
      <c r="N8" s="71"/>
      <c r="O8" s="71"/>
      <c r="P8" s="36"/>
      <c r="Q8" s="82"/>
    </row>
    <row r="9" spans="1:17">
      <c r="A9" s="7" t="s">
        <v>1144</v>
      </c>
      <c r="B9" s="7"/>
      <c r="C9" s="7"/>
      <c r="D9" s="14"/>
      <c r="E9" s="14"/>
      <c r="F9" s="14" t="s">
        <v>2</v>
      </c>
      <c r="G9" s="58"/>
      <c r="H9" s="44"/>
      <c r="I9" s="66"/>
      <c r="J9" s="43"/>
      <c r="K9" s="49"/>
      <c r="L9" s="69"/>
      <c r="M9" s="50"/>
      <c r="N9" s="72"/>
      <c r="O9" s="72"/>
      <c r="P9" s="18"/>
      <c r="Q9" s="84"/>
    </row>
    <row r="15" spans="1:17" ht="30">
      <c r="A15" s="161" t="s">
        <v>350</v>
      </c>
      <c r="B15" s="161" t="s">
        <v>344</v>
      </c>
      <c r="C15" s="161" t="s">
        <v>345</v>
      </c>
      <c r="D15" s="161" t="s">
        <v>1156</v>
      </c>
      <c r="E15" s="161" t="s">
        <v>902</v>
      </c>
      <c r="F15" s="161" t="s">
        <v>360</v>
      </c>
      <c r="G15" s="15"/>
      <c r="J15" s="60"/>
      <c r="M15" s="60"/>
      <c r="N15" s="15"/>
      <c r="P15"/>
      <c r="Q15"/>
    </row>
    <row r="16" spans="1:17">
      <c r="A16" s="33" t="s">
        <v>1144</v>
      </c>
      <c r="B16" s="33" t="s">
        <v>1145</v>
      </c>
      <c r="C16" s="33" t="s">
        <v>1151</v>
      </c>
      <c r="D16" s="34">
        <v>180</v>
      </c>
      <c r="E16" s="34" t="s">
        <v>2</v>
      </c>
      <c r="F16" s="42">
        <v>17.62</v>
      </c>
      <c r="G16" s="198"/>
      <c r="J16" s="60"/>
      <c r="M16" s="60"/>
      <c r="N16" s="15"/>
      <c r="P16"/>
      <c r="Q16"/>
    </row>
    <row r="17" spans="1:17">
      <c r="A17" s="33" t="s">
        <v>1144</v>
      </c>
      <c r="B17" s="33" t="s">
        <v>1147</v>
      </c>
      <c r="C17" s="33" t="s">
        <v>1152</v>
      </c>
      <c r="D17" s="34">
        <v>180</v>
      </c>
      <c r="E17" s="34" t="s">
        <v>2</v>
      </c>
      <c r="F17" s="42">
        <v>19.37</v>
      </c>
      <c r="G17" s="198"/>
      <c r="J17" s="60"/>
      <c r="M17" s="60"/>
      <c r="N17" s="15"/>
      <c r="P17"/>
      <c r="Q17"/>
    </row>
    <row r="18" spans="1:17">
      <c r="A18" s="33" t="s">
        <v>1144</v>
      </c>
      <c r="B18" s="33" t="s">
        <v>1148</v>
      </c>
      <c r="C18" s="33" t="s">
        <v>1153</v>
      </c>
      <c r="D18" s="34">
        <v>20</v>
      </c>
      <c r="E18" s="34" t="s">
        <v>2</v>
      </c>
      <c r="F18" s="42">
        <v>24.47</v>
      </c>
      <c r="G18" s="198"/>
      <c r="J18" s="60"/>
      <c r="M18" s="60"/>
      <c r="N18" s="15"/>
      <c r="P18"/>
      <c r="Q18"/>
    </row>
    <row r="19" spans="1:17">
      <c r="A19" s="33" t="s">
        <v>1144</v>
      </c>
      <c r="B19" s="33" t="s">
        <v>1149</v>
      </c>
      <c r="C19" s="33" t="s">
        <v>1154</v>
      </c>
      <c r="D19" s="34">
        <v>240</v>
      </c>
      <c r="E19" s="34" t="s">
        <v>2</v>
      </c>
      <c r="F19" s="42">
        <v>76.52</v>
      </c>
      <c r="G19" s="198"/>
      <c r="J19" s="60"/>
      <c r="M19" s="60"/>
      <c r="N19" s="15"/>
      <c r="P19"/>
      <c r="Q19"/>
    </row>
    <row r="20" spans="1:17">
      <c r="A20" s="7" t="s">
        <v>1144</v>
      </c>
      <c r="B20" s="7" t="s">
        <v>1150</v>
      </c>
      <c r="C20" s="7" t="s">
        <v>1155</v>
      </c>
      <c r="D20" s="14">
        <v>240</v>
      </c>
      <c r="E20" s="14" t="s">
        <v>2</v>
      </c>
      <c r="F20" s="44">
        <v>60.55</v>
      </c>
      <c r="G20" s="198"/>
      <c r="J20" s="60"/>
      <c r="M20" s="60"/>
      <c r="N20" s="15"/>
      <c r="P20"/>
      <c r="Q20"/>
    </row>
  </sheetData>
  <mergeCells count="3">
    <mergeCell ref="H1:J1"/>
    <mergeCell ref="K1:M1"/>
    <mergeCell ref="N1:P1"/>
  </mergeCells>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38"/>
  <sheetViews>
    <sheetView zoomScale="85" zoomScaleNormal="85" zoomScalePageLayoutView="85" workbookViewId="0">
      <pane xSplit="4" ySplit="2" topLeftCell="E148" activePane="bottomRight" state="frozen"/>
      <selection activeCell="I27" sqref="I27"/>
      <selection pane="topRight" activeCell="I27" sqref="I27"/>
      <selection pane="bottomLeft" activeCell="I27" sqref="I27"/>
      <selection pane="bottomRight" sqref="A1:XFD1048576"/>
    </sheetView>
  </sheetViews>
  <sheetFormatPr defaultColWidth="8.85546875" defaultRowHeight="15"/>
  <cols>
    <col min="1" max="1" width="14.140625" bestFit="1" customWidth="1"/>
    <col min="2" max="2" width="17.28515625" hidden="1" customWidth="1"/>
    <col min="3" max="3" width="13.42578125" bestFit="1" customWidth="1"/>
    <col min="4" max="4" width="45.7109375" bestFit="1" customWidth="1"/>
    <col min="5" max="5" width="7.42578125" style="15" bestFit="1" customWidth="1"/>
    <col min="6" max="6" width="4.85546875" style="15" bestFit="1" customWidth="1"/>
    <col min="7" max="7" width="9.140625" style="15" bestFit="1" customWidth="1"/>
    <col min="8" max="8" width="9.85546875" style="60" bestFit="1" customWidth="1"/>
    <col min="9" max="9" width="10" style="60" bestFit="1" customWidth="1"/>
    <col min="10" max="10" width="9.140625" style="15" bestFit="1" customWidth="1"/>
    <col min="11" max="11" width="8.85546875" style="15" bestFit="1" customWidth="1"/>
    <col min="12" max="13" width="9.28515625" style="15" customWidth="1"/>
    <col min="14" max="14" width="9.28515625" style="60" customWidth="1"/>
    <col min="15" max="15" width="9.28515625" style="15" customWidth="1"/>
    <col min="16" max="17" width="9.28515625" style="60" customWidth="1"/>
    <col min="18" max="18" width="9.28515625" style="15" customWidth="1"/>
    <col min="19" max="20" width="10.7109375" style="3" customWidth="1"/>
    <col min="21" max="25" width="8.85546875" style="60"/>
    <col min="26" max="26" width="10.28515625" style="60" bestFit="1" customWidth="1"/>
  </cols>
  <sheetData>
    <row r="1" spans="1:26">
      <c r="C1" s="1"/>
      <c r="D1" s="1"/>
      <c r="E1" s="11"/>
      <c r="F1" s="11"/>
      <c r="G1" s="11"/>
      <c r="H1" s="55"/>
      <c r="I1" s="55"/>
      <c r="J1" s="542" t="s">
        <v>347</v>
      </c>
      <c r="K1" s="543"/>
      <c r="L1" s="544"/>
      <c r="M1" s="545" t="s">
        <v>348</v>
      </c>
      <c r="N1" s="546"/>
      <c r="O1" s="547"/>
      <c r="P1" s="557" t="s">
        <v>369</v>
      </c>
      <c r="Q1" s="558"/>
      <c r="R1" s="559"/>
      <c r="S1" s="2" t="s">
        <v>347</v>
      </c>
      <c r="T1" s="2" t="s">
        <v>348</v>
      </c>
    </row>
    <row r="2" spans="1:26" s="26" customFormat="1" ht="45">
      <c r="A2" s="24" t="s">
        <v>350</v>
      </c>
      <c r="B2" s="24" t="s">
        <v>368</v>
      </c>
      <c r="C2" s="24" t="s">
        <v>344</v>
      </c>
      <c r="D2" s="24" t="s">
        <v>345</v>
      </c>
      <c r="E2" s="23" t="s">
        <v>358</v>
      </c>
      <c r="F2" s="23" t="s">
        <v>902</v>
      </c>
      <c r="G2" s="23" t="s">
        <v>357</v>
      </c>
      <c r="H2" s="56" t="s">
        <v>356</v>
      </c>
      <c r="I2" s="56" t="s">
        <v>906</v>
      </c>
      <c r="J2" s="23" t="s">
        <v>360</v>
      </c>
      <c r="K2" s="23" t="s">
        <v>361</v>
      </c>
      <c r="L2" s="23" t="s">
        <v>359</v>
      </c>
      <c r="M2" s="23" t="s">
        <v>362</v>
      </c>
      <c r="N2" s="56" t="s">
        <v>363</v>
      </c>
      <c r="O2" s="23" t="s">
        <v>359</v>
      </c>
      <c r="P2" s="56" t="s">
        <v>365</v>
      </c>
      <c r="Q2" s="56" t="s">
        <v>364</v>
      </c>
      <c r="R2" s="23" t="s">
        <v>359</v>
      </c>
      <c r="S2" s="25" t="s">
        <v>349</v>
      </c>
      <c r="T2" s="25" t="s">
        <v>349</v>
      </c>
      <c r="U2" s="76" t="s">
        <v>371</v>
      </c>
      <c r="V2" s="76" t="s">
        <v>372</v>
      </c>
      <c r="W2" s="76" t="s">
        <v>373</v>
      </c>
      <c r="X2" s="76" t="s">
        <v>374</v>
      </c>
      <c r="Y2" s="76" t="s">
        <v>375</v>
      </c>
      <c r="Z2" s="76" t="s">
        <v>376</v>
      </c>
    </row>
    <row r="3" spans="1:26">
      <c r="A3" s="5" t="s">
        <v>352</v>
      </c>
      <c r="B3" s="33"/>
      <c r="C3" s="5" t="s">
        <v>116</v>
      </c>
      <c r="D3" s="5" t="s">
        <v>117</v>
      </c>
      <c r="E3" s="13">
        <v>20</v>
      </c>
      <c r="F3" s="13" t="s">
        <v>2</v>
      </c>
      <c r="G3" s="13">
        <v>32</v>
      </c>
      <c r="H3" s="57">
        <v>2.68</v>
      </c>
      <c r="I3" s="57">
        <f>E3*H3</f>
        <v>53.6</v>
      </c>
      <c r="J3" s="42">
        <f>K3/E3</f>
        <v>5.625</v>
      </c>
      <c r="K3" s="27">
        <f>S3</f>
        <v>112.5</v>
      </c>
      <c r="L3" s="19">
        <f>(J3-H3)/J3</f>
        <v>0.52355555555555555</v>
      </c>
      <c r="M3" s="47">
        <f>N3/E3</f>
        <v>4.5</v>
      </c>
      <c r="N3" s="29">
        <f>T3</f>
        <v>90</v>
      </c>
      <c r="O3" s="20">
        <f t="shared" ref="O3:O34" si="0">(M3-H3)/M3</f>
        <v>0.40444444444444438</v>
      </c>
      <c r="P3" s="71">
        <v>3.95</v>
      </c>
      <c r="Q3" s="31">
        <f t="shared" ref="Q3:Q25" si="1">E3*P3</f>
        <v>79</v>
      </c>
      <c r="R3" s="21">
        <f t="shared" ref="R3:R30" si="2">(P3-H3)/P3</f>
        <v>0.32151898734177214</v>
      </c>
      <c r="S3" s="51">
        <v>112.5</v>
      </c>
      <c r="T3" s="51">
        <v>90</v>
      </c>
      <c r="U3" s="74">
        <v>3.95</v>
      </c>
      <c r="V3" s="77"/>
      <c r="W3" s="77"/>
      <c r="X3" s="77"/>
      <c r="Y3" s="77">
        <v>3.75</v>
      </c>
      <c r="Z3" s="83">
        <v>153154</v>
      </c>
    </row>
    <row r="4" spans="1:26">
      <c r="A4" s="5" t="s">
        <v>352</v>
      </c>
      <c r="B4" s="33"/>
      <c r="C4" s="5" t="s">
        <v>118</v>
      </c>
      <c r="D4" s="5" t="s">
        <v>119</v>
      </c>
      <c r="E4" s="13">
        <v>20</v>
      </c>
      <c r="F4" s="13" t="s">
        <v>2</v>
      </c>
      <c r="G4" s="13">
        <v>32</v>
      </c>
      <c r="H4" s="57">
        <v>2.68</v>
      </c>
      <c r="I4" s="57">
        <f t="shared" ref="I4:I68" si="3">E4*H4</f>
        <v>53.6</v>
      </c>
      <c r="J4" s="42">
        <f t="shared" ref="J4:J66" si="4">K4/E4</f>
        <v>5.625</v>
      </c>
      <c r="K4" s="27">
        <f t="shared" ref="K4:K66" si="5">S4</f>
        <v>112.5</v>
      </c>
      <c r="L4" s="19">
        <f t="shared" ref="L4:L29" si="6">(J4-H4)/J4</f>
        <v>0.52355555555555555</v>
      </c>
      <c r="M4" s="47">
        <f t="shared" ref="M4:M66" si="7">N4/E4</f>
        <v>4.5</v>
      </c>
      <c r="N4" s="28">
        <f t="shared" ref="N4:N66" si="8">T4</f>
        <v>90</v>
      </c>
      <c r="O4" s="20">
        <f t="shared" si="0"/>
        <v>0.40444444444444438</v>
      </c>
      <c r="P4" s="71">
        <v>3.95</v>
      </c>
      <c r="Q4" s="31">
        <f t="shared" si="1"/>
        <v>79</v>
      </c>
      <c r="R4" s="21">
        <f t="shared" si="2"/>
        <v>0.32151898734177214</v>
      </c>
      <c r="S4" s="51">
        <v>112.5</v>
      </c>
      <c r="T4" s="51">
        <v>90</v>
      </c>
      <c r="U4" s="74">
        <v>3.95</v>
      </c>
      <c r="V4" s="77"/>
      <c r="W4" s="77"/>
      <c r="X4" s="77"/>
      <c r="Y4" s="77">
        <v>3.75</v>
      </c>
      <c r="Z4" s="82">
        <v>153154</v>
      </c>
    </row>
    <row r="5" spans="1:26">
      <c r="A5" s="5" t="s">
        <v>352</v>
      </c>
      <c r="B5" s="33"/>
      <c r="C5" s="5" t="s">
        <v>120</v>
      </c>
      <c r="D5" s="5" t="s">
        <v>121</v>
      </c>
      <c r="E5" s="13">
        <v>20</v>
      </c>
      <c r="F5" s="13" t="s">
        <v>2</v>
      </c>
      <c r="G5" s="13">
        <v>32</v>
      </c>
      <c r="H5" s="57">
        <v>2.68</v>
      </c>
      <c r="I5" s="57">
        <f t="shared" si="3"/>
        <v>53.6</v>
      </c>
      <c r="J5" s="42">
        <f t="shared" si="4"/>
        <v>5.625</v>
      </c>
      <c r="K5" s="27">
        <f t="shared" si="5"/>
        <v>112.5</v>
      </c>
      <c r="L5" s="19">
        <f t="shared" si="6"/>
        <v>0.52355555555555555</v>
      </c>
      <c r="M5" s="47">
        <f t="shared" si="7"/>
        <v>4.5</v>
      </c>
      <c r="N5" s="28">
        <f t="shared" si="8"/>
        <v>90</v>
      </c>
      <c r="O5" s="20">
        <f t="shared" si="0"/>
        <v>0.40444444444444438</v>
      </c>
      <c r="P5" s="71">
        <v>3.95</v>
      </c>
      <c r="Q5" s="31">
        <f t="shared" si="1"/>
        <v>79</v>
      </c>
      <c r="R5" s="21">
        <f t="shared" si="2"/>
        <v>0.32151898734177214</v>
      </c>
      <c r="S5" s="51">
        <v>112.5</v>
      </c>
      <c r="T5" s="51">
        <v>90</v>
      </c>
      <c r="U5" s="74">
        <v>3.95</v>
      </c>
      <c r="V5" s="77"/>
      <c r="W5" s="77"/>
      <c r="X5" s="77"/>
      <c r="Y5" s="77">
        <v>3.75</v>
      </c>
      <c r="Z5" s="82">
        <v>153154</v>
      </c>
    </row>
    <row r="6" spans="1:26">
      <c r="A6" s="5" t="s">
        <v>352</v>
      </c>
      <c r="B6" s="33"/>
      <c r="C6" s="5" t="s">
        <v>122</v>
      </c>
      <c r="D6" s="5" t="s">
        <v>123</v>
      </c>
      <c r="E6" s="13">
        <v>20</v>
      </c>
      <c r="F6" s="13" t="s">
        <v>2</v>
      </c>
      <c r="G6" s="13">
        <v>32</v>
      </c>
      <c r="H6" s="57">
        <v>2.68</v>
      </c>
      <c r="I6" s="57">
        <f t="shared" si="3"/>
        <v>53.6</v>
      </c>
      <c r="J6" s="42">
        <f t="shared" si="4"/>
        <v>5.625</v>
      </c>
      <c r="K6" s="27">
        <f t="shared" si="5"/>
        <v>112.5</v>
      </c>
      <c r="L6" s="19">
        <f t="shared" si="6"/>
        <v>0.52355555555555555</v>
      </c>
      <c r="M6" s="47">
        <f t="shared" si="7"/>
        <v>4.5</v>
      </c>
      <c r="N6" s="28">
        <f t="shared" si="8"/>
        <v>90</v>
      </c>
      <c r="O6" s="20">
        <f t="shared" si="0"/>
        <v>0.40444444444444438</v>
      </c>
      <c r="P6" s="71">
        <v>3.95</v>
      </c>
      <c r="Q6" s="31">
        <f t="shared" si="1"/>
        <v>79</v>
      </c>
      <c r="R6" s="21">
        <f t="shared" si="2"/>
        <v>0.32151898734177214</v>
      </c>
      <c r="S6" s="51">
        <v>112.5</v>
      </c>
      <c r="T6" s="51">
        <v>90</v>
      </c>
      <c r="U6" s="74">
        <v>3.95</v>
      </c>
      <c r="V6" s="77"/>
      <c r="W6" s="77"/>
      <c r="X6" s="77"/>
      <c r="Y6" s="77">
        <v>3.75</v>
      </c>
      <c r="Z6" s="82">
        <v>153154</v>
      </c>
    </row>
    <row r="7" spans="1:26">
      <c r="A7" s="5" t="s">
        <v>352</v>
      </c>
      <c r="B7" s="33"/>
      <c r="C7" s="5" t="s">
        <v>124</v>
      </c>
      <c r="D7" s="5" t="s">
        <v>366</v>
      </c>
      <c r="E7" s="13">
        <v>10</v>
      </c>
      <c r="F7" s="13" t="s">
        <v>2</v>
      </c>
      <c r="G7" s="13">
        <v>32</v>
      </c>
      <c r="H7" s="57">
        <v>5.37</v>
      </c>
      <c r="I7" s="57">
        <f t="shared" si="3"/>
        <v>53.7</v>
      </c>
      <c r="J7" s="42">
        <f t="shared" si="4"/>
        <v>11.25</v>
      </c>
      <c r="K7" s="27">
        <f t="shared" si="5"/>
        <v>112.5</v>
      </c>
      <c r="L7" s="19">
        <f t="shared" si="6"/>
        <v>0.52266666666666661</v>
      </c>
      <c r="M7" s="47">
        <f t="shared" si="7"/>
        <v>9</v>
      </c>
      <c r="N7" s="28">
        <f t="shared" si="8"/>
        <v>90</v>
      </c>
      <c r="O7" s="20">
        <f t="shared" si="0"/>
        <v>0.40333333333333332</v>
      </c>
      <c r="P7" s="71">
        <v>7.9</v>
      </c>
      <c r="Q7" s="31">
        <f t="shared" si="1"/>
        <v>79</v>
      </c>
      <c r="R7" s="21">
        <f t="shared" si="2"/>
        <v>0.32025316455696207</v>
      </c>
      <c r="S7" s="51">
        <v>112.5</v>
      </c>
      <c r="T7" s="51">
        <v>90</v>
      </c>
      <c r="U7" s="74">
        <v>7.9</v>
      </c>
      <c r="V7" s="77"/>
      <c r="W7" s="77"/>
      <c r="X7" s="77"/>
      <c r="Y7" s="77"/>
      <c r="Z7" s="82">
        <v>153154</v>
      </c>
    </row>
    <row r="8" spans="1:26">
      <c r="A8" s="5" t="s">
        <v>352</v>
      </c>
      <c r="B8" s="33"/>
      <c r="C8" s="5" t="s">
        <v>125</v>
      </c>
      <c r="D8" s="5" t="s">
        <v>126</v>
      </c>
      <c r="E8" s="13">
        <v>20</v>
      </c>
      <c r="F8" s="13" t="s">
        <v>2</v>
      </c>
      <c r="G8" s="13">
        <v>32</v>
      </c>
      <c r="H8" s="57">
        <v>3.23</v>
      </c>
      <c r="I8" s="57">
        <f t="shared" si="3"/>
        <v>64.599999999999994</v>
      </c>
      <c r="J8" s="42">
        <f t="shared" si="4"/>
        <v>6.25</v>
      </c>
      <c r="K8" s="27">
        <f t="shared" si="5"/>
        <v>125</v>
      </c>
      <c r="L8" s="19">
        <f t="shared" si="6"/>
        <v>0.48320000000000002</v>
      </c>
      <c r="M8" s="47">
        <f t="shared" si="7"/>
        <v>5</v>
      </c>
      <c r="N8" s="28">
        <f t="shared" si="8"/>
        <v>100</v>
      </c>
      <c r="O8" s="20">
        <f t="shared" si="0"/>
        <v>0.35399999999999998</v>
      </c>
      <c r="P8" s="71">
        <v>4.6500000000000004</v>
      </c>
      <c r="Q8" s="31">
        <f t="shared" si="1"/>
        <v>93</v>
      </c>
      <c r="R8" s="21">
        <f t="shared" si="2"/>
        <v>0.30537634408602155</v>
      </c>
      <c r="S8" s="51">
        <v>125</v>
      </c>
      <c r="T8" s="51">
        <v>100</v>
      </c>
      <c r="U8" s="74">
        <v>4.6500000000000004</v>
      </c>
      <c r="V8" s="77"/>
      <c r="W8" s="77"/>
      <c r="X8" s="77"/>
      <c r="Y8" s="77"/>
      <c r="Z8" s="82">
        <v>153154</v>
      </c>
    </row>
    <row r="9" spans="1:26">
      <c r="A9" s="5" t="s">
        <v>352</v>
      </c>
      <c r="B9" s="33"/>
      <c r="C9" s="5" t="s">
        <v>127</v>
      </c>
      <c r="D9" s="5" t="s">
        <v>128</v>
      </c>
      <c r="E9" s="13">
        <v>20</v>
      </c>
      <c r="F9" s="13" t="s">
        <v>2</v>
      </c>
      <c r="G9" s="13">
        <v>32</v>
      </c>
      <c r="H9" s="57">
        <v>3.23</v>
      </c>
      <c r="I9" s="57">
        <f t="shared" si="3"/>
        <v>64.599999999999994</v>
      </c>
      <c r="J9" s="42">
        <f t="shared" si="4"/>
        <v>6.25</v>
      </c>
      <c r="K9" s="27">
        <f t="shared" si="5"/>
        <v>125</v>
      </c>
      <c r="L9" s="19">
        <f t="shared" si="6"/>
        <v>0.48320000000000002</v>
      </c>
      <c r="M9" s="47">
        <f t="shared" si="7"/>
        <v>5</v>
      </c>
      <c r="N9" s="28">
        <f t="shared" si="8"/>
        <v>100</v>
      </c>
      <c r="O9" s="20">
        <f t="shared" si="0"/>
        <v>0.35399999999999998</v>
      </c>
      <c r="P9" s="71">
        <v>4.6500000000000004</v>
      </c>
      <c r="Q9" s="31">
        <f t="shared" si="1"/>
        <v>93</v>
      </c>
      <c r="R9" s="21">
        <f t="shared" si="2"/>
        <v>0.30537634408602155</v>
      </c>
      <c r="S9" s="51">
        <v>125</v>
      </c>
      <c r="T9" s="51">
        <v>100</v>
      </c>
      <c r="U9" s="74">
        <v>4.6500000000000004</v>
      </c>
      <c r="V9" s="77"/>
      <c r="W9" s="77"/>
      <c r="X9" s="77"/>
      <c r="Y9" s="77"/>
      <c r="Z9" s="82">
        <v>153154</v>
      </c>
    </row>
    <row r="10" spans="1:26">
      <c r="A10" s="5" t="s">
        <v>352</v>
      </c>
      <c r="B10" s="33"/>
      <c r="C10" s="5" t="s">
        <v>129</v>
      </c>
      <c r="D10" s="5" t="s">
        <v>130</v>
      </c>
      <c r="E10" s="13">
        <v>20</v>
      </c>
      <c r="F10" s="13" t="s">
        <v>2</v>
      </c>
      <c r="G10" s="13">
        <v>32</v>
      </c>
      <c r="H10" s="57">
        <v>3.23</v>
      </c>
      <c r="I10" s="57">
        <f t="shared" si="3"/>
        <v>64.599999999999994</v>
      </c>
      <c r="J10" s="42">
        <f t="shared" si="4"/>
        <v>6.25</v>
      </c>
      <c r="K10" s="27">
        <f t="shared" si="5"/>
        <v>125</v>
      </c>
      <c r="L10" s="19">
        <f t="shared" si="6"/>
        <v>0.48320000000000002</v>
      </c>
      <c r="M10" s="47">
        <f t="shared" si="7"/>
        <v>5</v>
      </c>
      <c r="N10" s="28">
        <f t="shared" si="8"/>
        <v>100</v>
      </c>
      <c r="O10" s="20">
        <f t="shared" si="0"/>
        <v>0.35399999999999998</v>
      </c>
      <c r="P10" s="71">
        <v>4.6500000000000004</v>
      </c>
      <c r="Q10" s="31">
        <f t="shared" si="1"/>
        <v>93</v>
      </c>
      <c r="R10" s="21">
        <f t="shared" si="2"/>
        <v>0.30537634408602155</v>
      </c>
      <c r="S10" s="51">
        <v>125</v>
      </c>
      <c r="T10" s="51">
        <v>100</v>
      </c>
      <c r="U10" s="74">
        <v>4.6500000000000004</v>
      </c>
      <c r="V10" s="77"/>
      <c r="W10" s="77"/>
      <c r="X10" s="77"/>
      <c r="Y10" s="77"/>
      <c r="Z10" s="82">
        <v>153154</v>
      </c>
    </row>
    <row r="11" spans="1:26">
      <c r="A11" s="5" t="s">
        <v>352</v>
      </c>
      <c r="B11" s="33"/>
      <c r="C11" s="5" t="s">
        <v>131</v>
      </c>
      <c r="D11" s="5" t="s">
        <v>132</v>
      </c>
      <c r="E11" s="13">
        <v>20</v>
      </c>
      <c r="F11" s="13" t="s">
        <v>2</v>
      </c>
      <c r="G11" s="13">
        <v>32</v>
      </c>
      <c r="H11" s="57">
        <v>3.23</v>
      </c>
      <c r="I11" s="57">
        <f t="shared" si="3"/>
        <v>64.599999999999994</v>
      </c>
      <c r="J11" s="42">
        <f t="shared" si="4"/>
        <v>6.25</v>
      </c>
      <c r="K11" s="27">
        <f t="shared" si="5"/>
        <v>125</v>
      </c>
      <c r="L11" s="19">
        <f t="shared" si="6"/>
        <v>0.48320000000000002</v>
      </c>
      <c r="M11" s="47">
        <f t="shared" si="7"/>
        <v>5</v>
      </c>
      <c r="N11" s="28">
        <f t="shared" si="8"/>
        <v>100</v>
      </c>
      <c r="O11" s="20">
        <f t="shared" si="0"/>
        <v>0.35399999999999998</v>
      </c>
      <c r="P11" s="71">
        <v>4.6500000000000004</v>
      </c>
      <c r="Q11" s="31">
        <f t="shared" si="1"/>
        <v>93</v>
      </c>
      <c r="R11" s="21">
        <f t="shared" si="2"/>
        <v>0.30537634408602155</v>
      </c>
      <c r="S11" s="51">
        <v>125</v>
      </c>
      <c r="T11" s="51">
        <v>100</v>
      </c>
      <c r="U11" s="74">
        <v>4.6500000000000004</v>
      </c>
      <c r="V11" s="77"/>
      <c r="W11" s="77"/>
      <c r="X11" s="77"/>
      <c r="Y11" s="77"/>
      <c r="Z11" s="82">
        <v>153154</v>
      </c>
    </row>
    <row r="12" spans="1:26" s="10" customFormat="1">
      <c r="A12" s="5" t="s">
        <v>352</v>
      </c>
      <c r="B12" s="33"/>
      <c r="C12" s="5" t="s">
        <v>133</v>
      </c>
      <c r="D12" s="5" t="s">
        <v>134</v>
      </c>
      <c r="E12" s="13">
        <v>10</v>
      </c>
      <c r="F12" s="13" t="s">
        <v>2</v>
      </c>
      <c r="G12" s="13">
        <v>32</v>
      </c>
      <c r="H12" s="57">
        <v>6.27</v>
      </c>
      <c r="I12" s="57">
        <f t="shared" si="3"/>
        <v>62.699999999999996</v>
      </c>
      <c r="J12" s="42">
        <f t="shared" si="4"/>
        <v>12.5</v>
      </c>
      <c r="K12" s="27">
        <f t="shared" si="5"/>
        <v>125</v>
      </c>
      <c r="L12" s="19">
        <f t="shared" si="6"/>
        <v>0.49840000000000001</v>
      </c>
      <c r="M12" s="47">
        <f t="shared" si="7"/>
        <v>10</v>
      </c>
      <c r="N12" s="28">
        <f t="shared" si="8"/>
        <v>100</v>
      </c>
      <c r="O12" s="20">
        <f t="shared" si="0"/>
        <v>0.37300000000000005</v>
      </c>
      <c r="P12" s="71">
        <v>9.3000000000000007</v>
      </c>
      <c r="Q12" s="31">
        <f t="shared" si="1"/>
        <v>93</v>
      </c>
      <c r="R12" s="21">
        <f t="shared" si="2"/>
        <v>0.32580645161290334</v>
      </c>
      <c r="S12" s="51">
        <v>125</v>
      </c>
      <c r="T12" s="51">
        <v>100</v>
      </c>
      <c r="U12" s="74">
        <v>9.3000000000000007</v>
      </c>
      <c r="V12" s="77"/>
      <c r="W12" s="77"/>
      <c r="X12" s="77"/>
      <c r="Y12" s="77"/>
      <c r="Z12" s="82">
        <v>153154</v>
      </c>
    </row>
    <row r="13" spans="1:26">
      <c r="A13" s="5" t="s">
        <v>352</v>
      </c>
      <c r="B13" s="33"/>
      <c r="C13" s="5" t="s">
        <v>100</v>
      </c>
      <c r="D13" s="5" t="s">
        <v>101</v>
      </c>
      <c r="E13" s="13">
        <v>20</v>
      </c>
      <c r="F13" s="13" t="s">
        <v>2</v>
      </c>
      <c r="G13" s="13">
        <v>32</v>
      </c>
      <c r="H13" s="57">
        <v>2.68</v>
      </c>
      <c r="I13" s="57">
        <f t="shared" si="3"/>
        <v>53.6</v>
      </c>
      <c r="J13" s="42">
        <f t="shared" si="4"/>
        <v>5.625</v>
      </c>
      <c r="K13" s="27">
        <f t="shared" si="5"/>
        <v>112.5</v>
      </c>
      <c r="L13" s="19">
        <f t="shared" si="6"/>
        <v>0.52355555555555555</v>
      </c>
      <c r="M13" s="47">
        <f t="shared" si="7"/>
        <v>4.5</v>
      </c>
      <c r="N13" s="28">
        <f t="shared" si="8"/>
        <v>90</v>
      </c>
      <c r="O13" s="20">
        <f t="shared" si="0"/>
        <v>0.40444444444444438</v>
      </c>
      <c r="P13" s="71">
        <v>3.95</v>
      </c>
      <c r="Q13" s="31">
        <f t="shared" si="1"/>
        <v>79</v>
      </c>
      <c r="R13" s="21">
        <f t="shared" si="2"/>
        <v>0.32151898734177214</v>
      </c>
      <c r="S13" s="51">
        <v>112.5</v>
      </c>
      <c r="T13" s="51">
        <v>90</v>
      </c>
      <c r="U13" s="74">
        <v>3.95</v>
      </c>
      <c r="V13" s="77"/>
      <c r="W13" s="77"/>
      <c r="X13" s="77"/>
      <c r="Y13" s="77">
        <v>3.95</v>
      </c>
      <c r="Z13" s="82">
        <v>153154</v>
      </c>
    </row>
    <row r="14" spans="1:26">
      <c r="A14" s="5" t="s">
        <v>352</v>
      </c>
      <c r="B14" s="33"/>
      <c r="C14" s="5" t="s">
        <v>102</v>
      </c>
      <c r="D14" s="5" t="s">
        <v>103</v>
      </c>
      <c r="E14" s="13">
        <v>20</v>
      </c>
      <c r="F14" s="13" t="s">
        <v>2</v>
      </c>
      <c r="G14" s="13">
        <v>32</v>
      </c>
      <c r="H14" s="57">
        <v>2.68</v>
      </c>
      <c r="I14" s="57">
        <f t="shared" si="3"/>
        <v>53.6</v>
      </c>
      <c r="J14" s="42">
        <f t="shared" si="4"/>
        <v>5.625</v>
      </c>
      <c r="K14" s="27">
        <f t="shared" si="5"/>
        <v>112.5</v>
      </c>
      <c r="L14" s="19">
        <f t="shared" si="6"/>
        <v>0.52355555555555555</v>
      </c>
      <c r="M14" s="47">
        <f t="shared" si="7"/>
        <v>4.5</v>
      </c>
      <c r="N14" s="28">
        <f t="shared" si="8"/>
        <v>90</v>
      </c>
      <c r="O14" s="20">
        <f t="shared" si="0"/>
        <v>0.40444444444444438</v>
      </c>
      <c r="P14" s="71">
        <v>3.95</v>
      </c>
      <c r="Q14" s="31">
        <f t="shared" si="1"/>
        <v>79</v>
      </c>
      <c r="R14" s="21">
        <f t="shared" si="2"/>
        <v>0.32151898734177214</v>
      </c>
      <c r="S14" s="51">
        <v>112.5</v>
      </c>
      <c r="T14" s="51">
        <v>90</v>
      </c>
      <c r="U14" s="74">
        <v>3.95</v>
      </c>
      <c r="V14" s="77"/>
      <c r="W14" s="77"/>
      <c r="X14" s="77"/>
      <c r="Y14" s="77">
        <v>3.95</v>
      </c>
      <c r="Z14" s="82">
        <v>153154</v>
      </c>
    </row>
    <row r="15" spans="1:26">
      <c r="A15" s="5" t="s">
        <v>352</v>
      </c>
      <c r="B15" s="33"/>
      <c r="C15" s="5" t="s">
        <v>104</v>
      </c>
      <c r="D15" s="5" t="s">
        <v>105</v>
      </c>
      <c r="E15" s="13">
        <v>20</v>
      </c>
      <c r="F15" s="13" t="s">
        <v>2</v>
      </c>
      <c r="G15" s="13">
        <v>32</v>
      </c>
      <c r="H15" s="57">
        <v>2.68</v>
      </c>
      <c r="I15" s="57">
        <f t="shared" si="3"/>
        <v>53.6</v>
      </c>
      <c r="J15" s="42">
        <f t="shared" si="4"/>
        <v>5.625</v>
      </c>
      <c r="K15" s="27">
        <f t="shared" si="5"/>
        <v>112.5</v>
      </c>
      <c r="L15" s="19">
        <f t="shared" si="6"/>
        <v>0.52355555555555555</v>
      </c>
      <c r="M15" s="47">
        <f t="shared" si="7"/>
        <v>4.5</v>
      </c>
      <c r="N15" s="28">
        <f t="shared" si="8"/>
        <v>90</v>
      </c>
      <c r="O15" s="20">
        <f t="shared" si="0"/>
        <v>0.40444444444444438</v>
      </c>
      <c r="P15" s="71">
        <v>3.95</v>
      </c>
      <c r="Q15" s="31">
        <f t="shared" si="1"/>
        <v>79</v>
      </c>
      <c r="R15" s="21">
        <f t="shared" si="2"/>
        <v>0.32151898734177214</v>
      </c>
      <c r="S15" s="51">
        <v>112.5</v>
      </c>
      <c r="T15" s="51">
        <v>90</v>
      </c>
      <c r="U15" s="74">
        <v>3.95</v>
      </c>
      <c r="V15" s="77"/>
      <c r="W15" s="77"/>
      <c r="X15" s="77"/>
      <c r="Y15" s="77">
        <v>3.95</v>
      </c>
      <c r="Z15" s="82">
        <v>153154</v>
      </c>
    </row>
    <row r="16" spans="1:26">
      <c r="A16" s="5" t="s">
        <v>352</v>
      </c>
      <c r="B16" s="33"/>
      <c r="C16" s="5" t="s">
        <v>106</v>
      </c>
      <c r="D16" s="5" t="s">
        <v>107</v>
      </c>
      <c r="E16" s="13">
        <v>20</v>
      </c>
      <c r="F16" s="13" t="s">
        <v>2</v>
      </c>
      <c r="G16" s="13">
        <v>32</v>
      </c>
      <c r="H16" s="57">
        <v>2.68</v>
      </c>
      <c r="I16" s="57">
        <f t="shared" si="3"/>
        <v>53.6</v>
      </c>
      <c r="J16" s="42">
        <f t="shared" si="4"/>
        <v>5.625</v>
      </c>
      <c r="K16" s="27">
        <f t="shared" si="5"/>
        <v>112.5</v>
      </c>
      <c r="L16" s="19">
        <f t="shared" si="6"/>
        <v>0.52355555555555555</v>
      </c>
      <c r="M16" s="47">
        <f t="shared" si="7"/>
        <v>4.5</v>
      </c>
      <c r="N16" s="28">
        <f t="shared" si="8"/>
        <v>90</v>
      </c>
      <c r="O16" s="20">
        <f t="shared" si="0"/>
        <v>0.40444444444444438</v>
      </c>
      <c r="P16" s="71">
        <v>3.95</v>
      </c>
      <c r="Q16" s="31">
        <f t="shared" si="1"/>
        <v>79</v>
      </c>
      <c r="R16" s="21">
        <f t="shared" si="2"/>
        <v>0.32151898734177214</v>
      </c>
      <c r="S16" s="51">
        <v>112.5</v>
      </c>
      <c r="T16" s="51">
        <v>90</v>
      </c>
      <c r="U16" s="74">
        <v>3.95</v>
      </c>
      <c r="V16" s="77"/>
      <c r="W16" s="77"/>
      <c r="X16" s="77"/>
      <c r="Y16" s="77">
        <v>3.95</v>
      </c>
      <c r="Z16" s="82">
        <v>153154</v>
      </c>
    </row>
    <row r="17" spans="1:26">
      <c r="A17" s="5" t="s">
        <v>352</v>
      </c>
      <c r="B17" s="33"/>
      <c r="C17" s="5" t="s">
        <v>108</v>
      </c>
      <c r="D17" s="5" t="s">
        <v>109</v>
      </c>
      <c r="E17" s="13">
        <v>20</v>
      </c>
      <c r="F17" s="13" t="s">
        <v>2</v>
      </c>
      <c r="G17" s="13">
        <v>32</v>
      </c>
      <c r="H17" s="57">
        <v>3.23</v>
      </c>
      <c r="I17" s="57">
        <f t="shared" si="3"/>
        <v>64.599999999999994</v>
      </c>
      <c r="J17" s="42">
        <f t="shared" si="4"/>
        <v>6.25</v>
      </c>
      <c r="K17" s="27">
        <f t="shared" si="5"/>
        <v>125</v>
      </c>
      <c r="L17" s="19">
        <f t="shared" si="6"/>
        <v>0.48320000000000002</v>
      </c>
      <c r="M17" s="47">
        <f t="shared" si="7"/>
        <v>5</v>
      </c>
      <c r="N17" s="28">
        <f t="shared" si="8"/>
        <v>100</v>
      </c>
      <c r="O17" s="20">
        <f t="shared" si="0"/>
        <v>0.35399999999999998</v>
      </c>
      <c r="P17" s="71">
        <v>4.6500000000000004</v>
      </c>
      <c r="Q17" s="31">
        <f t="shared" si="1"/>
        <v>93</v>
      </c>
      <c r="R17" s="21">
        <f t="shared" si="2"/>
        <v>0.30537634408602155</v>
      </c>
      <c r="S17" s="51">
        <v>125</v>
      </c>
      <c r="T17" s="51">
        <v>100</v>
      </c>
      <c r="U17" s="74">
        <v>4.6500000000000004</v>
      </c>
      <c r="V17" s="77"/>
      <c r="W17" s="77"/>
      <c r="X17" s="77"/>
      <c r="Y17" s="77"/>
      <c r="Z17" s="82">
        <v>153154</v>
      </c>
    </row>
    <row r="18" spans="1:26">
      <c r="A18" s="5" t="s">
        <v>352</v>
      </c>
      <c r="B18" s="33"/>
      <c r="C18" s="5" t="s">
        <v>110</v>
      </c>
      <c r="D18" s="5" t="s">
        <v>111</v>
      </c>
      <c r="E18" s="13">
        <v>20</v>
      </c>
      <c r="F18" s="13" t="s">
        <v>2</v>
      </c>
      <c r="G18" s="13">
        <v>32</v>
      </c>
      <c r="H18" s="57">
        <v>3.23</v>
      </c>
      <c r="I18" s="57">
        <f t="shared" si="3"/>
        <v>64.599999999999994</v>
      </c>
      <c r="J18" s="42">
        <f t="shared" si="4"/>
        <v>6.25</v>
      </c>
      <c r="K18" s="27">
        <f t="shared" si="5"/>
        <v>125</v>
      </c>
      <c r="L18" s="19">
        <f t="shared" si="6"/>
        <v>0.48320000000000002</v>
      </c>
      <c r="M18" s="47">
        <f t="shared" si="7"/>
        <v>5</v>
      </c>
      <c r="N18" s="28">
        <f t="shared" si="8"/>
        <v>100</v>
      </c>
      <c r="O18" s="20">
        <f t="shared" si="0"/>
        <v>0.35399999999999998</v>
      </c>
      <c r="P18" s="71">
        <v>4.6500000000000004</v>
      </c>
      <c r="Q18" s="31">
        <f t="shared" si="1"/>
        <v>93</v>
      </c>
      <c r="R18" s="21">
        <f t="shared" si="2"/>
        <v>0.30537634408602155</v>
      </c>
      <c r="S18" s="51">
        <v>125</v>
      </c>
      <c r="T18" s="51">
        <v>100</v>
      </c>
      <c r="U18" s="74">
        <v>4.6500000000000004</v>
      </c>
      <c r="V18" s="77"/>
      <c r="W18" s="77"/>
      <c r="X18" s="77"/>
      <c r="Y18" s="77"/>
      <c r="Z18" s="82">
        <v>153154</v>
      </c>
    </row>
    <row r="19" spans="1:26">
      <c r="A19" s="5" t="s">
        <v>352</v>
      </c>
      <c r="B19" s="33"/>
      <c r="C19" s="5" t="s">
        <v>112</v>
      </c>
      <c r="D19" s="5" t="s">
        <v>113</v>
      </c>
      <c r="E19" s="13">
        <v>20</v>
      </c>
      <c r="F19" s="13" t="s">
        <v>2</v>
      </c>
      <c r="G19" s="13">
        <v>32</v>
      </c>
      <c r="H19" s="57">
        <v>3.23</v>
      </c>
      <c r="I19" s="57">
        <f t="shared" si="3"/>
        <v>64.599999999999994</v>
      </c>
      <c r="J19" s="42">
        <f t="shared" si="4"/>
        <v>6.25</v>
      </c>
      <c r="K19" s="27">
        <f t="shared" si="5"/>
        <v>125</v>
      </c>
      <c r="L19" s="19">
        <f t="shared" si="6"/>
        <v>0.48320000000000002</v>
      </c>
      <c r="M19" s="47">
        <f t="shared" si="7"/>
        <v>5</v>
      </c>
      <c r="N19" s="28">
        <f t="shared" si="8"/>
        <v>100</v>
      </c>
      <c r="O19" s="20">
        <f t="shared" si="0"/>
        <v>0.35399999999999998</v>
      </c>
      <c r="P19" s="71">
        <v>4.6500000000000004</v>
      </c>
      <c r="Q19" s="31">
        <f t="shared" si="1"/>
        <v>93</v>
      </c>
      <c r="R19" s="21">
        <f t="shared" si="2"/>
        <v>0.30537634408602155</v>
      </c>
      <c r="S19" s="51">
        <v>125</v>
      </c>
      <c r="T19" s="51">
        <v>100</v>
      </c>
      <c r="U19" s="74">
        <v>4.6500000000000004</v>
      </c>
      <c r="V19" s="77"/>
      <c r="W19" s="77"/>
      <c r="X19" s="77"/>
      <c r="Y19" s="77"/>
      <c r="Z19" s="82">
        <v>153154</v>
      </c>
    </row>
    <row r="20" spans="1:26">
      <c r="A20" s="5" t="s">
        <v>352</v>
      </c>
      <c r="B20" s="33"/>
      <c r="C20" s="5" t="s">
        <v>114</v>
      </c>
      <c r="D20" s="5" t="s">
        <v>115</v>
      </c>
      <c r="E20" s="13">
        <v>20</v>
      </c>
      <c r="F20" s="13" t="s">
        <v>2</v>
      </c>
      <c r="G20" s="13">
        <v>32</v>
      </c>
      <c r="H20" s="57">
        <v>3.23</v>
      </c>
      <c r="I20" s="57">
        <f t="shared" si="3"/>
        <v>64.599999999999994</v>
      </c>
      <c r="J20" s="42">
        <f t="shared" si="4"/>
        <v>6.25</v>
      </c>
      <c r="K20" s="27">
        <f t="shared" si="5"/>
        <v>125</v>
      </c>
      <c r="L20" s="19">
        <f t="shared" si="6"/>
        <v>0.48320000000000002</v>
      </c>
      <c r="M20" s="47">
        <f t="shared" si="7"/>
        <v>5</v>
      </c>
      <c r="N20" s="28">
        <f t="shared" si="8"/>
        <v>100</v>
      </c>
      <c r="O20" s="20">
        <f t="shared" si="0"/>
        <v>0.35399999999999998</v>
      </c>
      <c r="P20" s="71">
        <v>4.6500000000000004</v>
      </c>
      <c r="Q20" s="31">
        <f t="shared" si="1"/>
        <v>93</v>
      </c>
      <c r="R20" s="21">
        <f t="shared" si="2"/>
        <v>0.30537634408602155</v>
      </c>
      <c r="S20" s="51">
        <v>125</v>
      </c>
      <c r="T20" s="51">
        <v>100</v>
      </c>
      <c r="U20" s="74">
        <v>4.6500000000000004</v>
      </c>
      <c r="V20" s="77"/>
      <c r="W20" s="77"/>
      <c r="X20" s="77"/>
      <c r="Y20" s="77"/>
      <c r="Z20" s="82">
        <v>153154</v>
      </c>
    </row>
    <row r="21" spans="1:26">
      <c r="A21" s="5" t="s">
        <v>352</v>
      </c>
      <c r="B21" s="33"/>
      <c r="C21" s="5" t="s">
        <v>137</v>
      </c>
      <c r="D21" s="5" t="s">
        <v>138</v>
      </c>
      <c r="E21" s="13">
        <v>20</v>
      </c>
      <c r="F21" s="13" t="s">
        <v>2</v>
      </c>
      <c r="G21" s="13">
        <v>32</v>
      </c>
      <c r="H21" s="57">
        <v>4.58</v>
      </c>
      <c r="I21" s="57">
        <f t="shared" si="3"/>
        <v>91.6</v>
      </c>
      <c r="J21" s="42">
        <f t="shared" si="4"/>
        <v>9.75</v>
      </c>
      <c r="K21" s="27">
        <f t="shared" si="5"/>
        <v>195</v>
      </c>
      <c r="L21" s="19">
        <f t="shared" si="6"/>
        <v>0.53025641025641024</v>
      </c>
      <c r="M21" s="47">
        <f t="shared" si="7"/>
        <v>7.8</v>
      </c>
      <c r="N21" s="28">
        <f t="shared" si="8"/>
        <v>156</v>
      </c>
      <c r="O21" s="20">
        <f t="shared" si="0"/>
        <v>0.4128205128205128</v>
      </c>
      <c r="P21" s="71">
        <v>6.75</v>
      </c>
      <c r="Q21" s="31">
        <f t="shared" si="1"/>
        <v>135</v>
      </c>
      <c r="R21" s="21">
        <f t="shared" si="2"/>
        <v>0.32148148148148148</v>
      </c>
      <c r="S21" s="51">
        <v>195</v>
      </c>
      <c r="T21" s="51">
        <v>156</v>
      </c>
      <c r="U21" s="74">
        <v>6.75</v>
      </c>
      <c r="V21" s="77"/>
      <c r="W21" s="77"/>
      <c r="X21" s="77"/>
      <c r="Y21" s="77">
        <v>6.5</v>
      </c>
      <c r="Z21" s="82">
        <v>153154</v>
      </c>
    </row>
    <row r="22" spans="1:26">
      <c r="A22" s="5" t="s">
        <v>352</v>
      </c>
      <c r="B22" s="33"/>
      <c r="C22" s="5" t="s">
        <v>139</v>
      </c>
      <c r="D22" s="5" t="s">
        <v>140</v>
      </c>
      <c r="E22" s="13">
        <v>20</v>
      </c>
      <c r="F22" s="13" t="s">
        <v>2</v>
      </c>
      <c r="G22" s="13">
        <v>32</v>
      </c>
      <c r="H22" s="57">
        <v>4.58</v>
      </c>
      <c r="I22" s="57">
        <f t="shared" si="3"/>
        <v>91.6</v>
      </c>
      <c r="J22" s="42">
        <f t="shared" si="4"/>
        <v>9.75</v>
      </c>
      <c r="K22" s="27">
        <f t="shared" si="5"/>
        <v>195</v>
      </c>
      <c r="L22" s="19">
        <f t="shared" si="6"/>
        <v>0.53025641025641024</v>
      </c>
      <c r="M22" s="47">
        <f t="shared" si="7"/>
        <v>7.8</v>
      </c>
      <c r="N22" s="28">
        <f t="shared" si="8"/>
        <v>156</v>
      </c>
      <c r="O22" s="20">
        <f t="shared" si="0"/>
        <v>0.4128205128205128</v>
      </c>
      <c r="P22" s="71">
        <v>6.75</v>
      </c>
      <c r="Q22" s="31">
        <f t="shared" si="1"/>
        <v>135</v>
      </c>
      <c r="R22" s="21">
        <f t="shared" si="2"/>
        <v>0.32148148148148148</v>
      </c>
      <c r="S22" s="51">
        <v>195</v>
      </c>
      <c r="T22" s="51">
        <v>156</v>
      </c>
      <c r="U22" s="74">
        <v>6.75</v>
      </c>
      <c r="V22" s="77"/>
      <c r="W22" s="77"/>
      <c r="X22" s="77"/>
      <c r="Y22" s="77">
        <v>6.5</v>
      </c>
      <c r="Z22" s="82">
        <v>153154</v>
      </c>
    </row>
    <row r="23" spans="1:26">
      <c r="A23" s="5" t="s">
        <v>352</v>
      </c>
      <c r="B23" s="33"/>
      <c r="C23" s="5" t="s">
        <v>141</v>
      </c>
      <c r="D23" s="5" t="s">
        <v>142</v>
      </c>
      <c r="E23" s="13">
        <v>20</v>
      </c>
      <c r="F23" s="13" t="s">
        <v>2</v>
      </c>
      <c r="G23" s="13">
        <v>32</v>
      </c>
      <c r="H23" s="57">
        <v>4.58</v>
      </c>
      <c r="I23" s="57">
        <f t="shared" si="3"/>
        <v>91.6</v>
      </c>
      <c r="J23" s="42">
        <f t="shared" si="4"/>
        <v>9.75</v>
      </c>
      <c r="K23" s="27">
        <f t="shared" si="5"/>
        <v>195</v>
      </c>
      <c r="L23" s="41">
        <f t="shared" si="6"/>
        <v>0.53025641025641024</v>
      </c>
      <c r="M23" s="47">
        <f t="shared" si="7"/>
        <v>7.8</v>
      </c>
      <c r="N23" s="28">
        <f t="shared" si="8"/>
        <v>156</v>
      </c>
      <c r="O23" s="48">
        <f t="shared" si="0"/>
        <v>0.4128205128205128</v>
      </c>
      <c r="P23" s="71">
        <v>6.75</v>
      </c>
      <c r="Q23" s="31">
        <f t="shared" si="1"/>
        <v>135</v>
      </c>
      <c r="R23" s="21">
        <f t="shared" si="2"/>
        <v>0.32148148148148148</v>
      </c>
      <c r="S23" s="51">
        <v>195</v>
      </c>
      <c r="T23" s="51">
        <v>156</v>
      </c>
      <c r="U23" s="74">
        <v>6.75</v>
      </c>
      <c r="V23" s="77"/>
      <c r="W23" s="77"/>
      <c r="X23" s="77"/>
      <c r="Y23" s="77">
        <v>6.5</v>
      </c>
      <c r="Z23" s="82">
        <v>153154</v>
      </c>
    </row>
    <row r="24" spans="1:26">
      <c r="A24" s="5" t="s">
        <v>352</v>
      </c>
      <c r="B24" s="33"/>
      <c r="C24" s="5" t="s">
        <v>143</v>
      </c>
      <c r="D24" s="5" t="s">
        <v>144</v>
      </c>
      <c r="E24" s="13">
        <v>20</v>
      </c>
      <c r="F24" s="13" t="s">
        <v>2</v>
      </c>
      <c r="G24" s="13">
        <v>32</v>
      </c>
      <c r="H24" s="57">
        <v>4.58</v>
      </c>
      <c r="I24" s="57">
        <f t="shared" si="3"/>
        <v>91.6</v>
      </c>
      <c r="J24" s="42">
        <f t="shared" si="4"/>
        <v>9.75</v>
      </c>
      <c r="K24" s="27">
        <f t="shared" si="5"/>
        <v>195</v>
      </c>
      <c r="L24" s="41">
        <f t="shared" si="6"/>
        <v>0.53025641025641024</v>
      </c>
      <c r="M24" s="47">
        <f t="shared" si="7"/>
        <v>7.8</v>
      </c>
      <c r="N24" s="28">
        <f t="shared" si="8"/>
        <v>156</v>
      </c>
      <c r="O24" s="48">
        <f t="shared" si="0"/>
        <v>0.4128205128205128</v>
      </c>
      <c r="P24" s="71">
        <v>6.75</v>
      </c>
      <c r="Q24" s="31">
        <f t="shared" si="1"/>
        <v>135</v>
      </c>
      <c r="R24" s="21">
        <f t="shared" si="2"/>
        <v>0.32148148148148148</v>
      </c>
      <c r="S24" s="51">
        <v>195</v>
      </c>
      <c r="T24" s="51">
        <v>156</v>
      </c>
      <c r="U24" s="74">
        <v>6.75</v>
      </c>
      <c r="V24" s="77"/>
      <c r="W24" s="77"/>
      <c r="X24" s="77"/>
      <c r="Y24" s="77">
        <v>6.5</v>
      </c>
      <c r="Z24" s="82">
        <v>153154</v>
      </c>
    </row>
    <row r="25" spans="1:26" s="10" customFormat="1">
      <c r="A25" s="33" t="s">
        <v>352</v>
      </c>
      <c r="B25" s="33"/>
      <c r="C25" s="33" t="s">
        <v>135</v>
      </c>
      <c r="D25" s="33" t="s">
        <v>136</v>
      </c>
      <c r="E25" s="34">
        <v>30</v>
      </c>
      <c r="F25" s="34" t="s">
        <v>2</v>
      </c>
      <c r="G25" s="34">
        <v>32</v>
      </c>
      <c r="H25" s="57">
        <v>1.0900000000000001</v>
      </c>
      <c r="I25" s="58">
        <f t="shared" si="3"/>
        <v>32.700000000000003</v>
      </c>
      <c r="J25" s="42">
        <f t="shared" si="4"/>
        <v>2.4500000000000002</v>
      </c>
      <c r="K25" s="27">
        <f t="shared" si="5"/>
        <v>73.5</v>
      </c>
      <c r="L25" s="41">
        <f t="shared" si="6"/>
        <v>0.55510204081632653</v>
      </c>
      <c r="M25" s="47">
        <f t="shared" si="7"/>
        <v>1.96</v>
      </c>
      <c r="N25" s="28">
        <f t="shared" si="8"/>
        <v>58.8</v>
      </c>
      <c r="O25" s="48">
        <f t="shared" si="0"/>
        <v>0.4438775510204081</v>
      </c>
      <c r="P25" s="72">
        <v>1.6</v>
      </c>
      <c r="Q25" s="32">
        <f t="shared" si="1"/>
        <v>48</v>
      </c>
      <c r="R25" s="22">
        <f t="shared" si="2"/>
        <v>0.31874999999999998</v>
      </c>
      <c r="S25" s="52">
        <v>73.5</v>
      </c>
      <c r="T25" s="52">
        <v>58.8</v>
      </c>
      <c r="U25" s="75">
        <v>1.6</v>
      </c>
      <c r="V25" s="78"/>
      <c r="W25" s="78"/>
      <c r="X25" s="78"/>
      <c r="Y25" s="78"/>
      <c r="Z25" s="84">
        <v>153154</v>
      </c>
    </row>
    <row r="26" spans="1:26" s="10" customFormat="1">
      <c r="A26" s="4" t="s">
        <v>367</v>
      </c>
      <c r="B26" s="4"/>
      <c r="C26" s="4" t="s">
        <v>52</v>
      </c>
      <c r="D26" s="4" t="s">
        <v>53</v>
      </c>
      <c r="E26" s="12">
        <v>120</v>
      </c>
      <c r="F26" s="12" t="s">
        <v>2</v>
      </c>
      <c r="G26" s="12">
        <v>24</v>
      </c>
      <c r="H26" s="59">
        <v>1.19</v>
      </c>
      <c r="I26" s="57">
        <f t="shared" si="3"/>
        <v>142.79999999999998</v>
      </c>
      <c r="J26" s="40">
        <f t="shared" si="4"/>
        <v>2.1658333333333331</v>
      </c>
      <c r="K26" s="80">
        <f t="shared" si="5"/>
        <v>259.89999999999998</v>
      </c>
      <c r="L26" s="39">
        <f t="shared" ref="L26:L28" si="9">(J26-H26)/J26</f>
        <v>0.45055790688726427</v>
      </c>
      <c r="M26" s="45">
        <f t="shared" si="7"/>
        <v>1.9873333333333332</v>
      </c>
      <c r="N26" s="29">
        <f t="shared" si="8"/>
        <v>238.48</v>
      </c>
      <c r="O26" s="46">
        <f t="shared" si="0"/>
        <v>0.40120764844012075</v>
      </c>
      <c r="P26" s="71">
        <v>1.79</v>
      </c>
      <c r="Q26" s="71">
        <v>214.2</v>
      </c>
      <c r="R26" s="37">
        <f t="shared" si="2"/>
        <v>0.33519553072625702</v>
      </c>
      <c r="S26" s="53">
        <v>259.89999999999998</v>
      </c>
      <c r="T26" s="53">
        <v>238.48</v>
      </c>
      <c r="U26" s="77"/>
      <c r="V26" s="77"/>
      <c r="W26" s="77"/>
      <c r="X26" s="77">
        <v>2.1</v>
      </c>
      <c r="Y26" s="77"/>
      <c r="Z26" s="83">
        <v>153155</v>
      </c>
    </row>
    <row r="27" spans="1:26">
      <c r="A27" s="33" t="s">
        <v>367</v>
      </c>
      <c r="B27" s="33"/>
      <c r="C27" s="33" t="s">
        <v>50</v>
      </c>
      <c r="D27" s="33" t="s">
        <v>51</v>
      </c>
      <c r="E27" s="34">
        <v>80</v>
      </c>
      <c r="F27" s="34" t="s">
        <v>2</v>
      </c>
      <c r="G27" s="34">
        <v>24</v>
      </c>
      <c r="H27" s="57">
        <v>1.78</v>
      </c>
      <c r="I27" s="57">
        <f t="shared" si="3"/>
        <v>142.4</v>
      </c>
      <c r="J27" s="42">
        <f t="shared" si="4"/>
        <v>3.2396250000000002</v>
      </c>
      <c r="K27" s="27">
        <f t="shared" si="5"/>
        <v>259.17</v>
      </c>
      <c r="L27" s="41">
        <f t="shared" si="9"/>
        <v>0.45055369062777328</v>
      </c>
      <c r="M27" s="47">
        <f t="shared" si="7"/>
        <v>2.9726249999999999</v>
      </c>
      <c r="N27" s="28">
        <f t="shared" si="8"/>
        <v>237.81</v>
      </c>
      <c r="O27" s="48">
        <f t="shared" si="0"/>
        <v>0.40120264076363482</v>
      </c>
      <c r="P27" s="71">
        <v>2.67</v>
      </c>
      <c r="Q27" s="71">
        <f>E27*P27</f>
        <v>213.6</v>
      </c>
      <c r="R27" s="37">
        <f t="shared" si="2"/>
        <v>0.33333333333333331</v>
      </c>
      <c r="S27" s="51">
        <v>259.17</v>
      </c>
      <c r="T27" s="51">
        <v>237.81</v>
      </c>
      <c r="U27" s="77"/>
      <c r="V27" s="77"/>
      <c r="W27" s="77"/>
      <c r="X27" s="77"/>
      <c r="Y27" s="77"/>
      <c r="Z27" s="82">
        <v>153155</v>
      </c>
    </row>
    <row r="28" spans="1:26">
      <c r="A28" s="7" t="s">
        <v>367</v>
      </c>
      <c r="B28" s="7"/>
      <c r="C28" s="7" t="s">
        <v>48</v>
      </c>
      <c r="D28" s="7" t="s">
        <v>49</v>
      </c>
      <c r="E28" s="14">
        <v>40</v>
      </c>
      <c r="F28" s="14" t="s">
        <v>2</v>
      </c>
      <c r="G28" s="14">
        <v>24</v>
      </c>
      <c r="H28" s="58">
        <v>3.56</v>
      </c>
      <c r="I28" s="58">
        <f t="shared" si="3"/>
        <v>142.4</v>
      </c>
      <c r="J28" s="44">
        <f t="shared" si="4"/>
        <v>6.4792500000000004</v>
      </c>
      <c r="K28" s="81">
        <f t="shared" si="5"/>
        <v>259.17</v>
      </c>
      <c r="L28" s="43">
        <f t="shared" si="9"/>
        <v>0.45055369062777328</v>
      </c>
      <c r="M28" s="49">
        <f t="shared" si="7"/>
        <v>5.9452499999999997</v>
      </c>
      <c r="N28" s="30">
        <f t="shared" si="8"/>
        <v>237.81</v>
      </c>
      <c r="O28" s="50">
        <f t="shared" si="0"/>
        <v>0.40120264076363482</v>
      </c>
      <c r="P28" s="72">
        <v>5.34</v>
      </c>
      <c r="Q28" s="72">
        <f>E28*P28</f>
        <v>213.6</v>
      </c>
      <c r="R28" s="38">
        <f t="shared" si="2"/>
        <v>0.33333333333333331</v>
      </c>
      <c r="S28" s="52">
        <v>259.17</v>
      </c>
      <c r="T28" s="52">
        <v>237.81</v>
      </c>
      <c r="U28" s="78"/>
      <c r="V28" s="78"/>
      <c r="W28" s="78"/>
      <c r="X28" s="78"/>
      <c r="Y28" s="78"/>
      <c r="Z28" s="84">
        <v>153155</v>
      </c>
    </row>
    <row r="29" spans="1:26">
      <c r="A29" s="86" t="s">
        <v>353</v>
      </c>
      <c r="B29" s="86"/>
      <c r="C29" s="86" t="s">
        <v>145</v>
      </c>
      <c r="D29" s="86" t="s">
        <v>146</v>
      </c>
      <c r="E29" s="87">
        <v>100</v>
      </c>
      <c r="F29" s="87" t="s">
        <v>2</v>
      </c>
      <c r="G29" s="13">
        <f>VLOOKUP(C29,Pallets!B:F,5,FALSE)</f>
        <v>42</v>
      </c>
      <c r="H29" s="57">
        <v>0.28999999999999998</v>
      </c>
      <c r="I29" s="57">
        <f t="shared" si="3"/>
        <v>28.999999999999996</v>
      </c>
      <c r="J29" s="42">
        <f t="shared" si="4"/>
        <v>0.52780000000000005</v>
      </c>
      <c r="K29" s="27">
        <f t="shared" si="5"/>
        <v>52.78</v>
      </c>
      <c r="L29" s="41">
        <f t="shared" si="6"/>
        <v>0.45054945054945061</v>
      </c>
      <c r="M29" s="47">
        <f t="shared" si="7"/>
        <v>0.48430000000000001</v>
      </c>
      <c r="N29" s="28">
        <f t="shared" si="8"/>
        <v>48.43</v>
      </c>
      <c r="O29" s="48">
        <f t="shared" si="0"/>
        <v>0.40119760479041922</v>
      </c>
      <c r="P29" s="71">
        <f>Q29/E29</f>
        <v>0.435</v>
      </c>
      <c r="Q29" s="71">
        <v>43.5</v>
      </c>
      <c r="R29" s="37">
        <f t="shared" si="2"/>
        <v>0.33333333333333337</v>
      </c>
      <c r="S29" s="51">
        <v>52.78</v>
      </c>
      <c r="T29" s="51">
        <v>48.43</v>
      </c>
      <c r="U29" s="77"/>
      <c r="V29" s="77"/>
      <c r="W29" s="77"/>
      <c r="X29" s="77"/>
      <c r="Y29" s="77"/>
      <c r="Z29" s="83">
        <v>153153</v>
      </c>
    </row>
    <row r="30" spans="1:26">
      <c r="A30" s="86" t="s">
        <v>353</v>
      </c>
      <c r="B30" s="86"/>
      <c r="C30" s="86" t="s">
        <v>155</v>
      </c>
      <c r="D30" s="86" t="s">
        <v>156</v>
      </c>
      <c r="E30" s="87">
        <v>25</v>
      </c>
      <c r="F30" s="87" t="s">
        <v>2</v>
      </c>
      <c r="G30" s="34">
        <f>VLOOKUP(C30,Pallets!B:F,5,FALSE)</f>
        <v>52</v>
      </c>
      <c r="H30" s="57">
        <v>1.6</v>
      </c>
      <c r="I30" s="57">
        <f t="shared" si="3"/>
        <v>40</v>
      </c>
      <c r="J30" s="42">
        <f t="shared" si="4"/>
        <v>2.9156</v>
      </c>
      <c r="K30" s="27">
        <f t="shared" si="5"/>
        <v>72.89</v>
      </c>
      <c r="L30" s="41">
        <f>(J30-H30)/J30</f>
        <v>0.45122787762381666</v>
      </c>
      <c r="M30" s="47">
        <f t="shared" si="7"/>
        <v>2.6751999999999998</v>
      </c>
      <c r="N30" s="28">
        <f t="shared" si="8"/>
        <v>66.88</v>
      </c>
      <c r="O30" s="48">
        <f t="shared" si="0"/>
        <v>0.40191387559808606</v>
      </c>
      <c r="P30" s="71">
        <f>Q30/E30</f>
        <v>2.4032</v>
      </c>
      <c r="Q30" s="71">
        <v>60.08</v>
      </c>
      <c r="R30" s="37">
        <f t="shared" si="2"/>
        <v>0.33422103861517971</v>
      </c>
      <c r="S30" s="51">
        <v>72.89</v>
      </c>
      <c r="T30" s="51">
        <v>66.88</v>
      </c>
      <c r="U30" s="77"/>
      <c r="V30" s="77"/>
      <c r="W30" s="77"/>
      <c r="X30" s="77"/>
      <c r="Y30" s="77"/>
      <c r="Z30" s="82">
        <v>153153</v>
      </c>
    </row>
    <row r="31" spans="1:26">
      <c r="A31" s="86" t="s">
        <v>353</v>
      </c>
      <c r="B31" s="86"/>
      <c r="C31" s="86" t="s">
        <v>157</v>
      </c>
      <c r="D31" s="86" t="s">
        <v>158</v>
      </c>
      <c r="E31" s="87">
        <v>20</v>
      </c>
      <c r="F31" s="87" t="s">
        <v>2</v>
      </c>
      <c r="G31" s="34">
        <f>VLOOKUP(C31,Pallets!B:F,5,FALSE)</f>
        <v>40</v>
      </c>
      <c r="H31" s="57">
        <v>1.88</v>
      </c>
      <c r="I31" s="57">
        <f t="shared" si="3"/>
        <v>37.599999999999994</v>
      </c>
      <c r="J31" s="42">
        <f t="shared" si="4"/>
        <v>3.4234999999999998</v>
      </c>
      <c r="K31" s="27">
        <f t="shared" si="5"/>
        <v>68.47</v>
      </c>
      <c r="L31" s="41">
        <f t="shared" ref="L31:L35" si="10">(J31-H31)/J31</f>
        <v>0.45085438878340878</v>
      </c>
      <c r="M31" s="47">
        <f t="shared" si="7"/>
        <v>3.1414999999999997</v>
      </c>
      <c r="N31" s="28">
        <f t="shared" si="8"/>
        <v>62.83</v>
      </c>
      <c r="O31" s="48">
        <f t="shared" si="0"/>
        <v>0.40155976444373703</v>
      </c>
      <c r="P31" s="71">
        <f t="shared" ref="P31:P67" si="11">Q31/E31</f>
        <v>2.8214999999999999</v>
      </c>
      <c r="Q31" s="71">
        <v>56.43</v>
      </c>
      <c r="R31" s="37">
        <f t="shared" ref="R31:R34" si="12">(P31-H31)/P31</f>
        <v>0.33368775474038631</v>
      </c>
      <c r="S31" s="51">
        <v>68.47</v>
      </c>
      <c r="T31" s="51">
        <v>62.83</v>
      </c>
      <c r="U31" s="77"/>
      <c r="V31" s="77"/>
      <c r="W31" s="77"/>
      <c r="X31" s="77"/>
      <c r="Y31" s="77"/>
      <c r="Z31" s="82">
        <v>153153</v>
      </c>
    </row>
    <row r="32" spans="1:26">
      <c r="A32" s="86" t="s">
        <v>353</v>
      </c>
      <c r="B32" s="86"/>
      <c r="C32" s="86" t="s">
        <v>159</v>
      </c>
      <c r="D32" s="86" t="s">
        <v>160</v>
      </c>
      <c r="E32" s="87">
        <v>15</v>
      </c>
      <c r="F32" s="87" t="s">
        <v>2</v>
      </c>
      <c r="G32" s="34">
        <f>VLOOKUP(C32,Pallets!B:F,5,FALSE)</f>
        <v>48</v>
      </c>
      <c r="H32" s="57">
        <v>2.72</v>
      </c>
      <c r="I32" s="57">
        <f t="shared" si="3"/>
        <v>40.800000000000004</v>
      </c>
      <c r="J32" s="42">
        <f t="shared" si="4"/>
        <v>4.9466666666666672</v>
      </c>
      <c r="K32" s="27">
        <f t="shared" si="5"/>
        <v>74.2</v>
      </c>
      <c r="L32" s="41">
        <f t="shared" si="10"/>
        <v>0.45013477088948789</v>
      </c>
      <c r="M32" s="47">
        <f t="shared" si="7"/>
        <v>4.5393333333333334</v>
      </c>
      <c r="N32" s="28">
        <f t="shared" si="8"/>
        <v>68.09</v>
      </c>
      <c r="O32" s="48">
        <f t="shared" si="0"/>
        <v>0.40079306799823761</v>
      </c>
      <c r="P32" s="71">
        <f t="shared" si="11"/>
        <v>4.0773333333333328</v>
      </c>
      <c r="Q32" s="71">
        <v>61.16</v>
      </c>
      <c r="R32" s="37">
        <f t="shared" si="12"/>
        <v>0.33289731850882914</v>
      </c>
      <c r="S32" s="51">
        <v>74.2</v>
      </c>
      <c r="T32" s="51">
        <v>68.09</v>
      </c>
      <c r="U32" s="77"/>
      <c r="V32" s="77"/>
      <c r="W32" s="77"/>
      <c r="X32" s="77"/>
      <c r="Y32" s="77"/>
      <c r="Z32" s="82">
        <v>153153</v>
      </c>
    </row>
    <row r="33" spans="1:26">
      <c r="A33" s="86" t="s">
        <v>353</v>
      </c>
      <c r="B33" s="86"/>
      <c r="C33" s="86" t="s">
        <v>161</v>
      </c>
      <c r="D33" s="86" t="s">
        <v>162</v>
      </c>
      <c r="E33" s="87">
        <v>15</v>
      </c>
      <c r="F33" s="87" t="s">
        <v>2</v>
      </c>
      <c r="G33" s="34">
        <f>VLOOKUP(C33,Pallets!B:F,5,FALSE)</f>
        <v>42</v>
      </c>
      <c r="H33" s="57">
        <v>3.39</v>
      </c>
      <c r="I33" s="57">
        <f t="shared" si="3"/>
        <v>50.85</v>
      </c>
      <c r="J33" s="42">
        <f t="shared" si="4"/>
        <v>6.1760000000000002</v>
      </c>
      <c r="K33" s="27">
        <f t="shared" si="5"/>
        <v>92.64</v>
      </c>
      <c r="L33" s="41">
        <f t="shared" si="10"/>
        <v>0.45110103626943004</v>
      </c>
      <c r="M33" s="47">
        <f t="shared" si="7"/>
        <v>5.666666666666667</v>
      </c>
      <c r="N33" s="28">
        <f t="shared" si="8"/>
        <v>85</v>
      </c>
      <c r="O33" s="48">
        <f t="shared" si="0"/>
        <v>0.40176470588235297</v>
      </c>
      <c r="P33" s="71">
        <f t="shared" si="11"/>
        <v>5.09</v>
      </c>
      <c r="Q33" s="71">
        <v>76.349999999999994</v>
      </c>
      <c r="R33" s="37">
        <f t="shared" si="12"/>
        <v>0.33398821218074654</v>
      </c>
      <c r="S33" s="51">
        <v>92.64</v>
      </c>
      <c r="T33" s="51">
        <v>85</v>
      </c>
      <c r="U33" s="77"/>
      <c r="V33" s="77"/>
      <c r="W33" s="77"/>
      <c r="X33" s="77"/>
      <c r="Y33" s="77"/>
      <c r="Z33" s="82">
        <v>153153</v>
      </c>
    </row>
    <row r="34" spans="1:26">
      <c r="A34" s="86" t="s">
        <v>353</v>
      </c>
      <c r="B34" s="86"/>
      <c r="C34" s="86" t="s">
        <v>163</v>
      </c>
      <c r="D34" s="86" t="s">
        <v>164</v>
      </c>
      <c r="E34" s="87">
        <v>12</v>
      </c>
      <c r="F34" s="87" t="s">
        <v>2</v>
      </c>
      <c r="G34" s="34">
        <f>VLOOKUP(C34,Pallets!B:F,5,FALSE)</f>
        <v>42</v>
      </c>
      <c r="H34" s="57">
        <v>5.0199999999999996</v>
      </c>
      <c r="I34" s="57">
        <f t="shared" si="3"/>
        <v>60.239999999999995</v>
      </c>
      <c r="J34" s="42">
        <f t="shared" si="4"/>
        <v>9.1391666666666662</v>
      </c>
      <c r="K34" s="27">
        <f t="shared" si="5"/>
        <v>109.67</v>
      </c>
      <c r="L34" s="41">
        <f t="shared" si="10"/>
        <v>0.45071578371478072</v>
      </c>
      <c r="M34" s="47">
        <f t="shared" si="7"/>
        <v>8.3858333333333324</v>
      </c>
      <c r="N34" s="28">
        <f t="shared" si="8"/>
        <v>100.63</v>
      </c>
      <c r="O34" s="48">
        <f t="shared" si="0"/>
        <v>0.40137136042929544</v>
      </c>
      <c r="P34" s="71">
        <f t="shared" si="11"/>
        <v>7.5324999999999998</v>
      </c>
      <c r="Q34" s="71">
        <v>90.39</v>
      </c>
      <c r="R34" s="37">
        <f t="shared" si="12"/>
        <v>0.33355459674742782</v>
      </c>
      <c r="S34" s="51">
        <v>109.67</v>
      </c>
      <c r="T34" s="51">
        <v>100.63</v>
      </c>
      <c r="U34" s="77"/>
      <c r="V34" s="77"/>
      <c r="W34" s="77"/>
      <c r="X34" s="77"/>
      <c r="Y34" s="77"/>
      <c r="Z34" s="82">
        <v>153153</v>
      </c>
    </row>
    <row r="35" spans="1:26">
      <c r="A35" s="86" t="s">
        <v>353</v>
      </c>
      <c r="B35" s="86"/>
      <c r="C35" s="86" t="s">
        <v>165</v>
      </c>
      <c r="D35" s="86" t="s">
        <v>166</v>
      </c>
      <c r="E35" s="87">
        <v>50</v>
      </c>
      <c r="F35" s="87" t="s">
        <v>2</v>
      </c>
      <c r="G35" s="34">
        <f>VLOOKUP(C35,Pallets!B:F,5,FALSE)</f>
        <v>48</v>
      </c>
      <c r="H35" s="57">
        <v>1.27</v>
      </c>
      <c r="I35" s="57">
        <f t="shared" si="3"/>
        <v>63.5</v>
      </c>
      <c r="J35" s="42">
        <f t="shared" si="4"/>
        <v>2.3096000000000001</v>
      </c>
      <c r="K35" s="27">
        <f t="shared" si="5"/>
        <v>115.48</v>
      </c>
      <c r="L35" s="41">
        <f t="shared" si="10"/>
        <v>0.45012123311395913</v>
      </c>
      <c r="M35" s="47">
        <f t="shared" si="7"/>
        <v>2.1191999999999998</v>
      </c>
      <c r="N35" s="28">
        <f t="shared" si="8"/>
        <v>105.96</v>
      </c>
      <c r="O35" s="48">
        <f t="shared" ref="O35:O63" si="13">(M35-H35)/M35</f>
        <v>0.40071725179312939</v>
      </c>
      <c r="P35" s="71">
        <f t="shared" si="11"/>
        <v>1.9036000000000002</v>
      </c>
      <c r="Q35" s="31">
        <v>95.18</v>
      </c>
      <c r="R35" s="37">
        <f>(P35-H35)/P35</f>
        <v>0.33284303425089312</v>
      </c>
      <c r="S35" s="51">
        <v>115.48</v>
      </c>
      <c r="T35" s="51">
        <v>105.96</v>
      </c>
      <c r="U35" s="77"/>
      <c r="V35" s="77"/>
      <c r="W35" s="77"/>
      <c r="X35" s="77">
        <v>1.68</v>
      </c>
      <c r="Y35" s="77"/>
      <c r="Z35" s="82">
        <v>153153</v>
      </c>
    </row>
    <row r="36" spans="1:26">
      <c r="A36" s="86" t="s">
        <v>353</v>
      </c>
      <c r="B36" s="86"/>
      <c r="C36" s="86" t="s">
        <v>175</v>
      </c>
      <c r="D36" s="86" t="s">
        <v>176</v>
      </c>
      <c r="E36" s="87">
        <v>20</v>
      </c>
      <c r="F36" s="87" t="s">
        <v>2</v>
      </c>
      <c r="G36" s="34">
        <f>VLOOKUP(C36,Pallets!B:F,5,FALSE)</f>
        <v>52</v>
      </c>
      <c r="H36" s="57">
        <v>1.98</v>
      </c>
      <c r="I36" s="57">
        <f t="shared" si="3"/>
        <v>39.6</v>
      </c>
      <c r="J36" s="42">
        <f t="shared" si="4"/>
        <v>3.6034999999999995</v>
      </c>
      <c r="K36" s="27">
        <f t="shared" si="5"/>
        <v>72.069999999999993</v>
      </c>
      <c r="L36" s="41">
        <f>(J36-H36)/J36</f>
        <v>0.45053420285833212</v>
      </c>
      <c r="M36" s="47">
        <f t="shared" si="7"/>
        <v>3.3064999999999998</v>
      </c>
      <c r="N36" s="28">
        <f t="shared" si="8"/>
        <v>66.13</v>
      </c>
      <c r="O36" s="48">
        <f t="shared" si="13"/>
        <v>0.40117949493422045</v>
      </c>
      <c r="P36" s="71">
        <f t="shared" si="11"/>
        <v>2.9699999999999998</v>
      </c>
      <c r="Q36" s="71">
        <v>59.4</v>
      </c>
      <c r="R36" s="37">
        <f t="shared" ref="R36:R41" si="14">(P36-H36)/P36</f>
        <v>0.33333333333333326</v>
      </c>
      <c r="S36" s="51">
        <v>72.069999999999993</v>
      </c>
      <c r="T36" s="51">
        <v>66.13</v>
      </c>
      <c r="U36" s="77"/>
      <c r="V36" s="77"/>
      <c r="W36" s="77"/>
      <c r="X36" s="77"/>
      <c r="Y36" s="77"/>
      <c r="Z36" s="82">
        <v>153153</v>
      </c>
    </row>
    <row r="37" spans="1:26">
      <c r="A37" s="86" t="s">
        <v>353</v>
      </c>
      <c r="B37" s="86"/>
      <c r="C37" s="86" t="s">
        <v>195</v>
      </c>
      <c r="D37" s="86" t="s">
        <v>196</v>
      </c>
      <c r="E37" s="87">
        <v>100</v>
      </c>
      <c r="F37" s="87" t="s">
        <v>2</v>
      </c>
      <c r="G37" s="34">
        <f>VLOOKUP(C37,Pallets!B:F,5,FALSE)</f>
        <v>42</v>
      </c>
      <c r="H37" s="57">
        <v>0.96</v>
      </c>
      <c r="I37" s="57">
        <f t="shared" si="3"/>
        <v>96</v>
      </c>
      <c r="J37" s="42">
        <f t="shared" si="4"/>
        <v>1.7472000000000001</v>
      </c>
      <c r="K37" s="27">
        <f t="shared" si="5"/>
        <v>174.72</v>
      </c>
      <c r="L37" s="41">
        <f>(J37-H37)/J37</f>
        <v>0.45054945054945061</v>
      </c>
      <c r="M37" s="47">
        <f t="shared" si="7"/>
        <v>1.6032</v>
      </c>
      <c r="N37" s="28">
        <f t="shared" si="8"/>
        <v>160.32</v>
      </c>
      <c r="O37" s="48">
        <f t="shared" si="13"/>
        <v>0.40119760479041916</v>
      </c>
      <c r="P37" s="71">
        <f t="shared" si="11"/>
        <v>1.44</v>
      </c>
      <c r="Q37" s="71">
        <v>144</v>
      </c>
      <c r="R37" s="37">
        <f t="shared" si="14"/>
        <v>0.33333333333333331</v>
      </c>
      <c r="S37" s="51">
        <v>174.72</v>
      </c>
      <c r="T37" s="51">
        <v>160.32</v>
      </c>
      <c r="U37" s="77"/>
      <c r="V37" s="77"/>
      <c r="W37" s="77"/>
      <c r="X37" s="77"/>
      <c r="Y37" s="77"/>
      <c r="Z37" s="82">
        <v>153153</v>
      </c>
    </row>
    <row r="38" spans="1:26">
      <c r="A38" s="86" t="s">
        <v>353</v>
      </c>
      <c r="B38" s="86"/>
      <c r="C38" s="86" t="s">
        <v>197</v>
      </c>
      <c r="D38" s="86" t="s">
        <v>198</v>
      </c>
      <c r="E38" s="87">
        <v>100</v>
      </c>
      <c r="F38" s="87" t="s">
        <v>2</v>
      </c>
      <c r="G38" s="34">
        <f>VLOOKUP(C38,Pallets!B:F,5,FALSE)</f>
        <v>42</v>
      </c>
      <c r="H38" s="57">
        <v>1.1499999999999999</v>
      </c>
      <c r="I38" s="57">
        <f t="shared" si="3"/>
        <v>114.99999999999999</v>
      </c>
      <c r="J38" s="42">
        <f t="shared" si="4"/>
        <v>2.093</v>
      </c>
      <c r="K38" s="27">
        <f t="shared" si="5"/>
        <v>209.3</v>
      </c>
      <c r="L38" s="41">
        <f t="shared" ref="L38:L39" si="15">(J38-H38)/J38</f>
        <v>0.45054945054945056</v>
      </c>
      <c r="M38" s="47">
        <f t="shared" si="7"/>
        <v>1.9205000000000001</v>
      </c>
      <c r="N38" s="28">
        <f t="shared" si="8"/>
        <v>192.05</v>
      </c>
      <c r="O38" s="48">
        <f t="shared" si="13"/>
        <v>0.40119760479041922</v>
      </c>
      <c r="P38" s="71">
        <f t="shared" si="11"/>
        <v>1.7250000000000001</v>
      </c>
      <c r="Q38" s="71">
        <v>172.5</v>
      </c>
      <c r="R38" s="37">
        <f t="shared" si="14"/>
        <v>0.33333333333333343</v>
      </c>
      <c r="S38" s="51">
        <v>209.3</v>
      </c>
      <c r="T38" s="51">
        <v>192.05</v>
      </c>
      <c r="U38" s="77"/>
      <c r="V38" s="77"/>
      <c r="W38" s="77"/>
      <c r="X38" s="77"/>
      <c r="Y38" s="77"/>
      <c r="Z38" s="82">
        <v>153153</v>
      </c>
    </row>
    <row r="39" spans="1:26">
      <c r="A39" s="86" t="s">
        <v>353</v>
      </c>
      <c r="B39" s="86"/>
      <c r="C39" s="86" t="s">
        <v>199</v>
      </c>
      <c r="D39" s="86" t="s">
        <v>200</v>
      </c>
      <c r="E39" s="87">
        <v>100</v>
      </c>
      <c r="F39" s="87" t="s">
        <v>2</v>
      </c>
      <c r="G39" s="34">
        <f>VLOOKUP(C39,Pallets!B:F,5,FALSE)</f>
        <v>30</v>
      </c>
      <c r="H39" s="57">
        <v>2.0299999999999998</v>
      </c>
      <c r="I39" s="57">
        <f t="shared" si="3"/>
        <v>202.99999999999997</v>
      </c>
      <c r="J39" s="42">
        <f t="shared" si="4"/>
        <v>3.6945999999999999</v>
      </c>
      <c r="K39" s="27">
        <f t="shared" si="5"/>
        <v>369.46</v>
      </c>
      <c r="L39" s="41">
        <f t="shared" si="15"/>
        <v>0.45054945054945056</v>
      </c>
      <c r="M39" s="47">
        <f t="shared" si="7"/>
        <v>3.3900999999999999</v>
      </c>
      <c r="N39" s="28">
        <f t="shared" si="8"/>
        <v>339.01</v>
      </c>
      <c r="O39" s="48">
        <f t="shared" si="13"/>
        <v>0.40119760479041922</v>
      </c>
      <c r="P39" s="71">
        <f t="shared" si="11"/>
        <v>3.0449999999999999</v>
      </c>
      <c r="Q39" s="71">
        <v>304.5</v>
      </c>
      <c r="R39" s="37">
        <f t="shared" si="14"/>
        <v>0.33333333333333337</v>
      </c>
      <c r="S39" s="51">
        <v>369.46</v>
      </c>
      <c r="T39" s="51">
        <v>339.01</v>
      </c>
      <c r="U39" s="77"/>
      <c r="V39" s="77"/>
      <c r="W39" s="77"/>
      <c r="X39" s="77"/>
      <c r="Y39" s="77"/>
      <c r="Z39" s="82">
        <v>153153</v>
      </c>
    </row>
    <row r="40" spans="1:26">
      <c r="A40" s="86" t="s">
        <v>353</v>
      </c>
      <c r="B40" s="86"/>
      <c r="C40" s="86" t="s">
        <v>213</v>
      </c>
      <c r="D40" s="86" t="s">
        <v>214</v>
      </c>
      <c r="E40" s="87">
        <v>30</v>
      </c>
      <c r="F40" s="87" t="s">
        <v>2</v>
      </c>
      <c r="G40" s="34">
        <f>VLOOKUP(C40,Pallets!B:F,5,FALSE)</f>
        <v>42</v>
      </c>
      <c r="H40" s="57">
        <v>2.08</v>
      </c>
      <c r="I40" s="57">
        <f t="shared" si="3"/>
        <v>62.400000000000006</v>
      </c>
      <c r="J40" s="42">
        <f t="shared" si="4"/>
        <v>3.7856666666666663</v>
      </c>
      <c r="K40" s="27">
        <f t="shared" si="5"/>
        <v>113.57</v>
      </c>
      <c r="L40" s="41">
        <f t="shared" ref="L40:L67" si="16">(J40-H40)/J40</f>
        <v>0.45055912652989338</v>
      </c>
      <c r="M40" s="47">
        <f t="shared" si="7"/>
        <v>3.4736666666666665</v>
      </c>
      <c r="N40" s="28">
        <f t="shared" si="8"/>
        <v>104.21</v>
      </c>
      <c r="O40" s="48">
        <f t="shared" si="13"/>
        <v>0.40120909701564145</v>
      </c>
      <c r="P40" s="71">
        <f t="shared" si="11"/>
        <v>3.1199999999999997</v>
      </c>
      <c r="Q40" s="71">
        <v>93.6</v>
      </c>
      <c r="R40" s="37">
        <f t="shared" si="14"/>
        <v>0.33333333333333326</v>
      </c>
      <c r="S40" s="51">
        <v>113.57</v>
      </c>
      <c r="T40" s="51">
        <v>104.21</v>
      </c>
      <c r="U40" s="77"/>
      <c r="V40" s="77"/>
      <c r="W40" s="77"/>
      <c r="X40" s="77"/>
      <c r="Y40" s="77"/>
      <c r="Z40" s="82">
        <v>153153</v>
      </c>
    </row>
    <row r="41" spans="1:26">
      <c r="A41" s="86" t="s">
        <v>353</v>
      </c>
      <c r="B41" s="86"/>
      <c r="C41" s="86" t="s">
        <v>215</v>
      </c>
      <c r="D41" s="86" t="s">
        <v>216</v>
      </c>
      <c r="E41" s="87">
        <v>30</v>
      </c>
      <c r="F41" s="87" t="s">
        <v>2</v>
      </c>
      <c r="G41" s="34">
        <f>VLOOKUP(C41,Pallets!B:F,5,FALSE)</f>
        <v>42</v>
      </c>
      <c r="H41" s="57">
        <v>2.3199999999999998</v>
      </c>
      <c r="I41" s="57">
        <f t="shared" si="3"/>
        <v>69.599999999999994</v>
      </c>
      <c r="J41" s="42">
        <f t="shared" si="4"/>
        <v>4.2223333333333333</v>
      </c>
      <c r="K41" s="27">
        <f t="shared" si="5"/>
        <v>126.67</v>
      </c>
      <c r="L41" s="41">
        <f t="shared" si="16"/>
        <v>0.45054077524275682</v>
      </c>
      <c r="M41" s="47">
        <f t="shared" si="7"/>
        <v>3.8743333333333334</v>
      </c>
      <c r="N41" s="28">
        <f t="shared" si="8"/>
        <v>116.23</v>
      </c>
      <c r="O41" s="48">
        <f t="shared" si="13"/>
        <v>0.40118730104103939</v>
      </c>
      <c r="P41" s="71">
        <f t="shared" si="11"/>
        <v>3.48</v>
      </c>
      <c r="Q41" s="71">
        <v>104.4</v>
      </c>
      <c r="R41" s="37">
        <f t="shared" si="14"/>
        <v>0.33333333333333337</v>
      </c>
      <c r="S41" s="51">
        <v>126.67</v>
      </c>
      <c r="T41" s="51">
        <v>116.23</v>
      </c>
      <c r="U41" s="77"/>
      <c r="V41" s="77"/>
      <c r="W41" s="77"/>
      <c r="X41" s="77"/>
      <c r="Y41" s="77"/>
      <c r="Z41" s="82">
        <v>153153</v>
      </c>
    </row>
    <row r="42" spans="1:26">
      <c r="A42" s="86" t="s">
        <v>353</v>
      </c>
      <c r="B42" s="86"/>
      <c r="C42" s="86" t="s">
        <v>223</v>
      </c>
      <c r="D42" s="86" t="s">
        <v>224</v>
      </c>
      <c r="E42" s="87">
        <v>30</v>
      </c>
      <c r="F42" s="87" t="s">
        <v>2</v>
      </c>
      <c r="G42" s="34">
        <f>VLOOKUP(C42,Pallets!B:F,5,FALSE)</f>
        <v>48</v>
      </c>
      <c r="H42" s="57">
        <v>2.9</v>
      </c>
      <c r="I42" s="57">
        <f t="shared" si="3"/>
        <v>87</v>
      </c>
      <c r="J42" s="42">
        <f t="shared" si="4"/>
        <v>5.2780000000000005</v>
      </c>
      <c r="K42" s="27">
        <f t="shared" si="5"/>
        <v>158.34</v>
      </c>
      <c r="L42" s="41">
        <f t="shared" si="16"/>
        <v>0.45054945054945061</v>
      </c>
      <c r="M42" s="47">
        <f t="shared" si="7"/>
        <v>4.843</v>
      </c>
      <c r="N42" s="28">
        <f t="shared" si="8"/>
        <v>145.29</v>
      </c>
      <c r="O42" s="48">
        <f t="shared" si="13"/>
        <v>0.40119760479041916</v>
      </c>
      <c r="P42" s="71">
        <f t="shared" si="11"/>
        <v>4.3499999999999996</v>
      </c>
      <c r="Q42" s="31">
        <v>130.5</v>
      </c>
      <c r="R42" s="37">
        <f t="shared" ref="R42:R53" si="17">(P42-H42)/P42</f>
        <v>0.33333333333333331</v>
      </c>
      <c r="S42" s="51">
        <v>158.34</v>
      </c>
      <c r="T42" s="51">
        <v>145.29</v>
      </c>
      <c r="U42" s="77"/>
      <c r="V42" s="77">
        <v>4.1500000000000004</v>
      </c>
      <c r="W42" s="77"/>
      <c r="X42" s="77"/>
      <c r="Y42" s="77"/>
      <c r="Z42" s="82">
        <v>153153</v>
      </c>
    </row>
    <row r="43" spans="1:26">
      <c r="A43" s="86" t="s">
        <v>353</v>
      </c>
      <c r="B43" s="86"/>
      <c r="C43" s="86" t="s">
        <v>225</v>
      </c>
      <c r="D43" s="86" t="s">
        <v>226</v>
      </c>
      <c r="E43" s="87">
        <v>20</v>
      </c>
      <c r="F43" s="87" t="s">
        <v>2</v>
      </c>
      <c r="G43" s="34">
        <f>VLOOKUP(C43,Pallets!B:F,5,FALSE)</f>
        <v>48</v>
      </c>
      <c r="H43" s="57">
        <v>3.2</v>
      </c>
      <c r="I43" s="57">
        <f t="shared" si="3"/>
        <v>64</v>
      </c>
      <c r="J43" s="42">
        <f t="shared" si="4"/>
        <v>5.8239999999999998</v>
      </c>
      <c r="K43" s="27">
        <f t="shared" si="5"/>
        <v>116.48</v>
      </c>
      <c r="L43" s="41">
        <f t="shared" si="16"/>
        <v>0.4505494505494505</v>
      </c>
      <c r="M43" s="47">
        <f t="shared" si="7"/>
        <v>5.3439999999999994</v>
      </c>
      <c r="N43" s="28">
        <f t="shared" si="8"/>
        <v>106.88</v>
      </c>
      <c r="O43" s="48">
        <f t="shared" si="13"/>
        <v>0.40119760479041905</v>
      </c>
      <c r="P43" s="71">
        <f t="shared" si="11"/>
        <v>4.8</v>
      </c>
      <c r="Q43" s="31">
        <v>96</v>
      </c>
      <c r="R43" s="37">
        <f t="shared" si="17"/>
        <v>0.33333333333333326</v>
      </c>
      <c r="S43" s="51">
        <v>116.48</v>
      </c>
      <c r="T43" s="51">
        <v>106.88</v>
      </c>
      <c r="U43" s="77"/>
      <c r="V43" s="77">
        <v>4.8</v>
      </c>
      <c r="W43" s="77"/>
      <c r="X43" s="77">
        <v>4.83</v>
      </c>
      <c r="Y43" s="77"/>
      <c r="Z43" s="82">
        <v>153153</v>
      </c>
    </row>
    <row r="44" spans="1:26">
      <c r="A44" s="86" t="s">
        <v>353</v>
      </c>
      <c r="B44" s="86"/>
      <c r="C44" s="86" t="s">
        <v>227</v>
      </c>
      <c r="D44" s="86" t="s">
        <v>228</v>
      </c>
      <c r="E44" s="87">
        <v>20</v>
      </c>
      <c r="F44" s="87" t="s">
        <v>2</v>
      </c>
      <c r="G44" s="34">
        <f>VLOOKUP(C44,Pallets!B:F,5,FALSE)</f>
        <v>32</v>
      </c>
      <c r="H44" s="57">
        <v>3.66</v>
      </c>
      <c r="I44" s="57">
        <f t="shared" si="3"/>
        <v>73.2</v>
      </c>
      <c r="J44" s="42">
        <f t="shared" si="4"/>
        <v>6.6609999999999996</v>
      </c>
      <c r="K44" s="27">
        <f t="shared" si="5"/>
        <v>133.22</v>
      </c>
      <c r="L44" s="41">
        <f t="shared" si="16"/>
        <v>0.45053295301005847</v>
      </c>
      <c r="M44" s="47">
        <f t="shared" si="7"/>
        <v>6.1120000000000001</v>
      </c>
      <c r="N44" s="28">
        <f t="shared" si="8"/>
        <v>122.24</v>
      </c>
      <c r="O44" s="48">
        <f t="shared" si="13"/>
        <v>0.40117801047120416</v>
      </c>
      <c r="P44" s="71">
        <f t="shared" si="11"/>
        <v>5.49</v>
      </c>
      <c r="Q44" s="31">
        <v>109.8</v>
      </c>
      <c r="R44" s="37">
        <f t="shared" si="17"/>
        <v>0.33333333333333331</v>
      </c>
      <c r="S44" s="51">
        <v>133.22</v>
      </c>
      <c r="T44" s="51">
        <v>122.24</v>
      </c>
      <c r="U44" s="77"/>
      <c r="V44" s="77"/>
      <c r="W44" s="77"/>
      <c r="X44" s="77">
        <v>3.92</v>
      </c>
      <c r="Y44" s="77"/>
      <c r="Z44" s="82">
        <v>153153</v>
      </c>
    </row>
    <row r="45" spans="1:26">
      <c r="A45" s="86" t="s">
        <v>353</v>
      </c>
      <c r="B45" s="86"/>
      <c r="C45" s="86" t="s">
        <v>233</v>
      </c>
      <c r="D45" s="86" t="s">
        <v>234</v>
      </c>
      <c r="E45" s="87">
        <v>8</v>
      </c>
      <c r="F45" s="87" t="s">
        <v>2</v>
      </c>
      <c r="G45" s="34">
        <f>VLOOKUP(C45,Pallets!B:F,5,FALSE)</f>
        <v>24</v>
      </c>
      <c r="H45" s="57">
        <v>12.09</v>
      </c>
      <c r="I45" s="57">
        <f t="shared" si="3"/>
        <v>96.72</v>
      </c>
      <c r="J45" s="42">
        <f t="shared" si="4"/>
        <v>22.00375</v>
      </c>
      <c r="K45" s="27">
        <f t="shared" si="5"/>
        <v>176.03</v>
      </c>
      <c r="L45" s="41">
        <f t="shared" si="16"/>
        <v>0.45054820201102086</v>
      </c>
      <c r="M45" s="47">
        <f t="shared" si="7"/>
        <v>20.190000000000001</v>
      </c>
      <c r="N45" s="28">
        <f t="shared" si="8"/>
        <v>161.52000000000001</v>
      </c>
      <c r="O45" s="48">
        <f t="shared" si="13"/>
        <v>0.40118870728083211</v>
      </c>
      <c r="P45" s="71">
        <f t="shared" si="11"/>
        <v>18.135000000000002</v>
      </c>
      <c r="Q45" s="31">
        <v>145.08000000000001</v>
      </c>
      <c r="R45" s="37">
        <f t="shared" si="17"/>
        <v>0.33333333333333343</v>
      </c>
      <c r="S45" s="51">
        <v>176.03</v>
      </c>
      <c r="T45" s="51">
        <v>161.52000000000001</v>
      </c>
      <c r="U45" s="77"/>
      <c r="V45" s="77">
        <v>18.600000000000001</v>
      </c>
      <c r="W45" s="77"/>
      <c r="X45" s="77">
        <v>18.03</v>
      </c>
      <c r="Y45" s="77"/>
      <c r="Z45" s="82">
        <v>153153</v>
      </c>
    </row>
    <row r="46" spans="1:26">
      <c r="A46" s="86" t="s">
        <v>353</v>
      </c>
      <c r="B46" s="86"/>
      <c r="C46" s="86" t="s">
        <v>235</v>
      </c>
      <c r="D46" s="86" t="s">
        <v>236</v>
      </c>
      <c r="E46" s="87">
        <v>10</v>
      </c>
      <c r="F46" s="87" t="s">
        <v>2</v>
      </c>
      <c r="G46" s="34">
        <f>VLOOKUP(C46,Pallets!B:F,5,FALSE)</f>
        <v>24</v>
      </c>
      <c r="H46" s="57">
        <v>10.220000000000001</v>
      </c>
      <c r="I46" s="57">
        <f t="shared" si="3"/>
        <v>102.2</v>
      </c>
      <c r="J46" s="42">
        <f t="shared" si="4"/>
        <v>18.600000000000001</v>
      </c>
      <c r="K46" s="27">
        <f t="shared" si="5"/>
        <v>186</v>
      </c>
      <c r="L46" s="41">
        <f t="shared" si="16"/>
        <v>0.45053763440860217</v>
      </c>
      <c r="M46" s="47">
        <f t="shared" si="7"/>
        <v>17.067</v>
      </c>
      <c r="N46" s="28">
        <f t="shared" si="8"/>
        <v>170.67</v>
      </c>
      <c r="O46" s="48">
        <f t="shared" si="13"/>
        <v>0.40118357063338606</v>
      </c>
      <c r="P46" s="71">
        <f t="shared" si="11"/>
        <v>15.330000000000002</v>
      </c>
      <c r="Q46" s="31">
        <v>153.30000000000001</v>
      </c>
      <c r="R46" s="37">
        <f t="shared" si="17"/>
        <v>0.33333333333333337</v>
      </c>
      <c r="S46" s="51">
        <v>186</v>
      </c>
      <c r="T46" s="51">
        <v>170.67</v>
      </c>
      <c r="U46" s="77"/>
      <c r="V46" s="77">
        <v>15.06</v>
      </c>
      <c r="W46" s="77"/>
      <c r="X46" s="77">
        <v>14.6</v>
      </c>
      <c r="Y46" s="77"/>
      <c r="Z46" s="82">
        <v>153153</v>
      </c>
    </row>
    <row r="47" spans="1:26">
      <c r="A47" s="86" t="s">
        <v>353</v>
      </c>
      <c r="B47" s="86"/>
      <c r="C47" s="86" t="s">
        <v>237</v>
      </c>
      <c r="D47" s="86" t="s">
        <v>238</v>
      </c>
      <c r="E47" s="87">
        <v>7</v>
      </c>
      <c r="F47" s="87" t="s">
        <v>2</v>
      </c>
      <c r="G47" s="34">
        <f>VLOOKUP(C47,Pallets!B:F,5,FALSE)</f>
        <v>24</v>
      </c>
      <c r="H47" s="57">
        <v>12.5</v>
      </c>
      <c r="I47" s="57">
        <f t="shared" si="3"/>
        <v>87.5</v>
      </c>
      <c r="J47" s="42">
        <f t="shared" si="4"/>
        <v>22.75</v>
      </c>
      <c r="K47" s="27">
        <f t="shared" si="5"/>
        <v>159.25</v>
      </c>
      <c r="L47" s="41">
        <f t="shared" si="16"/>
        <v>0.45054945054945056</v>
      </c>
      <c r="M47" s="47">
        <f t="shared" si="7"/>
        <v>20.875714285714285</v>
      </c>
      <c r="N47" s="28">
        <f t="shared" si="8"/>
        <v>146.13</v>
      </c>
      <c r="O47" s="48">
        <f t="shared" si="13"/>
        <v>0.40121809347840959</v>
      </c>
      <c r="P47" s="71">
        <f t="shared" si="11"/>
        <v>18.75</v>
      </c>
      <c r="Q47" s="31">
        <v>131.25</v>
      </c>
      <c r="R47" s="37">
        <f t="shared" si="17"/>
        <v>0.33333333333333331</v>
      </c>
      <c r="S47" s="51">
        <v>159.25</v>
      </c>
      <c r="T47" s="51">
        <v>146.13</v>
      </c>
      <c r="U47" s="77"/>
      <c r="V47" s="77">
        <v>16.82</v>
      </c>
      <c r="W47" s="77"/>
      <c r="X47" s="77"/>
      <c r="Y47" s="77"/>
      <c r="Z47" s="82">
        <v>153153</v>
      </c>
    </row>
    <row r="48" spans="1:26">
      <c r="A48" s="86" t="s">
        <v>353</v>
      </c>
      <c r="B48" s="86"/>
      <c r="C48" s="86" t="s">
        <v>245</v>
      </c>
      <c r="D48" s="86" t="s">
        <v>246</v>
      </c>
      <c r="E48" s="87">
        <v>7</v>
      </c>
      <c r="F48" s="87" t="s">
        <v>2</v>
      </c>
      <c r="G48" s="34">
        <f>VLOOKUP(C48,Pallets!B:F,5,FALSE)</f>
        <v>24</v>
      </c>
      <c r="H48" s="57">
        <v>14.2</v>
      </c>
      <c r="I48" s="57">
        <f t="shared" si="3"/>
        <v>99.399999999999991</v>
      </c>
      <c r="J48" s="42">
        <f t="shared" si="4"/>
        <v>25.844285714285714</v>
      </c>
      <c r="K48" s="27">
        <f t="shared" si="5"/>
        <v>180.91</v>
      </c>
      <c r="L48" s="41">
        <f t="shared" si="16"/>
        <v>0.45055552484660882</v>
      </c>
      <c r="M48" s="47">
        <f t="shared" si="7"/>
        <v>23.714285714285715</v>
      </c>
      <c r="N48" s="28">
        <f t="shared" si="8"/>
        <v>166</v>
      </c>
      <c r="O48" s="48">
        <f t="shared" si="13"/>
        <v>0.40120481927710849</v>
      </c>
      <c r="P48" s="71">
        <f t="shared" si="11"/>
        <v>21.3</v>
      </c>
      <c r="Q48" s="31">
        <v>149.1</v>
      </c>
      <c r="R48" s="37">
        <f t="shared" si="17"/>
        <v>0.33333333333333337</v>
      </c>
      <c r="S48" s="51">
        <v>180.91</v>
      </c>
      <c r="T48" s="51">
        <v>166</v>
      </c>
      <c r="U48" s="77"/>
      <c r="V48" s="77">
        <v>23.76</v>
      </c>
      <c r="W48" s="77"/>
      <c r="X48" s="77"/>
      <c r="Y48" s="77"/>
      <c r="Z48" s="82">
        <v>153153</v>
      </c>
    </row>
    <row r="49" spans="1:26">
      <c r="A49" s="86" t="s">
        <v>353</v>
      </c>
      <c r="B49" s="86"/>
      <c r="C49" s="86" t="s">
        <v>249</v>
      </c>
      <c r="D49" s="86" t="s">
        <v>250</v>
      </c>
      <c r="E49" s="87">
        <v>10</v>
      </c>
      <c r="F49" s="87" t="s">
        <v>2</v>
      </c>
      <c r="G49" s="34">
        <f>VLOOKUP(C49,Pallets!B:F,5,FALSE)</f>
        <v>24</v>
      </c>
      <c r="H49" s="57">
        <v>12</v>
      </c>
      <c r="I49" s="57">
        <f t="shared" si="3"/>
        <v>120</v>
      </c>
      <c r="J49" s="42">
        <f t="shared" si="4"/>
        <v>21.84</v>
      </c>
      <c r="K49" s="27">
        <f t="shared" si="5"/>
        <v>218.4</v>
      </c>
      <c r="L49" s="41">
        <f t="shared" si="16"/>
        <v>0.45054945054945056</v>
      </c>
      <c r="M49" s="47">
        <f t="shared" si="7"/>
        <v>20.04</v>
      </c>
      <c r="N49" s="28">
        <f t="shared" si="8"/>
        <v>200.4</v>
      </c>
      <c r="O49" s="48">
        <f t="shared" si="13"/>
        <v>0.40119760479041916</v>
      </c>
      <c r="P49" s="71">
        <f t="shared" si="11"/>
        <v>18</v>
      </c>
      <c r="Q49" s="31">
        <v>180</v>
      </c>
      <c r="R49" s="37">
        <f t="shared" si="17"/>
        <v>0.33333333333333331</v>
      </c>
      <c r="S49" s="51">
        <v>218.4</v>
      </c>
      <c r="T49" s="51">
        <v>200.4</v>
      </c>
      <c r="U49" s="77"/>
      <c r="V49" s="77">
        <v>17.600000000000001</v>
      </c>
      <c r="W49" s="77"/>
      <c r="X49" s="77"/>
      <c r="Y49" s="77"/>
      <c r="Z49" s="82">
        <v>153153</v>
      </c>
    </row>
    <row r="50" spans="1:26">
      <c r="A50" s="86" t="s">
        <v>353</v>
      </c>
      <c r="B50" s="86"/>
      <c r="C50" s="86" t="s">
        <v>259</v>
      </c>
      <c r="D50" s="86" t="s">
        <v>260</v>
      </c>
      <c r="E50" s="87">
        <v>10</v>
      </c>
      <c r="F50" s="87" t="s">
        <v>2</v>
      </c>
      <c r="G50" s="34">
        <f>VLOOKUP(C50,Pallets!B:F,5,FALSE)</f>
        <v>24</v>
      </c>
      <c r="H50" s="57">
        <v>15</v>
      </c>
      <c r="I50" s="57">
        <f t="shared" si="3"/>
        <v>150</v>
      </c>
      <c r="J50" s="42">
        <f t="shared" si="4"/>
        <v>27.3</v>
      </c>
      <c r="K50" s="27">
        <f t="shared" si="5"/>
        <v>273</v>
      </c>
      <c r="L50" s="41">
        <f t="shared" si="16"/>
        <v>0.45054945054945056</v>
      </c>
      <c r="M50" s="47">
        <f t="shared" si="7"/>
        <v>25.05</v>
      </c>
      <c r="N50" s="28">
        <f t="shared" si="8"/>
        <v>250.5</v>
      </c>
      <c r="O50" s="48">
        <f t="shared" si="13"/>
        <v>0.40119760479041916</v>
      </c>
      <c r="P50" s="71">
        <f t="shared" si="11"/>
        <v>22.5</v>
      </c>
      <c r="Q50" s="31">
        <v>225</v>
      </c>
      <c r="R50" s="37">
        <f t="shared" si="17"/>
        <v>0.33333333333333331</v>
      </c>
      <c r="S50" s="51">
        <v>273</v>
      </c>
      <c r="T50" s="51">
        <v>250.5</v>
      </c>
      <c r="U50" s="77"/>
      <c r="V50" s="77">
        <v>25</v>
      </c>
      <c r="W50" s="77"/>
      <c r="X50" s="77"/>
      <c r="Y50" s="77"/>
      <c r="Z50" s="82">
        <v>153153</v>
      </c>
    </row>
    <row r="51" spans="1:26">
      <c r="A51" s="86" t="s">
        <v>353</v>
      </c>
      <c r="B51" s="86"/>
      <c r="C51" s="86" t="s">
        <v>275</v>
      </c>
      <c r="D51" s="86" t="s">
        <v>276</v>
      </c>
      <c r="E51" s="87">
        <v>10</v>
      </c>
      <c r="F51" s="87" t="s">
        <v>2</v>
      </c>
      <c r="G51" s="34">
        <f>VLOOKUP(C51,Pallets!B:F,5,FALSE)</f>
        <v>24</v>
      </c>
      <c r="H51" s="57">
        <v>12.8</v>
      </c>
      <c r="I51" s="57">
        <f t="shared" si="3"/>
        <v>128</v>
      </c>
      <c r="J51" s="42">
        <f t="shared" si="4"/>
        <v>23.295999999999999</v>
      </c>
      <c r="K51" s="27">
        <f t="shared" si="5"/>
        <v>232.96</v>
      </c>
      <c r="L51" s="41">
        <f t="shared" si="16"/>
        <v>0.4505494505494505</v>
      </c>
      <c r="M51" s="47">
        <f t="shared" si="7"/>
        <v>21.375999999999998</v>
      </c>
      <c r="N51" s="28">
        <f t="shared" si="8"/>
        <v>213.76</v>
      </c>
      <c r="O51" s="48">
        <f t="shared" si="13"/>
        <v>0.40119760479041905</v>
      </c>
      <c r="P51" s="71">
        <f t="shared" si="11"/>
        <v>19.2</v>
      </c>
      <c r="Q51" s="71">
        <v>192</v>
      </c>
      <c r="R51" s="37">
        <f t="shared" si="17"/>
        <v>0.33333333333333326</v>
      </c>
      <c r="S51" s="51">
        <v>232.96</v>
      </c>
      <c r="T51" s="51">
        <v>213.76</v>
      </c>
      <c r="U51" s="77"/>
      <c r="V51" s="77"/>
      <c r="W51" s="77"/>
      <c r="X51" s="77"/>
      <c r="Y51" s="77"/>
      <c r="Z51" s="82">
        <v>153153</v>
      </c>
    </row>
    <row r="52" spans="1:26">
      <c r="A52" s="33" t="s">
        <v>353</v>
      </c>
      <c r="B52" s="33"/>
      <c r="C52" s="33" t="s">
        <v>283</v>
      </c>
      <c r="D52" s="33" t="s">
        <v>284</v>
      </c>
      <c r="E52" s="34">
        <v>20</v>
      </c>
      <c r="F52" s="34" t="s">
        <v>2</v>
      </c>
      <c r="G52" s="34">
        <v>48</v>
      </c>
      <c r="H52" s="57">
        <v>5.35</v>
      </c>
      <c r="I52" s="57">
        <f>E52*H52</f>
        <v>107</v>
      </c>
      <c r="J52" s="42">
        <f>H52/(1-0.451)</f>
        <v>9.7449908925318773</v>
      </c>
      <c r="K52" s="27">
        <f t="shared" ref="K52" si="18">E52*J52</f>
        <v>194.89981785063753</v>
      </c>
      <c r="L52" s="41">
        <f t="shared" si="16"/>
        <v>0.45100000000000012</v>
      </c>
      <c r="M52" s="47">
        <f>H52/(1-0.401)</f>
        <v>8.9315525876460757</v>
      </c>
      <c r="N52" s="28">
        <f t="shared" ref="N52" si="19">E52*M52</f>
        <v>178.63105175292151</v>
      </c>
      <c r="O52" s="48">
        <f t="shared" si="13"/>
        <v>0.40099999999999997</v>
      </c>
      <c r="P52" s="71">
        <f>H52/(1-0.333)</f>
        <v>8.0209895052473748</v>
      </c>
      <c r="Q52" s="71">
        <f t="shared" ref="Q52" si="20">E52*P52</f>
        <v>160.41979010494748</v>
      </c>
      <c r="R52" s="37">
        <f t="shared" si="17"/>
        <v>0.33299999999999991</v>
      </c>
      <c r="S52" s="51">
        <f>K52</f>
        <v>194.89981785063753</v>
      </c>
      <c r="T52" s="51">
        <f>N52</f>
        <v>178.63105175292151</v>
      </c>
      <c r="U52" s="77"/>
      <c r="V52" s="77"/>
      <c r="W52" s="77"/>
      <c r="X52" s="77"/>
      <c r="Y52" s="77"/>
      <c r="Z52" s="82">
        <v>153153</v>
      </c>
    </row>
    <row r="53" spans="1:26">
      <c r="A53" s="86" t="s">
        <v>353</v>
      </c>
      <c r="B53" s="86"/>
      <c r="C53" s="86" t="s">
        <v>287</v>
      </c>
      <c r="D53" s="86" t="s">
        <v>288</v>
      </c>
      <c r="E53" s="87">
        <v>20</v>
      </c>
      <c r="F53" s="87" t="s">
        <v>2</v>
      </c>
      <c r="G53" s="34">
        <f>VLOOKUP(C53,Pallets!B:F,5,FALSE)</f>
        <v>48</v>
      </c>
      <c r="H53" s="57">
        <v>5.04</v>
      </c>
      <c r="I53" s="57">
        <f t="shared" si="3"/>
        <v>100.8</v>
      </c>
      <c r="J53" s="42">
        <f t="shared" si="4"/>
        <v>9.173</v>
      </c>
      <c r="K53" s="27">
        <f t="shared" si="5"/>
        <v>183.46</v>
      </c>
      <c r="L53" s="41">
        <f t="shared" si="16"/>
        <v>0.45056143028453066</v>
      </c>
      <c r="M53" s="47">
        <f t="shared" si="7"/>
        <v>8.4169999999999998</v>
      </c>
      <c r="N53" s="28">
        <f t="shared" si="8"/>
        <v>168.34</v>
      </c>
      <c r="O53" s="48">
        <f t="shared" si="13"/>
        <v>0.40121183319472492</v>
      </c>
      <c r="P53" s="71">
        <f t="shared" si="11"/>
        <v>7.56</v>
      </c>
      <c r="Q53" s="71">
        <v>151.19999999999999</v>
      </c>
      <c r="R53" s="37">
        <f t="shared" si="17"/>
        <v>0.33333333333333331</v>
      </c>
      <c r="S53" s="51">
        <v>183.46</v>
      </c>
      <c r="T53" s="51">
        <v>168.34</v>
      </c>
      <c r="U53" s="77"/>
      <c r="V53" s="77"/>
      <c r="W53" s="77"/>
      <c r="X53" s="77"/>
      <c r="Y53" s="77"/>
      <c r="Z53" s="82">
        <v>153153</v>
      </c>
    </row>
    <row r="54" spans="1:26">
      <c r="A54" s="86" t="s">
        <v>353</v>
      </c>
      <c r="B54" s="86"/>
      <c r="C54" s="86" t="s">
        <v>291</v>
      </c>
      <c r="D54" s="86" t="s">
        <v>292</v>
      </c>
      <c r="E54" s="87">
        <v>30</v>
      </c>
      <c r="F54" s="87" t="s">
        <v>2</v>
      </c>
      <c r="G54" s="34">
        <f>VLOOKUP(C54,Pallets!B:F,5,FALSE)</f>
        <v>52</v>
      </c>
      <c r="H54" s="57">
        <v>1.22</v>
      </c>
      <c r="I54" s="57">
        <f t="shared" si="3"/>
        <v>36.6</v>
      </c>
      <c r="J54" s="42">
        <f t="shared" si="4"/>
        <v>2.2203333333333335</v>
      </c>
      <c r="K54" s="27">
        <f t="shared" si="5"/>
        <v>66.61</v>
      </c>
      <c r="L54" s="41">
        <f t="shared" si="16"/>
        <v>0.45053295301005858</v>
      </c>
      <c r="M54" s="47">
        <f t="shared" si="7"/>
        <v>2.0373333333333332</v>
      </c>
      <c r="N54" s="28">
        <f t="shared" si="8"/>
        <v>61.12</v>
      </c>
      <c r="O54" s="48">
        <f t="shared" si="13"/>
        <v>0.40117801047120416</v>
      </c>
      <c r="P54" s="71">
        <f t="shared" si="11"/>
        <v>1.8299999999999998</v>
      </c>
      <c r="Q54" s="71">
        <v>54.9</v>
      </c>
      <c r="R54" s="37">
        <f t="shared" ref="R54:R55" si="21">(P54-H54)/P54</f>
        <v>0.33333333333333331</v>
      </c>
      <c r="S54" s="51">
        <v>66.61</v>
      </c>
      <c r="T54" s="51">
        <v>61.12</v>
      </c>
      <c r="U54" s="77"/>
      <c r="V54" s="77"/>
      <c r="W54" s="77"/>
      <c r="X54" s="77"/>
      <c r="Y54" s="77"/>
      <c r="Z54" s="82">
        <v>153153</v>
      </c>
    </row>
    <row r="55" spans="1:26">
      <c r="A55" s="86" t="s">
        <v>353</v>
      </c>
      <c r="B55" s="86"/>
      <c r="C55" s="86" t="s">
        <v>293</v>
      </c>
      <c r="D55" s="86" t="s">
        <v>294</v>
      </c>
      <c r="E55" s="87">
        <v>25</v>
      </c>
      <c r="F55" s="87" t="s">
        <v>2</v>
      </c>
      <c r="G55" s="34">
        <f>VLOOKUP(C55,Pallets!B:F,5,FALSE)</f>
        <v>52</v>
      </c>
      <c r="H55" s="57">
        <v>1.49</v>
      </c>
      <c r="I55" s="57">
        <f t="shared" si="3"/>
        <v>37.25</v>
      </c>
      <c r="J55" s="42">
        <f t="shared" si="4"/>
        <v>2.7119999999999997</v>
      </c>
      <c r="K55" s="27">
        <f t="shared" si="5"/>
        <v>67.8</v>
      </c>
      <c r="L55" s="41">
        <f t="shared" si="16"/>
        <v>0.45058997050147487</v>
      </c>
      <c r="M55" s="47">
        <f t="shared" si="7"/>
        <v>2.4883999999999999</v>
      </c>
      <c r="N55" s="28">
        <f t="shared" si="8"/>
        <v>62.21</v>
      </c>
      <c r="O55" s="48">
        <f t="shared" si="13"/>
        <v>0.40122166854203506</v>
      </c>
      <c r="P55" s="71">
        <f t="shared" si="11"/>
        <v>2.2352000000000003</v>
      </c>
      <c r="Q55" s="71">
        <v>55.88</v>
      </c>
      <c r="R55" s="37">
        <f t="shared" si="21"/>
        <v>0.33339298496778819</v>
      </c>
      <c r="S55" s="51">
        <v>67.8</v>
      </c>
      <c r="T55" s="51">
        <v>62.21</v>
      </c>
      <c r="U55" s="77"/>
      <c r="V55" s="77"/>
      <c r="W55" s="77"/>
      <c r="X55" s="77"/>
      <c r="Y55" s="77"/>
      <c r="Z55" s="82">
        <v>153153</v>
      </c>
    </row>
    <row r="56" spans="1:26">
      <c r="A56" s="86" t="s">
        <v>353</v>
      </c>
      <c r="B56" s="86"/>
      <c r="C56" s="86" t="s">
        <v>295</v>
      </c>
      <c r="D56" s="86" t="s">
        <v>296</v>
      </c>
      <c r="E56" s="87">
        <v>25</v>
      </c>
      <c r="F56" s="87" t="s">
        <v>2</v>
      </c>
      <c r="G56" s="34">
        <f>VLOOKUP(C56,Pallets!B:F,5,FALSE)</f>
        <v>40</v>
      </c>
      <c r="H56" s="57">
        <v>1.71</v>
      </c>
      <c r="I56" s="57">
        <f t="shared" si="3"/>
        <v>42.75</v>
      </c>
      <c r="J56" s="42">
        <f t="shared" si="4"/>
        <v>3.1124000000000001</v>
      </c>
      <c r="K56" s="27">
        <f t="shared" si="5"/>
        <v>77.81</v>
      </c>
      <c r="L56" s="41">
        <f t="shared" si="16"/>
        <v>0.45058475774322071</v>
      </c>
      <c r="M56" s="47">
        <f t="shared" si="7"/>
        <v>2.8555999999999999</v>
      </c>
      <c r="N56" s="28">
        <f t="shared" si="8"/>
        <v>71.39</v>
      </c>
      <c r="O56" s="48">
        <f t="shared" si="13"/>
        <v>0.40117663538310688</v>
      </c>
      <c r="P56" s="71">
        <f t="shared" si="11"/>
        <v>2.5651999999999999</v>
      </c>
      <c r="Q56" s="31">
        <v>64.13</v>
      </c>
      <c r="R56" s="37">
        <f>(P56-H56)/P56</f>
        <v>0.33338531108685482</v>
      </c>
      <c r="S56" s="51">
        <v>77.81</v>
      </c>
      <c r="T56" s="51">
        <v>71.39</v>
      </c>
      <c r="U56" s="77"/>
      <c r="V56" s="77"/>
      <c r="W56" s="77"/>
      <c r="X56" s="77">
        <v>2.2799999999999998</v>
      </c>
      <c r="Y56" s="77"/>
      <c r="Z56" s="82">
        <v>153153</v>
      </c>
    </row>
    <row r="57" spans="1:26">
      <c r="A57" s="86" t="s">
        <v>353</v>
      </c>
      <c r="B57" s="86"/>
      <c r="C57" s="86" t="s">
        <v>297</v>
      </c>
      <c r="D57" s="86" t="s">
        <v>298</v>
      </c>
      <c r="E57" s="87">
        <v>20</v>
      </c>
      <c r="F57" s="87" t="s">
        <v>2</v>
      </c>
      <c r="G57" s="34">
        <f>VLOOKUP(C57,Pallets!B:F,5,FALSE)</f>
        <v>30</v>
      </c>
      <c r="H57" s="57">
        <v>2.2000000000000002</v>
      </c>
      <c r="I57" s="57">
        <f t="shared" si="3"/>
        <v>44</v>
      </c>
      <c r="J57" s="42">
        <f t="shared" si="4"/>
        <v>4.0039999999999996</v>
      </c>
      <c r="K57" s="27">
        <f t="shared" si="5"/>
        <v>80.08</v>
      </c>
      <c r="L57" s="41">
        <f t="shared" si="16"/>
        <v>0.45054945054945045</v>
      </c>
      <c r="M57" s="47">
        <f t="shared" si="7"/>
        <v>3.6740000000000004</v>
      </c>
      <c r="N57" s="28">
        <f t="shared" si="8"/>
        <v>73.48</v>
      </c>
      <c r="O57" s="48">
        <f t="shared" si="13"/>
        <v>0.40119760479041916</v>
      </c>
      <c r="P57" s="71">
        <f t="shared" si="11"/>
        <v>3.3</v>
      </c>
      <c r="Q57" s="71">
        <v>66</v>
      </c>
      <c r="R57" s="37">
        <f t="shared" ref="R57:R60" si="22">(P57-H57)/P57</f>
        <v>0.33333333333333326</v>
      </c>
      <c r="S57" s="51">
        <v>80.08</v>
      </c>
      <c r="T57" s="51">
        <v>73.48</v>
      </c>
      <c r="U57" s="77"/>
      <c r="V57" s="77"/>
      <c r="W57" s="77"/>
      <c r="X57" s="77"/>
      <c r="Y57" s="77"/>
      <c r="Z57" s="82">
        <v>153153</v>
      </c>
    </row>
    <row r="58" spans="1:26">
      <c r="A58" s="86" t="s">
        <v>353</v>
      </c>
      <c r="B58" s="86"/>
      <c r="C58" s="86" t="s">
        <v>299</v>
      </c>
      <c r="D58" s="86" t="s">
        <v>300</v>
      </c>
      <c r="E58" s="87">
        <v>20</v>
      </c>
      <c r="F58" s="87" t="s">
        <v>2</v>
      </c>
      <c r="G58" s="34">
        <f>VLOOKUP(C58,Pallets!B:F,5,FALSE)</f>
        <v>30</v>
      </c>
      <c r="H58" s="57">
        <v>2.6</v>
      </c>
      <c r="I58" s="57">
        <f t="shared" si="3"/>
        <v>52</v>
      </c>
      <c r="J58" s="42">
        <f t="shared" si="4"/>
        <v>4.7320000000000002</v>
      </c>
      <c r="K58" s="27">
        <f t="shared" si="5"/>
        <v>94.64</v>
      </c>
      <c r="L58" s="41">
        <f t="shared" si="16"/>
        <v>0.45054945054945056</v>
      </c>
      <c r="M58" s="47">
        <f t="shared" si="7"/>
        <v>4.3420000000000005</v>
      </c>
      <c r="N58" s="28">
        <f t="shared" si="8"/>
        <v>86.84</v>
      </c>
      <c r="O58" s="48">
        <f t="shared" si="13"/>
        <v>0.40119760479041922</v>
      </c>
      <c r="P58" s="71">
        <f t="shared" si="11"/>
        <v>3.9</v>
      </c>
      <c r="Q58" s="71">
        <v>78</v>
      </c>
      <c r="R58" s="37">
        <f t="shared" si="22"/>
        <v>0.33333333333333331</v>
      </c>
      <c r="S58" s="51">
        <v>94.64</v>
      </c>
      <c r="T58" s="51">
        <v>86.84</v>
      </c>
      <c r="U58" s="77"/>
      <c r="V58" s="77"/>
      <c r="W58" s="77"/>
      <c r="X58" s="77">
        <v>3.7</v>
      </c>
      <c r="Y58" s="77"/>
      <c r="Z58" s="82">
        <v>153153</v>
      </c>
    </row>
    <row r="59" spans="1:26">
      <c r="A59" s="86" t="s">
        <v>353</v>
      </c>
      <c r="B59" s="86"/>
      <c r="C59" s="86" t="s">
        <v>305</v>
      </c>
      <c r="D59" s="86" t="s">
        <v>306</v>
      </c>
      <c r="E59" s="87">
        <v>32</v>
      </c>
      <c r="F59" s="87" t="s">
        <v>2</v>
      </c>
      <c r="G59" s="34">
        <f>VLOOKUP(C59,Pallets!B:F,5,FALSE)</f>
        <v>30</v>
      </c>
      <c r="H59" s="57">
        <v>2.98</v>
      </c>
      <c r="I59" s="57">
        <f t="shared" si="3"/>
        <v>95.36</v>
      </c>
      <c r="J59" s="42">
        <f>H59/(1-0.451)</f>
        <v>5.428051001821494</v>
      </c>
      <c r="K59" s="27">
        <f t="shared" ref="K59" si="23">E59*J59</f>
        <v>173.69763205828781</v>
      </c>
      <c r="L59" s="41">
        <f t="shared" ref="L59" si="24">(J59-H59)/J59</f>
        <v>0.45100000000000007</v>
      </c>
      <c r="M59" s="47">
        <f>H59/(1-0.401)</f>
        <v>4.9749582637729555</v>
      </c>
      <c r="N59" s="28">
        <f t="shared" ref="N59" si="25">E59*M59</f>
        <v>159.19866444073458</v>
      </c>
      <c r="O59" s="48">
        <f t="shared" ref="O59" si="26">(M59-H59)/M59</f>
        <v>0.40100000000000008</v>
      </c>
      <c r="P59" s="71">
        <f>H59/(1-0.333)</f>
        <v>4.4677661169415286</v>
      </c>
      <c r="Q59" s="71">
        <f t="shared" ref="Q59" si="27">E59*P59</f>
        <v>142.96851574212891</v>
      </c>
      <c r="R59" s="37">
        <f t="shared" ref="R59" si="28">(P59-H59)/P59</f>
        <v>0.33299999999999991</v>
      </c>
      <c r="S59" s="51">
        <f>K59</f>
        <v>173.69763205828781</v>
      </c>
      <c r="T59" s="51">
        <f>N59</f>
        <v>159.19866444073458</v>
      </c>
      <c r="U59" s="77"/>
      <c r="V59" s="77"/>
      <c r="W59" s="77"/>
      <c r="X59" s="77"/>
      <c r="Y59" s="77"/>
      <c r="Z59" s="82">
        <v>153153</v>
      </c>
    </row>
    <row r="60" spans="1:26">
      <c r="A60" s="86" t="s">
        <v>353</v>
      </c>
      <c r="B60" s="86"/>
      <c r="C60" s="86" t="s">
        <v>315</v>
      </c>
      <c r="D60" s="86" t="s">
        <v>316</v>
      </c>
      <c r="E60" s="87">
        <v>8</v>
      </c>
      <c r="F60" s="87" t="s">
        <v>2</v>
      </c>
      <c r="G60" s="34">
        <f>VLOOKUP(C60,Pallets!B:F,5,FALSE)</f>
        <v>24</v>
      </c>
      <c r="H60" s="57">
        <v>23.09</v>
      </c>
      <c r="I60" s="57">
        <f t="shared" si="3"/>
        <v>184.72</v>
      </c>
      <c r="J60" s="42">
        <f t="shared" si="4"/>
        <v>42.02375</v>
      </c>
      <c r="K60" s="27">
        <f t="shared" si="5"/>
        <v>336.19</v>
      </c>
      <c r="L60" s="41">
        <f t="shared" si="16"/>
        <v>0.45054879681132692</v>
      </c>
      <c r="M60" s="47">
        <f t="shared" si="7"/>
        <v>38.56</v>
      </c>
      <c r="N60" s="28">
        <f t="shared" si="8"/>
        <v>308.48</v>
      </c>
      <c r="O60" s="48">
        <f t="shared" si="13"/>
        <v>0.4011929460580913</v>
      </c>
      <c r="P60" s="71">
        <f t="shared" si="11"/>
        <v>34.634999999999998</v>
      </c>
      <c r="Q60" s="71">
        <v>277.08</v>
      </c>
      <c r="R60" s="37">
        <f t="shared" si="22"/>
        <v>0.33333333333333331</v>
      </c>
      <c r="S60" s="51">
        <v>336.19</v>
      </c>
      <c r="T60" s="51">
        <v>308.48</v>
      </c>
      <c r="U60" s="77">
        <v>43.76</v>
      </c>
      <c r="V60" s="77"/>
      <c r="W60" s="77"/>
      <c r="X60" s="77"/>
      <c r="Y60" s="77"/>
      <c r="Z60" s="82">
        <v>153153</v>
      </c>
    </row>
    <row r="61" spans="1:26">
      <c r="A61" s="86" t="s">
        <v>353</v>
      </c>
      <c r="B61" s="86"/>
      <c r="C61" s="86" t="s">
        <v>330</v>
      </c>
      <c r="D61" s="86" t="s">
        <v>331</v>
      </c>
      <c r="E61" s="87">
        <v>8</v>
      </c>
      <c r="F61" s="87" t="s">
        <v>2</v>
      </c>
      <c r="G61" s="34">
        <f>VLOOKUP(C61,Pallets!B:F,5,FALSE)</f>
        <v>24</v>
      </c>
      <c r="H61" s="57">
        <v>15.6</v>
      </c>
      <c r="I61" s="57">
        <f t="shared" si="3"/>
        <v>124.8</v>
      </c>
      <c r="J61" s="42">
        <f t="shared" si="4"/>
        <v>28.392499999999998</v>
      </c>
      <c r="K61" s="27">
        <f t="shared" si="5"/>
        <v>227.14</v>
      </c>
      <c r="L61" s="41">
        <f t="shared" si="16"/>
        <v>0.45055912652989344</v>
      </c>
      <c r="M61" s="47">
        <f t="shared" si="7"/>
        <v>26.052499999999998</v>
      </c>
      <c r="N61" s="28">
        <f t="shared" si="8"/>
        <v>208.42</v>
      </c>
      <c r="O61" s="48">
        <f t="shared" si="13"/>
        <v>0.40120909701564145</v>
      </c>
      <c r="P61" s="71">
        <f t="shared" si="11"/>
        <v>23.4</v>
      </c>
      <c r="Q61" s="31">
        <v>187.2</v>
      </c>
      <c r="R61" s="37">
        <f t="shared" ref="R61:R67" si="29">(P61-H61)/P61</f>
        <v>0.33333333333333331</v>
      </c>
      <c r="S61" s="51">
        <v>227.14</v>
      </c>
      <c r="T61" s="51">
        <v>208.42</v>
      </c>
      <c r="U61" s="77"/>
      <c r="V61" s="77"/>
      <c r="W61" s="77"/>
      <c r="X61" s="77">
        <v>23.95</v>
      </c>
      <c r="Y61" s="77"/>
      <c r="Z61" s="82">
        <v>153153</v>
      </c>
    </row>
    <row r="62" spans="1:26">
      <c r="A62" s="86" t="s">
        <v>353</v>
      </c>
      <c r="B62" s="86"/>
      <c r="C62" s="86" t="s">
        <v>332</v>
      </c>
      <c r="D62" s="86" t="s">
        <v>333</v>
      </c>
      <c r="E62" s="87">
        <v>10</v>
      </c>
      <c r="F62" s="87" t="s">
        <v>2</v>
      </c>
      <c r="G62" s="34">
        <f>VLOOKUP(C62,Pallets!B:F,5,FALSE)</f>
        <v>32</v>
      </c>
      <c r="H62" s="57">
        <v>18.46</v>
      </c>
      <c r="I62" s="57">
        <f t="shared" si="3"/>
        <v>184.60000000000002</v>
      </c>
      <c r="J62" s="42">
        <f>H62/(1-0.451)</f>
        <v>33.624772313296909</v>
      </c>
      <c r="K62" s="27">
        <f>E62*J62</f>
        <v>336.2477231329691</v>
      </c>
      <c r="L62" s="41">
        <f t="shared" si="16"/>
        <v>0.45100000000000007</v>
      </c>
      <c r="M62" s="47">
        <f>H62/(1-0.401)</f>
        <v>30.818030050083475</v>
      </c>
      <c r="N62" s="28">
        <f>E62*M62</f>
        <v>308.18030050083473</v>
      </c>
      <c r="O62" s="48">
        <f t="shared" si="13"/>
        <v>0.40100000000000002</v>
      </c>
      <c r="P62" s="71">
        <f>H62/(1-0.333)</f>
        <v>27.676161919040478</v>
      </c>
      <c r="Q62" s="31">
        <f>E62*P62</f>
        <v>276.76161919040476</v>
      </c>
      <c r="R62" s="37">
        <f>(P62-H62)/P62</f>
        <v>0.33299999999999991</v>
      </c>
      <c r="S62" s="51">
        <f>K62</f>
        <v>336.2477231329691</v>
      </c>
      <c r="T62" s="51">
        <f>N62</f>
        <v>308.18030050083473</v>
      </c>
      <c r="U62" s="77"/>
      <c r="V62" s="77">
        <v>27.39</v>
      </c>
      <c r="W62" s="77"/>
      <c r="X62" s="77"/>
      <c r="Y62" s="77"/>
      <c r="Z62" s="82">
        <v>153153</v>
      </c>
    </row>
    <row r="63" spans="1:26">
      <c r="A63" s="138" t="s">
        <v>370</v>
      </c>
      <c r="B63" s="138"/>
      <c r="C63" s="138" t="s">
        <v>334</v>
      </c>
      <c r="D63" s="138" t="s">
        <v>335</v>
      </c>
      <c r="E63" s="139">
        <v>8</v>
      </c>
      <c r="F63" s="139" t="s">
        <v>2</v>
      </c>
      <c r="G63" s="34">
        <f>VLOOKUP(C63,Pallets!B:F,5,FALSE)</f>
        <v>0</v>
      </c>
      <c r="H63" s="57">
        <v>16.39</v>
      </c>
      <c r="I63" s="57">
        <f t="shared" si="3"/>
        <v>131.12</v>
      </c>
      <c r="J63" s="42">
        <f t="shared" ref="J63:J64" si="30">H63/(1-0.451)</f>
        <v>29.854280510018221</v>
      </c>
      <c r="K63" s="27">
        <f t="shared" ref="K63:K64" si="31">E63*J63</f>
        <v>238.83424408014577</v>
      </c>
      <c r="L63" s="41">
        <f t="shared" si="16"/>
        <v>0.45100000000000007</v>
      </c>
      <c r="M63" s="47">
        <f t="shared" ref="M63:M64" si="32">H63/(1-0.401)</f>
        <v>27.362270450751254</v>
      </c>
      <c r="N63" s="28">
        <f t="shared" ref="N63:N64" si="33">E63*M63</f>
        <v>218.89816360601003</v>
      </c>
      <c r="O63" s="48">
        <f t="shared" si="13"/>
        <v>0.40100000000000002</v>
      </c>
      <c r="P63" s="71">
        <v>25.21</v>
      </c>
      <c r="Q63" s="31">
        <f t="shared" ref="Q63:Q64" si="34">E63*P63</f>
        <v>201.68</v>
      </c>
      <c r="R63" s="37">
        <f t="shared" si="29"/>
        <v>0.34986116620388735</v>
      </c>
      <c r="S63" s="142">
        <f t="shared" ref="S63:S64" si="35">K63</f>
        <v>238.83424408014577</v>
      </c>
      <c r="T63" s="142">
        <f t="shared" ref="T63:T64" si="36">N63</f>
        <v>218.89816360601003</v>
      </c>
      <c r="U63" s="77"/>
      <c r="V63" s="77"/>
      <c r="W63" s="77"/>
      <c r="X63" s="77"/>
      <c r="Y63" s="77"/>
      <c r="Z63" s="82">
        <v>153153</v>
      </c>
    </row>
    <row r="64" spans="1:26">
      <c r="A64" s="138" t="s">
        <v>370</v>
      </c>
      <c r="B64" s="138"/>
      <c r="C64" s="138" t="s">
        <v>336</v>
      </c>
      <c r="D64" s="138" t="s">
        <v>337</v>
      </c>
      <c r="E64" s="139">
        <v>12</v>
      </c>
      <c r="F64" s="139" t="s">
        <v>2</v>
      </c>
      <c r="G64" s="34">
        <f>VLOOKUP(C64,Pallets!B:F,5,FALSE)</f>
        <v>0</v>
      </c>
      <c r="H64" s="57">
        <v>13.38</v>
      </c>
      <c r="I64" s="57">
        <f t="shared" si="3"/>
        <v>160.56</v>
      </c>
      <c r="J64" s="42">
        <f t="shared" si="30"/>
        <v>24.371584699453557</v>
      </c>
      <c r="K64" s="27">
        <f t="shared" si="31"/>
        <v>292.45901639344265</v>
      </c>
      <c r="L64" s="41">
        <f t="shared" si="16"/>
        <v>0.45100000000000007</v>
      </c>
      <c r="M64" s="47">
        <f t="shared" si="32"/>
        <v>22.337228714524208</v>
      </c>
      <c r="N64" s="28">
        <f t="shared" si="33"/>
        <v>268.04674457429053</v>
      </c>
      <c r="O64" s="48">
        <f t="shared" ref="O64:O66" si="37">(M64-H64)/M64</f>
        <v>0.40100000000000002</v>
      </c>
      <c r="P64" s="71">
        <v>20.58</v>
      </c>
      <c r="Q64" s="31">
        <f t="shared" si="34"/>
        <v>246.95999999999998</v>
      </c>
      <c r="R64" s="37">
        <f t="shared" si="29"/>
        <v>0.34985422740524774</v>
      </c>
      <c r="S64" s="142">
        <f t="shared" si="35"/>
        <v>292.45901639344265</v>
      </c>
      <c r="T64" s="142">
        <f t="shared" si="36"/>
        <v>268.04674457429053</v>
      </c>
      <c r="U64" s="77"/>
      <c r="V64" s="77"/>
      <c r="W64" s="77"/>
      <c r="X64" s="77"/>
      <c r="Y64" s="77"/>
      <c r="Z64" s="82">
        <v>153153</v>
      </c>
    </row>
    <row r="65" spans="1:26">
      <c r="A65" s="140" t="s">
        <v>370</v>
      </c>
      <c r="B65" s="140"/>
      <c r="C65" s="140" t="s">
        <v>338</v>
      </c>
      <c r="D65" s="140" t="s">
        <v>339</v>
      </c>
      <c r="E65" s="141">
        <v>8</v>
      </c>
      <c r="F65" s="141" t="s">
        <v>2</v>
      </c>
      <c r="G65" s="34">
        <f>VLOOKUP(C65,Pallets!B:F,5,FALSE)</f>
        <v>0</v>
      </c>
      <c r="H65" s="57">
        <v>24.7</v>
      </c>
      <c r="I65" s="57">
        <f t="shared" si="3"/>
        <v>197.6</v>
      </c>
      <c r="J65" s="42">
        <f t="shared" si="4"/>
        <v>44.953749999999999</v>
      </c>
      <c r="K65" s="27">
        <f t="shared" si="5"/>
        <v>359.63</v>
      </c>
      <c r="L65" s="41">
        <f t="shared" si="16"/>
        <v>0.4505463949058755</v>
      </c>
      <c r="M65" s="47">
        <f t="shared" si="7"/>
        <v>41.248750000000001</v>
      </c>
      <c r="N65" s="28">
        <f t="shared" si="8"/>
        <v>329.99</v>
      </c>
      <c r="O65" s="48">
        <f t="shared" si="37"/>
        <v>0.40119397557501746</v>
      </c>
      <c r="P65" s="71">
        <f t="shared" si="11"/>
        <v>37.049999999999997</v>
      </c>
      <c r="Q65" s="71">
        <v>296.39999999999998</v>
      </c>
      <c r="R65" s="37">
        <f t="shared" si="29"/>
        <v>0.33333333333333331</v>
      </c>
      <c r="S65" s="51">
        <v>359.63</v>
      </c>
      <c r="T65" s="51">
        <v>329.99</v>
      </c>
      <c r="U65" s="77"/>
      <c r="V65" s="77"/>
      <c r="W65" s="77"/>
      <c r="X65" s="77"/>
      <c r="Y65" s="77"/>
      <c r="Z65" s="82">
        <v>153153</v>
      </c>
    </row>
    <row r="66" spans="1:26">
      <c r="A66" s="140" t="s">
        <v>370</v>
      </c>
      <c r="B66" s="140"/>
      <c r="C66" s="140" t="s">
        <v>340</v>
      </c>
      <c r="D66" s="140" t="s">
        <v>341</v>
      </c>
      <c r="E66" s="141">
        <v>12</v>
      </c>
      <c r="F66" s="141" t="s">
        <v>2</v>
      </c>
      <c r="G66" s="34">
        <f>VLOOKUP(C66,Pallets!B:F,5,FALSE)</f>
        <v>0</v>
      </c>
      <c r="H66" s="57">
        <v>13.79</v>
      </c>
      <c r="I66" s="57">
        <f t="shared" si="3"/>
        <v>165.48</v>
      </c>
      <c r="J66" s="42">
        <f t="shared" si="4"/>
        <v>25.0975</v>
      </c>
      <c r="K66" s="27">
        <f t="shared" si="5"/>
        <v>301.17</v>
      </c>
      <c r="L66" s="41">
        <f t="shared" si="16"/>
        <v>0.4505428827572468</v>
      </c>
      <c r="M66" s="47">
        <f t="shared" si="7"/>
        <v>23.029166666666669</v>
      </c>
      <c r="N66" s="28">
        <f t="shared" si="8"/>
        <v>276.35000000000002</v>
      </c>
      <c r="O66" s="48">
        <f t="shared" si="37"/>
        <v>0.40119413786864494</v>
      </c>
      <c r="P66" s="71">
        <f t="shared" si="11"/>
        <v>20.684999999999999</v>
      </c>
      <c r="Q66" s="71">
        <v>248.22</v>
      </c>
      <c r="R66" s="37">
        <f t="shared" si="29"/>
        <v>0.33333333333333331</v>
      </c>
      <c r="S66" s="51">
        <v>301.17</v>
      </c>
      <c r="T66" s="51">
        <v>276.35000000000002</v>
      </c>
      <c r="U66" s="77"/>
      <c r="V66" s="77"/>
      <c r="W66" s="77"/>
      <c r="X66" s="77"/>
      <c r="Y66" s="77"/>
      <c r="Z66" s="82">
        <v>153153</v>
      </c>
    </row>
    <row r="67" spans="1:26" s="10" customFormat="1">
      <c r="A67" s="86" t="s">
        <v>370</v>
      </c>
      <c r="B67" s="86"/>
      <c r="C67" s="86" t="s">
        <v>342</v>
      </c>
      <c r="D67" s="86" t="s">
        <v>343</v>
      </c>
      <c r="E67" s="87">
        <v>4</v>
      </c>
      <c r="F67" s="87" t="s">
        <v>2</v>
      </c>
      <c r="G67" s="34">
        <f>VLOOKUP(C67,Pallets!B:F,5,FALSE)</f>
        <v>24</v>
      </c>
      <c r="H67" s="57">
        <v>41.5</v>
      </c>
      <c r="I67" s="57">
        <f t="shared" si="3"/>
        <v>166</v>
      </c>
      <c r="J67" s="42">
        <f t="shared" ref="J67" si="38">K67/E67</f>
        <v>72</v>
      </c>
      <c r="K67" s="27">
        <f t="shared" ref="K67" si="39">S67</f>
        <v>288</v>
      </c>
      <c r="L67" s="41">
        <f t="shared" si="16"/>
        <v>0.4236111111111111</v>
      </c>
      <c r="M67" s="47">
        <f t="shared" ref="M67" si="40">N67/E67</f>
        <v>69.305000000000007</v>
      </c>
      <c r="N67" s="28">
        <f t="shared" ref="N67" si="41">T67</f>
        <v>277.22000000000003</v>
      </c>
      <c r="O67" s="48">
        <f t="shared" ref="O67" si="42">(M67-H67)/M67</f>
        <v>0.40119760479041922</v>
      </c>
      <c r="P67" s="71">
        <f t="shared" si="11"/>
        <v>62.25</v>
      </c>
      <c r="Q67" s="71">
        <v>249</v>
      </c>
      <c r="R67" s="37">
        <f t="shared" si="29"/>
        <v>0.33333333333333331</v>
      </c>
      <c r="S67" s="51">
        <v>288</v>
      </c>
      <c r="T67" s="51">
        <v>277.22000000000003</v>
      </c>
      <c r="U67" s="77"/>
      <c r="V67" s="77"/>
      <c r="W67" s="77"/>
      <c r="X67" s="77"/>
      <c r="Y67" s="77"/>
      <c r="Z67" s="82">
        <v>153153</v>
      </c>
    </row>
    <row r="68" spans="1:26">
      <c r="A68" s="86" t="s">
        <v>353</v>
      </c>
      <c r="B68" s="86"/>
      <c r="C68" s="86" t="s">
        <v>147</v>
      </c>
      <c r="D68" s="86" t="s">
        <v>148</v>
      </c>
      <c r="E68" s="87">
        <v>100</v>
      </c>
      <c r="F68" s="87" t="s">
        <v>2</v>
      </c>
      <c r="G68" s="34">
        <f>VLOOKUP(C68,Pallets!B:F,5,FALSE)</f>
        <v>42</v>
      </c>
      <c r="H68" s="57"/>
      <c r="I68" s="57">
        <f t="shared" si="3"/>
        <v>0</v>
      </c>
      <c r="J68" s="42"/>
      <c r="K68" s="65"/>
      <c r="L68" s="41"/>
      <c r="M68" s="47"/>
      <c r="N68" s="68"/>
      <c r="O68" s="48"/>
      <c r="P68" s="71"/>
      <c r="Q68" s="71"/>
      <c r="R68" s="17"/>
      <c r="S68" s="6" t="s">
        <v>3</v>
      </c>
      <c r="T68" s="6" t="s">
        <v>3</v>
      </c>
      <c r="U68" s="77"/>
      <c r="V68" s="77"/>
      <c r="W68" s="77"/>
      <c r="X68" s="77"/>
      <c r="Y68" s="77"/>
      <c r="Z68" s="82">
        <v>153153</v>
      </c>
    </row>
    <row r="69" spans="1:26">
      <c r="A69" s="86" t="s">
        <v>353</v>
      </c>
      <c r="B69" s="86"/>
      <c r="C69" s="86" t="s">
        <v>149</v>
      </c>
      <c r="D69" s="86" t="s">
        <v>150</v>
      </c>
      <c r="E69" s="87">
        <v>100</v>
      </c>
      <c r="F69" s="87" t="s">
        <v>2</v>
      </c>
      <c r="G69" s="34">
        <f>VLOOKUP(C69,Pallets!B:F,5,FALSE)</f>
        <v>30</v>
      </c>
      <c r="H69" s="57"/>
      <c r="I69" s="57">
        <f t="shared" ref="I69:I131" si="43">E69*H69</f>
        <v>0</v>
      </c>
      <c r="J69" s="42"/>
      <c r="K69" s="65"/>
      <c r="L69" s="41"/>
      <c r="M69" s="47"/>
      <c r="N69" s="68"/>
      <c r="O69" s="48"/>
      <c r="P69" s="71"/>
      <c r="Q69" s="71"/>
      <c r="R69" s="17"/>
      <c r="S69" s="6" t="s">
        <v>3</v>
      </c>
      <c r="T69" s="6" t="s">
        <v>3</v>
      </c>
      <c r="U69" s="77"/>
      <c r="V69" s="77"/>
      <c r="W69" s="77"/>
      <c r="X69" s="77"/>
      <c r="Y69" s="77"/>
      <c r="Z69" s="82">
        <v>153153</v>
      </c>
    </row>
    <row r="70" spans="1:26">
      <c r="A70" s="86" t="s">
        <v>353</v>
      </c>
      <c r="B70" s="86"/>
      <c r="C70" s="86" t="s">
        <v>151</v>
      </c>
      <c r="D70" s="86" t="s">
        <v>152</v>
      </c>
      <c r="E70" s="87">
        <v>50</v>
      </c>
      <c r="F70" s="87" t="s">
        <v>2</v>
      </c>
      <c r="G70" s="34">
        <f>VLOOKUP(C70,Pallets!B:F,5,FALSE)</f>
        <v>30</v>
      </c>
      <c r="H70" s="57"/>
      <c r="I70" s="57">
        <f t="shared" si="43"/>
        <v>0</v>
      </c>
      <c r="J70" s="42"/>
      <c r="K70" s="65"/>
      <c r="L70" s="41"/>
      <c r="M70" s="47"/>
      <c r="N70" s="68"/>
      <c r="O70" s="48"/>
      <c r="P70" s="71"/>
      <c r="Q70" s="71"/>
      <c r="R70" s="17"/>
      <c r="S70" s="6" t="s">
        <v>3</v>
      </c>
      <c r="T70" s="6" t="s">
        <v>3</v>
      </c>
      <c r="U70" s="77"/>
      <c r="V70" s="77"/>
      <c r="W70" s="77"/>
      <c r="X70" s="77"/>
      <c r="Y70" s="77"/>
      <c r="Z70" s="82">
        <v>153153</v>
      </c>
    </row>
    <row r="71" spans="1:26">
      <c r="A71" s="86" t="s">
        <v>353</v>
      </c>
      <c r="B71" s="86"/>
      <c r="C71" s="86" t="s">
        <v>153</v>
      </c>
      <c r="D71" s="86" t="s">
        <v>154</v>
      </c>
      <c r="E71" s="87">
        <v>45</v>
      </c>
      <c r="F71" s="87" t="s">
        <v>2</v>
      </c>
      <c r="G71" s="34">
        <f>VLOOKUP(C71,Pallets!B:F,5,FALSE)</f>
        <v>32</v>
      </c>
      <c r="H71" s="57"/>
      <c r="I71" s="57">
        <f t="shared" si="43"/>
        <v>0</v>
      </c>
      <c r="J71" s="42"/>
      <c r="K71" s="65"/>
      <c r="L71" s="41"/>
      <c r="M71" s="47"/>
      <c r="N71" s="68"/>
      <c r="O71" s="48"/>
      <c r="P71" s="71"/>
      <c r="Q71" s="71"/>
      <c r="R71" s="17"/>
      <c r="S71" s="6" t="s">
        <v>3</v>
      </c>
      <c r="T71" s="6" t="s">
        <v>3</v>
      </c>
      <c r="U71" s="77"/>
      <c r="V71" s="77"/>
      <c r="W71" s="77"/>
      <c r="X71" s="77"/>
      <c r="Y71" s="77"/>
      <c r="Z71" s="82">
        <v>153153</v>
      </c>
    </row>
    <row r="72" spans="1:26">
      <c r="A72" s="86" t="s">
        <v>353</v>
      </c>
      <c r="B72" s="86"/>
      <c r="C72" s="86" t="s">
        <v>167</v>
      </c>
      <c r="D72" s="86" t="s">
        <v>168</v>
      </c>
      <c r="E72" s="87">
        <v>120</v>
      </c>
      <c r="F72" s="87" t="s">
        <v>2</v>
      </c>
      <c r="G72" s="34">
        <f>VLOOKUP(C72,Pallets!B:F,5,FALSE)</f>
        <v>42</v>
      </c>
      <c r="H72" s="57"/>
      <c r="I72" s="57">
        <f t="shared" si="43"/>
        <v>0</v>
      </c>
      <c r="J72" s="42"/>
      <c r="K72" s="65"/>
      <c r="L72" s="41"/>
      <c r="M72" s="47"/>
      <c r="N72" s="68"/>
      <c r="O72" s="48"/>
      <c r="P72" s="71"/>
      <c r="Q72" s="71"/>
      <c r="R72" s="17"/>
      <c r="S72" s="6" t="s">
        <v>3</v>
      </c>
      <c r="T72" s="6" t="s">
        <v>3</v>
      </c>
      <c r="U72" s="77"/>
      <c r="V72" s="77"/>
      <c r="W72" s="77"/>
      <c r="X72" s="77"/>
      <c r="Y72" s="77"/>
      <c r="Z72" s="82">
        <v>153153</v>
      </c>
    </row>
    <row r="73" spans="1:26">
      <c r="A73" s="86" t="s">
        <v>353</v>
      </c>
      <c r="B73" s="86"/>
      <c r="C73" s="86" t="s">
        <v>169</v>
      </c>
      <c r="D73" s="86" t="s">
        <v>170</v>
      </c>
      <c r="E73" s="87">
        <v>120</v>
      </c>
      <c r="F73" s="87" t="s">
        <v>2</v>
      </c>
      <c r="G73" s="34">
        <f>VLOOKUP(C73,Pallets!B:F,5,FALSE)</f>
        <v>42</v>
      </c>
      <c r="H73" s="57"/>
      <c r="I73" s="57">
        <f t="shared" si="43"/>
        <v>0</v>
      </c>
      <c r="J73" s="42"/>
      <c r="K73" s="65"/>
      <c r="L73" s="41"/>
      <c r="M73" s="47"/>
      <c r="N73" s="68"/>
      <c r="O73" s="48"/>
      <c r="P73" s="71"/>
      <c r="Q73" s="71"/>
      <c r="R73" s="17"/>
      <c r="S73" s="6" t="s">
        <v>3</v>
      </c>
      <c r="T73" s="6" t="s">
        <v>3</v>
      </c>
      <c r="U73" s="77"/>
      <c r="V73" s="77"/>
      <c r="W73" s="77"/>
      <c r="X73" s="77"/>
      <c r="Y73" s="77"/>
      <c r="Z73" s="82">
        <v>153153</v>
      </c>
    </row>
    <row r="74" spans="1:26">
      <c r="A74" s="86" t="s">
        <v>353</v>
      </c>
      <c r="B74" s="86"/>
      <c r="C74" s="86" t="s">
        <v>171</v>
      </c>
      <c r="D74" s="86" t="s">
        <v>172</v>
      </c>
      <c r="E74" s="87">
        <v>100</v>
      </c>
      <c r="F74" s="87" t="s">
        <v>2</v>
      </c>
      <c r="G74" s="34">
        <f>VLOOKUP(C74,Pallets!B:F,5,FALSE)</f>
        <v>42</v>
      </c>
      <c r="H74" s="57"/>
      <c r="I74" s="57">
        <f t="shared" si="43"/>
        <v>0</v>
      </c>
      <c r="J74" s="42"/>
      <c r="K74" s="65"/>
      <c r="L74" s="41"/>
      <c r="M74" s="47"/>
      <c r="N74" s="68"/>
      <c r="O74" s="48"/>
      <c r="P74" s="71"/>
      <c r="Q74" s="71"/>
      <c r="R74" s="17"/>
      <c r="S74" s="6" t="s">
        <v>3</v>
      </c>
      <c r="T74" s="6" t="s">
        <v>3</v>
      </c>
      <c r="U74" s="77"/>
      <c r="V74" s="77"/>
      <c r="W74" s="77"/>
      <c r="X74" s="77"/>
      <c r="Y74" s="77"/>
      <c r="Z74" s="82">
        <v>153153</v>
      </c>
    </row>
    <row r="75" spans="1:26">
      <c r="A75" s="86" t="s">
        <v>353</v>
      </c>
      <c r="B75" s="86"/>
      <c r="C75" s="86" t="s">
        <v>173</v>
      </c>
      <c r="D75" s="86" t="s">
        <v>174</v>
      </c>
      <c r="E75" s="87">
        <v>100</v>
      </c>
      <c r="F75" s="87" t="s">
        <v>2</v>
      </c>
      <c r="G75" s="34">
        <f>VLOOKUP(C75,Pallets!B:F,5,FALSE)</f>
        <v>30</v>
      </c>
      <c r="H75" s="57"/>
      <c r="I75" s="57">
        <f t="shared" si="43"/>
        <v>0</v>
      </c>
      <c r="J75" s="42"/>
      <c r="K75" s="65"/>
      <c r="L75" s="41"/>
      <c r="M75" s="47"/>
      <c r="N75" s="68"/>
      <c r="O75" s="48"/>
      <c r="P75" s="71"/>
      <c r="Q75" s="71"/>
      <c r="R75" s="17"/>
      <c r="S75" s="6" t="s">
        <v>3</v>
      </c>
      <c r="T75" s="6" t="s">
        <v>3</v>
      </c>
      <c r="U75" s="77"/>
      <c r="V75" s="77"/>
      <c r="W75" s="77"/>
      <c r="X75" s="77"/>
      <c r="Y75" s="77"/>
      <c r="Z75" s="82">
        <v>153153</v>
      </c>
    </row>
    <row r="76" spans="1:26">
      <c r="A76" s="86" t="s">
        <v>353</v>
      </c>
      <c r="B76" s="86"/>
      <c r="C76" s="86" t="s">
        <v>189</v>
      </c>
      <c r="D76" s="86" t="s">
        <v>190</v>
      </c>
      <c r="E76" s="87">
        <v>20</v>
      </c>
      <c r="F76" s="87" t="s">
        <v>2</v>
      </c>
      <c r="G76" s="34">
        <f>VLOOKUP(C76,Pallets!B:F,5,FALSE)</f>
        <v>40</v>
      </c>
      <c r="H76" s="57"/>
      <c r="I76" s="57">
        <f t="shared" si="43"/>
        <v>0</v>
      </c>
      <c r="J76" s="42"/>
      <c r="K76" s="65"/>
      <c r="L76" s="41"/>
      <c r="M76" s="47"/>
      <c r="N76" s="68"/>
      <c r="O76" s="48"/>
      <c r="P76" s="71"/>
      <c r="Q76" s="71"/>
      <c r="R76" s="17"/>
      <c r="S76" s="6" t="s">
        <v>3</v>
      </c>
      <c r="T76" s="6" t="s">
        <v>3</v>
      </c>
      <c r="U76" s="77"/>
      <c r="V76" s="77"/>
      <c r="W76" s="77"/>
      <c r="X76" s="77"/>
      <c r="Y76" s="77"/>
      <c r="Z76" s="82">
        <v>153153</v>
      </c>
    </row>
    <row r="77" spans="1:26">
      <c r="A77" s="86" t="s">
        <v>353</v>
      </c>
      <c r="B77" s="86"/>
      <c r="C77" s="86" t="s">
        <v>191</v>
      </c>
      <c r="D77" s="86" t="s">
        <v>192</v>
      </c>
      <c r="E77" s="87">
        <v>20</v>
      </c>
      <c r="F77" s="87" t="s">
        <v>2</v>
      </c>
      <c r="G77" s="34">
        <f>VLOOKUP(C77,Pallets!B:F,5,FALSE)</f>
        <v>32</v>
      </c>
      <c r="H77" s="57"/>
      <c r="I77" s="57">
        <f t="shared" si="43"/>
        <v>0</v>
      </c>
      <c r="J77" s="42"/>
      <c r="K77" s="65"/>
      <c r="L77" s="41"/>
      <c r="M77" s="47"/>
      <c r="N77" s="68"/>
      <c r="O77" s="48"/>
      <c r="P77" s="71"/>
      <c r="Q77" s="71"/>
      <c r="R77" s="17"/>
      <c r="S77" s="6" t="s">
        <v>3</v>
      </c>
      <c r="T77" s="6" t="s">
        <v>3</v>
      </c>
      <c r="U77" s="77"/>
      <c r="V77" s="77"/>
      <c r="W77" s="77"/>
      <c r="X77" s="77"/>
      <c r="Y77" s="77"/>
      <c r="Z77" s="82">
        <v>153153</v>
      </c>
    </row>
    <row r="78" spans="1:26">
      <c r="A78" s="86" t="s">
        <v>353</v>
      </c>
      <c r="B78" s="86"/>
      <c r="C78" s="86" t="s">
        <v>201</v>
      </c>
      <c r="D78" s="86" t="s">
        <v>202</v>
      </c>
      <c r="E78" s="87">
        <v>80</v>
      </c>
      <c r="F78" s="87" t="s">
        <v>2</v>
      </c>
      <c r="G78" s="34">
        <f>VLOOKUP(C78,Pallets!B:F,5,FALSE)</f>
        <v>24</v>
      </c>
      <c r="H78" s="57"/>
      <c r="I78" s="57">
        <f t="shared" si="43"/>
        <v>0</v>
      </c>
      <c r="J78" s="42"/>
      <c r="K78" s="65"/>
      <c r="L78" s="41"/>
      <c r="M78" s="47"/>
      <c r="N78" s="68"/>
      <c r="O78" s="48"/>
      <c r="P78" s="71"/>
      <c r="Q78" s="71"/>
      <c r="R78" s="17"/>
      <c r="S78" s="6" t="s">
        <v>3</v>
      </c>
      <c r="T78" s="6" t="s">
        <v>3</v>
      </c>
      <c r="U78" s="77"/>
      <c r="V78" s="77"/>
      <c r="W78" s="77"/>
      <c r="X78" s="77"/>
      <c r="Y78" s="77"/>
      <c r="Z78" s="82">
        <v>153153</v>
      </c>
    </row>
    <row r="79" spans="1:26">
      <c r="A79" s="86" t="s">
        <v>353</v>
      </c>
      <c r="B79" s="86"/>
      <c r="C79" s="86" t="s">
        <v>203</v>
      </c>
      <c r="D79" s="86" t="s">
        <v>204</v>
      </c>
      <c r="E79" s="87">
        <v>80</v>
      </c>
      <c r="F79" s="87" t="s">
        <v>2</v>
      </c>
      <c r="G79" s="34">
        <f>VLOOKUP(C79,Pallets!B:F,5,FALSE)</f>
        <v>24</v>
      </c>
      <c r="H79" s="57"/>
      <c r="I79" s="57">
        <f t="shared" si="43"/>
        <v>0</v>
      </c>
      <c r="J79" s="42"/>
      <c r="K79" s="65"/>
      <c r="L79" s="41"/>
      <c r="M79" s="47"/>
      <c r="N79" s="68"/>
      <c r="O79" s="48"/>
      <c r="P79" s="71"/>
      <c r="Q79" s="71"/>
      <c r="R79" s="17"/>
      <c r="S79" s="6" t="s">
        <v>3</v>
      </c>
      <c r="T79" s="6" t="s">
        <v>3</v>
      </c>
      <c r="U79" s="77"/>
      <c r="V79" s="77"/>
      <c r="W79" s="77"/>
      <c r="X79" s="77"/>
      <c r="Y79" s="77"/>
      <c r="Z79" s="82">
        <v>153153</v>
      </c>
    </row>
    <row r="80" spans="1:26">
      <c r="A80" s="86" t="s">
        <v>353</v>
      </c>
      <c r="B80" s="86"/>
      <c r="C80" s="86" t="s">
        <v>205</v>
      </c>
      <c r="D80" s="86" t="s">
        <v>206</v>
      </c>
      <c r="E80" s="87">
        <v>40</v>
      </c>
      <c r="F80" s="87" t="s">
        <v>2</v>
      </c>
      <c r="G80" s="34">
        <f>VLOOKUP(C80,Pallets!B:F,5,FALSE)</f>
        <v>24</v>
      </c>
      <c r="H80" s="57"/>
      <c r="I80" s="57">
        <f t="shared" si="43"/>
        <v>0</v>
      </c>
      <c r="J80" s="42"/>
      <c r="K80" s="65"/>
      <c r="L80" s="41"/>
      <c r="M80" s="47"/>
      <c r="N80" s="68"/>
      <c r="O80" s="48"/>
      <c r="P80" s="71"/>
      <c r="Q80" s="71"/>
      <c r="R80" s="17"/>
      <c r="S80" s="6" t="s">
        <v>3</v>
      </c>
      <c r="T80" s="6" t="s">
        <v>3</v>
      </c>
      <c r="U80" s="77"/>
      <c r="V80" s="77"/>
      <c r="W80" s="77"/>
      <c r="X80" s="77"/>
      <c r="Y80" s="77"/>
      <c r="Z80" s="82">
        <v>153153</v>
      </c>
    </row>
    <row r="81" spans="1:26">
      <c r="A81" s="86" t="s">
        <v>353</v>
      </c>
      <c r="B81" s="86"/>
      <c r="C81" s="86" t="s">
        <v>211</v>
      </c>
      <c r="D81" s="86" t="s">
        <v>212</v>
      </c>
      <c r="E81" s="87">
        <v>10</v>
      </c>
      <c r="F81" s="87" t="s">
        <v>2</v>
      </c>
      <c r="G81" s="34">
        <f>VLOOKUP(C81,Pallets!B:F,5,FALSE)</f>
        <v>24</v>
      </c>
      <c r="H81" s="57"/>
      <c r="I81" s="57">
        <f t="shared" si="43"/>
        <v>0</v>
      </c>
      <c r="J81" s="42"/>
      <c r="K81" s="65"/>
      <c r="L81" s="41"/>
      <c r="M81" s="47"/>
      <c r="N81" s="68"/>
      <c r="O81" s="48"/>
      <c r="P81" s="71"/>
      <c r="Q81" s="71"/>
      <c r="R81" s="17"/>
      <c r="S81" s="6" t="s">
        <v>3</v>
      </c>
      <c r="T81" s="6" t="s">
        <v>3</v>
      </c>
      <c r="U81" s="77"/>
      <c r="V81" s="77"/>
      <c r="W81" s="77"/>
      <c r="X81" s="77"/>
      <c r="Y81" s="77"/>
      <c r="Z81" s="82">
        <v>153153</v>
      </c>
    </row>
    <row r="82" spans="1:26">
      <c r="A82" s="86" t="s">
        <v>353</v>
      </c>
      <c r="B82" s="86"/>
      <c r="C82" s="86" t="s">
        <v>217</v>
      </c>
      <c r="D82" s="86" t="s">
        <v>218</v>
      </c>
      <c r="E82" s="87">
        <v>10</v>
      </c>
      <c r="F82" s="87" t="s">
        <v>2</v>
      </c>
      <c r="G82" s="34">
        <f>VLOOKUP(C82,Pallets!B:F,5,FALSE)</f>
        <v>24</v>
      </c>
      <c r="H82" s="57"/>
      <c r="I82" s="57">
        <f t="shared" si="43"/>
        <v>0</v>
      </c>
      <c r="J82" s="42"/>
      <c r="K82" s="65"/>
      <c r="L82" s="41"/>
      <c r="M82" s="47"/>
      <c r="N82" s="68"/>
      <c r="O82" s="48"/>
      <c r="P82" s="71"/>
      <c r="Q82" s="71"/>
      <c r="R82" s="17"/>
      <c r="S82" s="6" t="s">
        <v>3</v>
      </c>
      <c r="T82" s="6" t="s">
        <v>3</v>
      </c>
      <c r="U82" s="77"/>
      <c r="V82" s="77"/>
      <c r="W82" s="77"/>
      <c r="X82" s="77"/>
      <c r="Y82" s="77"/>
      <c r="Z82" s="82">
        <v>153153</v>
      </c>
    </row>
    <row r="83" spans="1:26">
      <c r="A83" s="86" t="s">
        <v>353</v>
      </c>
      <c r="B83" s="86"/>
      <c r="C83" s="86" t="s">
        <v>229</v>
      </c>
      <c r="D83" s="86" t="s">
        <v>230</v>
      </c>
      <c r="E83" s="87">
        <v>10</v>
      </c>
      <c r="F83" s="87" t="s">
        <v>2</v>
      </c>
      <c r="G83" s="34">
        <f>VLOOKUP(C83,Pallets!B:F,5,FALSE)</f>
        <v>24</v>
      </c>
      <c r="H83" s="57"/>
      <c r="I83" s="57">
        <f t="shared" si="43"/>
        <v>0</v>
      </c>
      <c r="J83" s="42"/>
      <c r="K83" s="65"/>
      <c r="L83" s="41"/>
      <c r="M83" s="47"/>
      <c r="N83" s="68"/>
      <c r="O83" s="48"/>
      <c r="P83" s="71"/>
      <c r="Q83" s="71"/>
      <c r="R83" s="17"/>
      <c r="S83" s="6" t="s">
        <v>3</v>
      </c>
      <c r="T83" s="6" t="s">
        <v>3</v>
      </c>
      <c r="U83" s="77"/>
      <c r="V83" s="77"/>
      <c r="W83" s="77"/>
      <c r="X83" s="77"/>
      <c r="Y83" s="77"/>
      <c r="Z83" s="82">
        <v>153153</v>
      </c>
    </row>
    <row r="84" spans="1:26">
      <c r="A84" s="86" t="s">
        <v>353</v>
      </c>
      <c r="B84" s="86"/>
      <c r="C84" s="86" t="s">
        <v>241</v>
      </c>
      <c r="D84" s="86" t="s">
        <v>242</v>
      </c>
      <c r="E84" s="87">
        <v>10</v>
      </c>
      <c r="F84" s="87" t="s">
        <v>2</v>
      </c>
      <c r="G84" s="34">
        <f>VLOOKUP(C84,Pallets!B:F,5,FALSE)</f>
        <v>32</v>
      </c>
      <c r="H84" s="57"/>
      <c r="I84" s="57">
        <f t="shared" si="43"/>
        <v>0</v>
      </c>
      <c r="J84" s="42"/>
      <c r="K84" s="65"/>
      <c r="L84" s="41"/>
      <c r="M84" s="47"/>
      <c r="N84" s="68"/>
      <c r="O84" s="48"/>
      <c r="P84" s="71"/>
      <c r="Q84" s="71"/>
      <c r="R84" s="17"/>
      <c r="S84" s="6" t="s">
        <v>3</v>
      </c>
      <c r="T84" s="6" t="s">
        <v>3</v>
      </c>
      <c r="U84" s="77"/>
      <c r="V84" s="77"/>
      <c r="W84" s="77"/>
      <c r="X84" s="77"/>
      <c r="Y84" s="77"/>
      <c r="Z84" s="82">
        <v>153153</v>
      </c>
    </row>
    <row r="85" spans="1:26">
      <c r="A85" s="86" t="s">
        <v>353</v>
      </c>
      <c r="B85" s="86"/>
      <c r="C85" s="86" t="s">
        <v>253</v>
      </c>
      <c r="D85" s="86" t="s">
        <v>254</v>
      </c>
      <c r="E85" s="87">
        <v>12</v>
      </c>
      <c r="F85" s="87" t="s">
        <v>2</v>
      </c>
      <c r="G85" s="34">
        <f>VLOOKUP(C85,Pallets!B:F,5,FALSE)</f>
        <v>32</v>
      </c>
      <c r="H85" s="57"/>
      <c r="I85" s="57">
        <f t="shared" si="43"/>
        <v>0</v>
      </c>
      <c r="J85" s="42"/>
      <c r="K85" s="65"/>
      <c r="L85" s="41"/>
      <c r="M85" s="47"/>
      <c r="N85" s="68"/>
      <c r="O85" s="48"/>
      <c r="P85" s="71"/>
      <c r="Q85" s="71"/>
      <c r="R85" s="17"/>
      <c r="S85" s="6" t="s">
        <v>3</v>
      </c>
      <c r="T85" s="6" t="s">
        <v>3</v>
      </c>
      <c r="U85" s="77"/>
      <c r="V85" s="77"/>
      <c r="W85" s="77"/>
      <c r="X85" s="77"/>
      <c r="Y85" s="77"/>
      <c r="Z85" s="82">
        <v>153153</v>
      </c>
    </row>
    <row r="86" spans="1:26">
      <c r="A86" s="86" t="s">
        <v>353</v>
      </c>
      <c r="B86" s="86"/>
      <c r="C86" s="86" t="s">
        <v>261</v>
      </c>
      <c r="D86" s="86" t="s">
        <v>262</v>
      </c>
      <c r="E86" s="87">
        <v>10</v>
      </c>
      <c r="F86" s="87" t="s">
        <v>2</v>
      </c>
      <c r="G86" s="34">
        <f>VLOOKUP(C86,Pallets!B:F,5,FALSE)</f>
        <v>24</v>
      </c>
      <c r="H86" s="57"/>
      <c r="I86" s="57">
        <f t="shared" si="43"/>
        <v>0</v>
      </c>
      <c r="J86" s="42"/>
      <c r="K86" s="65"/>
      <c r="L86" s="41"/>
      <c r="M86" s="47"/>
      <c r="N86" s="68"/>
      <c r="O86" s="48"/>
      <c r="P86" s="71"/>
      <c r="Q86" s="71"/>
      <c r="R86" s="17"/>
      <c r="S86" s="6" t="s">
        <v>3</v>
      </c>
      <c r="T86" s="6" t="s">
        <v>3</v>
      </c>
      <c r="U86" s="77"/>
      <c r="V86" s="77"/>
      <c r="W86" s="77"/>
      <c r="X86" s="77"/>
      <c r="Y86" s="77"/>
      <c r="Z86" s="82">
        <v>153153</v>
      </c>
    </row>
    <row r="87" spans="1:26">
      <c r="A87" s="86" t="s">
        <v>353</v>
      </c>
      <c r="B87" s="86"/>
      <c r="C87" s="86" t="s">
        <v>263</v>
      </c>
      <c r="D87" s="86" t="s">
        <v>264</v>
      </c>
      <c r="E87" s="87">
        <v>10</v>
      </c>
      <c r="F87" s="87" t="s">
        <v>2</v>
      </c>
      <c r="G87" s="34">
        <f>VLOOKUP(C87,Pallets!B:F,5,FALSE)</f>
        <v>24</v>
      </c>
      <c r="H87" s="57"/>
      <c r="I87" s="57">
        <f t="shared" si="43"/>
        <v>0</v>
      </c>
      <c r="J87" s="42"/>
      <c r="K87" s="65"/>
      <c r="L87" s="41"/>
      <c r="M87" s="47"/>
      <c r="N87" s="68"/>
      <c r="O87" s="48"/>
      <c r="P87" s="71"/>
      <c r="Q87" s="71"/>
      <c r="R87" s="17"/>
      <c r="S87" s="6" t="s">
        <v>3</v>
      </c>
      <c r="T87" s="6" t="s">
        <v>3</v>
      </c>
      <c r="U87" s="77"/>
      <c r="V87" s="77"/>
      <c r="W87" s="77"/>
      <c r="X87" s="77"/>
      <c r="Y87" s="77"/>
      <c r="Z87" s="82">
        <v>153153</v>
      </c>
    </row>
    <row r="88" spans="1:26">
      <c r="A88" s="86" t="s">
        <v>353</v>
      </c>
      <c r="B88" s="86"/>
      <c r="C88" s="86" t="s">
        <v>267</v>
      </c>
      <c r="D88" s="86" t="s">
        <v>268</v>
      </c>
      <c r="E88" s="87">
        <v>8</v>
      </c>
      <c r="F88" s="87" t="s">
        <v>2</v>
      </c>
      <c r="G88" s="34">
        <f>VLOOKUP(C88,Pallets!B:F,5,FALSE)</f>
        <v>24</v>
      </c>
      <c r="H88" s="57"/>
      <c r="I88" s="57">
        <f t="shared" si="43"/>
        <v>0</v>
      </c>
      <c r="J88" s="42"/>
      <c r="K88" s="65"/>
      <c r="L88" s="41"/>
      <c r="M88" s="47"/>
      <c r="N88" s="68"/>
      <c r="O88" s="48"/>
      <c r="P88" s="71"/>
      <c r="Q88" s="71"/>
      <c r="R88" s="17"/>
      <c r="S88" s="6" t="s">
        <v>3</v>
      </c>
      <c r="T88" s="6" t="s">
        <v>3</v>
      </c>
      <c r="U88" s="77"/>
      <c r="V88" s="77"/>
      <c r="W88" s="77"/>
      <c r="X88" s="77"/>
      <c r="Y88" s="77"/>
      <c r="Z88" s="82">
        <v>153153</v>
      </c>
    </row>
    <row r="89" spans="1:26">
      <c r="A89" s="86" t="s">
        <v>353</v>
      </c>
      <c r="B89" s="86"/>
      <c r="C89" s="86" t="s">
        <v>271</v>
      </c>
      <c r="D89" s="86" t="s">
        <v>272</v>
      </c>
      <c r="E89" s="87">
        <v>10</v>
      </c>
      <c r="F89" s="87" t="s">
        <v>2</v>
      </c>
      <c r="G89" s="34">
        <f>VLOOKUP(C89,Pallets!B:F,5,FALSE)</f>
        <v>24</v>
      </c>
      <c r="H89" s="57"/>
      <c r="I89" s="57">
        <f t="shared" si="43"/>
        <v>0</v>
      </c>
      <c r="J89" s="42"/>
      <c r="K89" s="65"/>
      <c r="L89" s="41"/>
      <c r="M89" s="47"/>
      <c r="N89" s="68"/>
      <c r="O89" s="48"/>
      <c r="P89" s="71"/>
      <c r="Q89" s="71"/>
      <c r="R89" s="17"/>
      <c r="S89" s="6" t="s">
        <v>3</v>
      </c>
      <c r="T89" s="6" t="s">
        <v>3</v>
      </c>
      <c r="U89" s="77"/>
      <c r="V89" s="77"/>
      <c r="W89" s="77"/>
      <c r="X89" s="77"/>
      <c r="Y89" s="77"/>
      <c r="Z89" s="82">
        <v>153153</v>
      </c>
    </row>
    <row r="90" spans="1:26">
      <c r="A90" s="86" t="s">
        <v>353</v>
      </c>
      <c r="B90" s="86"/>
      <c r="C90" s="86" t="s">
        <v>277</v>
      </c>
      <c r="D90" s="86" t="s">
        <v>278</v>
      </c>
      <c r="E90" s="87">
        <v>40</v>
      </c>
      <c r="F90" s="87" t="s">
        <v>2</v>
      </c>
      <c r="G90" s="34">
        <f>VLOOKUP(C90,Pallets!B:F,5,FALSE)</f>
        <v>24</v>
      </c>
      <c r="H90" s="57"/>
      <c r="I90" s="57">
        <f t="shared" si="43"/>
        <v>0</v>
      </c>
      <c r="J90" s="42"/>
      <c r="K90" s="65"/>
      <c r="L90" s="41"/>
      <c r="M90" s="47"/>
      <c r="N90" s="68"/>
      <c r="O90" s="48"/>
      <c r="P90" s="71"/>
      <c r="Q90" s="71"/>
      <c r="R90" s="17"/>
      <c r="S90" s="6" t="s">
        <v>3</v>
      </c>
      <c r="T90" s="6" t="s">
        <v>3</v>
      </c>
      <c r="U90" s="77"/>
      <c r="V90" s="77"/>
      <c r="W90" s="77"/>
      <c r="X90" s="77"/>
      <c r="Y90" s="77"/>
      <c r="Z90" s="82">
        <v>153153</v>
      </c>
    </row>
    <row r="91" spans="1:26">
      <c r="A91" s="86" t="s">
        <v>353</v>
      </c>
      <c r="B91" s="86"/>
      <c r="C91" s="86" t="s">
        <v>307</v>
      </c>
      <c r="D91" s="86" t="s">
        <v>308</v>
      </c>
      <c r="E91" s="87">
        <v>22</v>
      </c>
      <c r="F91" s="87" t="s">
        <v>2</v>
      </c>
      <c r="G91" s="34">
        <f>VLOOKUP(C91,Pallets!B:F,5,FALSE)</f>
        <v>30</v>
      </c>
      <c r="H91" s="57"/>
      <c r="I91" s="57">
        <f t="shared" si="43"/>
        <v>0</v>
      </c>
      <c r="J91" s="42"/>
      <c r="K91" s="65"/>
      <c r="L91" s="41"/>
      <c r="M91" s="47"/>
      <c r="N91" s="68"/>
      <c r="O91" s="48"/>
      <c r="P91" s="71"/>
      <c r="Q91" s="71"/>
      <c r="R91" s="17"/>
      <c r="S91" s="6" t="s">
        <v>3</v>
      </c>
      <c r="T91" s="6" t="s">
        <v>3</v>
      </c>
      <c r="U91" s="77"/>
      <c r="V91" s="77"/>
      <c r="W91" s="77"/>
      <c r="X91" s="77"/>
      <c r="Y91" s="77"/>
      <c r="Z91" s="82">
        <v>153153</v>
      </c>
    </row>
    <row r="92" spans="1:26">
      <c r="A92" s="86" t="s">
        <v>353</v>
      </c>
      <c r="B92" s="86"/>
      <c r="C92" s="86" t="s">
        <v>309</v>
      </c>
      <c r="D92" s="86" t="s">
        <v>310</v>
      </c>
      <c r="E92" s="87">
        <v>40</v>
      </c>
      <c r="F92" s="87" t="s">
        <v>2</v>
      </c>
      <c r="G92" s="34">
        <f>VLOOKUP(C92,Pallets!B:F,5,FALSE)</f>
        <v>24</v>
      </c>
      <c r="H92" s="57"/>
      <c r="I92" s="57">
        <f t="shared" si="43"/>
        <v>0</v>
      </c>
      <c r="J92" s="42"/>
      <c r="K92" s="65"/>
      <c r="L92" s="41"/>
      <c r="M92" s="47"/>
      <c r="N92" s="68"/>
      <c r="O92" s="48"/>
      <c r="P92" s="71"/>
      <c r="Q92" s="71"/>
      <c r="R92" s="17"/>
      <c r="S92" s="6" t="s">
        <v>3</v>
      </c>
      <c r="T92" s="6" t="s">
        <v>3</v>
      </c>
      <c r="U92" s="77"/>
      <c r="V92" s="77"/>
      <c r="W92" s="77"/>
      <c r="X92" s="77"/>
      <c r="Y92" s="77"/>
      <c r="Z92" s="82">
        <v>153153</v>
      </c>
    </row>
    <row r="93" spans="1:26">
      <c r="A93" s="86" t="s">
        <v>353</v>
      </c>
      <c r="B93" s="86"/>
      <c r="C93" s="86" t="s">
        <v>313</v>
      </c>
      <c r="D93" s="86" t="s">
        <v>314</v>
      </c>
      <c r="E93" s="87">
        <v>20</v>
      </c>
      <c r="F93" s="87" t="s">
        <v>2</v>
      </c>
      <c r="G93" s="34">
        <f>VLOOKUP(C93,Pallets!B:F,5,FALSE)</f>
        <v>40</v>
      </c>
      <c r="H93" s="57"/>
      <c r="I93" s="57">
        <f t="shared" si="43"/>
        <v>0</v>
      </c>
      <c r="J93" s="42"/>
      <c r="K93" s="65"/>
      <c r="L93" s="41"/>
      <c r="M93" s="47"/>
      <c r="N93" s="68"/>
      <c r="O93" s="48"/>
      <c r="P93" s="71"/>
      <c r="Q93" s="71"/>
      <c r="R93" s="36"/>
      <c r="S93" s="6" t="s">
        <v>3</v>
      </c>
      <c r="T93" s="6" t="s">
        <v>3</v>
      </c>
      <c r="U93" s="77"/>
      <c r="V93" s="77"/>
      <c r="W93" s="77"/>
      <c r="X93" s="77"/>
      <c r="Y93" s="77"/>
      <c r="Z93" s="82">
        <v>153153</v>
      </c>
    </row>
    <row r="94" spans="1:26">
      <c r="A94" s="86" t="s">
        <v>353</v>
      </c>
      <c r="B94" s="86"/>
      <c r="C94" s="86" t="s">
        <v>318</v>
      </c>
      <c r="D94" s="86" t="s">
        <v>319</v>
      </c>
      <c r="E94" s="87">
        <v>15</v>
      </c>
      <c r="F94" s="87" t="s">
        <v>2</v>
      </c>
      <c r="G94" s="34">
        <f>VLOOKUP(C94,Pallets!B:F,5,FALSE)</f>
        <v>24</v>
      </c>
      <c r="H94" s="57"/>
      <c r="I94" s="57">
        <f t="shared" si="43"/>
        <v>0</v>
      </c>
      <c r="J94" s="42"/>
      <c r="K94" s="65"/>
      <c r="L94" s="41"/>
      <c r="M94" s="47"/>
      <c r="N94" s="68"/>
      <c r="O94" s="48"/>
      <c r="P94" s="71"/>
      <c r="Q94" s="71"/>
      <c r="R94" s="36"/>
      <c r="S94" s="6" t="s">
        <v>3</v>
      </c>
      <c r="T94" s="6" t="s">
        <v>3</v>
      </c>
      <c r="U94" s="77"/>
      <c r="V94" s="77"/>
      <c r="W94" s="77"/>
      <c r="X94" s="77"/>
      <c r="Y94" s="77"/>
      <c r="Z94" s="82">
        <v>153153</v>
      </c>
    </row>
    <row r="95" spans="1:26">
      <c r="A95" s="88" t="s">
        <v>353</v>
      </c>
      <c r="B95" s="88"/>
      <c r="C95" s="88" t="s">
        <v>322</v>
      </c>
      <c r="D95" s="88" t="s">
        <v>323</v>
      </c>
      <c r="E95" s="89">
        <v>15</v>
      </c>
      <c r="F95" s="89" t="s">
        <v>2</v>
      </c>
      <c r="G95" s="14">
        <f>VLOOKUP(C95,Pallets!B:F,5,FALSE)</f>
        <v>32</v>
      </c>
      <c r="H95" s="91"/>
      <c r="I95" s="58">
        <f t="shared" si="43"/>
        <v>0</v>
      </c>
      <c r="J95" s="92"/>
      <c r="K95" s="93"/>
      <c r="L95" s="43"/>
      <c r="M95" s="94"/>
      <c r="N95" s="95"/>
      <c r="O95" s="50"/>
      <c r="P95" s="96"/>
      <c r="Q95" s="96"/>
      <c r="R95" s="97"/>
      <c r="S95" s="8" t="s">
        <v>3</v>
      </c>
      <c r="T95" s="6" t="s">
        <v>3</v>
      </c>
      <c r="U95" s="77"/>
      <c r="V95" s="77"/>
      <c r="W95" s="77"/>
      <c r="X95" s="77"/>
      <c r="Y95" s="77"/>
      <c r="Z95" s="82">
        <v>153153</v>
      </c>
    </row>
    <row r="96" spans="1:26">
      <c r="A96" s="4" t="s">
        <v>351</v>
      </c>
      <c r="B96" s="4"/>
      <c r="C96" s="4" t="s">
        <v>0</v>
      </c>
      <c r="D96" s="4" t="s">
        <v>1</v>
      </c>
      <c r="E96" s="12">
        <v>1000</v>
      </c>
      <c r="F96" s="12" t="s">
        <v>2</v>
      </c>
      <c r="G96" s="34">
        <f>VLOOKUP(C96,Pallets!B:F,5,FALSE)</f>
        <v>63</v>
      </c>
      <c r="H96" s="57">
        <v>0.03</v>
      </c>
      <c r="I96" s="57">
        <f t="shared" si="43"/>
        <v>30</v>
      </c>
      <c r="J96" s="42">
        <f>H96/(1-0.4)</f>
        <v>0.05</v>
      </c>
      <c r="K96" s="65">
        <f t="shared" ref="K96:K118" si="44">E96*J96</f>
        <v>50</v>
      </c>
      <c r="L96" s="41">
        <f t="shared" ref="L96:L118" si="45">(J96-H96)/J96</f>
        <v>0.40000000000000008</v>
      </c>
      <c r="M96" s="47">
        <f>H96/(1-0.35)</f>
        <v>4.6153846153846149E-2</v>
      </c>
      <c r="N96" s="68">
        <f t="shared" ref="N96:N118" si="46">E96*M96</f>
        <v>46.153846153846146</v>
      </c>
      <c r="O96" s="48">
        <f t="shared" ref="O96:O118" si="47">(M96-H96)/M96</f>
        <v>0.35</v>
      </c>
      <c r="P96" s="71">
        <f>H96/(1-0.3)</f>
        <v>4.2857142857142858E-2</v>
      </c>
      <c r="Q96" s="73">
        <f>P96*E96</f>
        <v>42.857142857142854</v>
      </c>
      <c r="R96" s="99">
        <f>(P96-H96)/P96</f>
        <v>0.30000000000000004</v>
      </c>
      <c r="S96" s="35" t="s">
        <v>3</v>
      </c>
      <c r="T96" s="9" t="s">
        <v>3</v>
      </c>
      <c r="U96" s="79">
        <v>0.08</v>
      </c>
      <c r="V96" s="79"/>
      <c r="W96" s="79"/>
      <c r="X96" s="79"/>
      <c r="Y96" s="79"/>
      <c r="Z96" s="83">
        <v>153156</v>
      </c>
    </row>
    <row r="97" spans="1:26">
      <c r="A97" s="5" t="s">
        <v>351</v>
      </c>
      <c r="B97" s="33"/>
      <c r="C97" s="5" t="s">
        <v>4</v>
      </c>
      <c r="D97" s="5" t="s">
        <v>5</v>
      </c>
      <c r="E97" s="13">
        <v>500</v>
      </c>
      <c r="F97" s="13" t="s">
        <v>2</v>
      </c>
      <c r="G97" s="34">
        <f>VLOOKUP(C97,Pallets!B:F,5,FALSE)</f>
        <v>52</v>
      </c>
      <c r="H97" s="57">
        <v>7.0000000000000007E-2</v>
      </c>
      <c r="I97" s="57">
        <f t="shared" si="43"/>
        <v>35</v>
      </c>
      <c r="J97" s="42">
        <f t="shared" ref="J97:J118" si="48">H97/(1-0.4)</f>
        <v>0.11666666666666668</v>
      </c>
      <c r="K97" s="65">
        <f t="shared" si="44"/>
        <v>58.333333333333343</v>
      </c>
      <c r="L97" s="41">
        <f t="shared" si="45"/>
        <v>0.4</v>
      </c>
      <c r="M97" s="47">
        <f t="shared" ref="M97:M118" si="49">H97/(1-0.35)</f>
        <v>0.1076923076923077</v>
      </c>
      <c r="N97" s="68">
        <f t="shared" si="46"/>
        <v>53.846153846153847</v>
      </c>
      <c r="O97" s="48">
        <f t="shared" si="47"/>
        <v>0.35</v>
      </c>
      <c r="P97" s="71">
        <f t="shared" ref="P97:P118" si="50">H97/(1-0.3)</f>
        <v>0.10000000000000002</v>
      </c>
      <c r="Q97" s="71">
        <f t="shared" ref="Q97:Q118" si="51">P97*E97</f>
        <v>50.000000000000007</v>
      </c>
      <c r="R97" s="37">
        <f t="shared" ref="R97:R118" si="52">(P97-H97)/P97</f>
        <v>0.30000000000000004</v>
      </c>
      <c r="S97" s="6" t="s">
        <v>3</v>
      </c>
      <c r="T97" s="6" t="s">
        <v>3</v>
      </c>
      <c r="U97" s="156">
        <v>0.152</v>
      </c>
      <c r="V97" s="77"/>
      <c r="W97" s="77"/>
      <c r="X97" s="77"/>
      <c r="Y97" s="77"/>
      <c r="Z97" s="82">
        <v>153156</v>
      </c>
    </row>
    <row r="98" spans="1:26">
      <c r="A98" s="5" t="s">
        <v>351</v>
      </c>
      <c r="B98" s="33"/>
      <c r="C98" s="5" t="s">
        <v>6</v>
      </c>
      <c r="D98" s="5" t="s">
        <v>7</v>
      </c>
      <c r="E98" s="13">
        <v>500</v>
      </c>
      <c r="F98" s="13" t="s">
        <v>2</v>
      </c>
      <c r="G98" s="34">
        <f>VLOOKUP(C98,Pallets!B:F,5,FALSE)</f>
        <v>21</v>
      </c>
      <c r="H98" s="57">
        <v>0.11</v>
      </c>
      <c r="I98" s="57">
        <f t="shared" si="43"/>
        <v>55</v>
      </c>
      <c r="J98" s="42">
        <f t="shared" si="48"/>
        <v>0.18333333333333335</v>
      </c>
      <c r="K98" s="65">
        <f t="shared" si="44"/>
        <v>91.666666666666671</v>
      </c>
      <c r="L98" s="41">
        <f t="shared" si="45"/>
        <v>0.4</v>
      </c>
      <c r="M98" s="47">
        <f t="shared" si="49"/>
        <v>0.16923076923076921</v>
      </c>
      <c r="N98" s="68">
        <f t="shared" si="46"/>
        <v>84.615384615384613</v>
      </c>
      <c r="O98" s="48">
        <f t="shared" si="47"/>
        <v>0.34999999999999992</v>
      </c>
      <c r="P98" s="71">
        <f t="shared" si="50"/>
        <v>0.15714285714285717</v>
      </c>
      <c r="Q98" s="71">
        <f t="shared" si="51"/>
        <v>78.571428571428584</v>
      </c>
      <c r="R98" s="37">
        <f t="shared" si="52"/>
        <v>0.3000000000000001</v>
      </c>
      <c r="S98" s="6" t="s">
        <v>3</v>
      </c>
      <c r="T98" s="6" t="s">
        <v>3</v>
      </c>
      <c r="U98" s="156">
        <v>0.20399999999999999</v>
      </c>
      <c r="V98" s="77"/>
      <c r="W98" s="77"/>
      <c r="X98" s="77"/>
      <c r="Y98" s="77"/>
      <c r="Z98" s="82">
        <v>153156</v>
      </c>
    </row>
    <row r="99" spans="1:26">
      <c r="A99" s="5" t="s">
        <v>351</v>
      </c>
      <c r="B99" s="33"/>
      <c r="C99" s="5" t="s">
        <v>8</v>
      </c>
      <c r="D99" s="5" t="s">
        <v>9</v>
      </c>
      <c r="E99" s="13">
        <v>300</v>
      </c>
      <c r="F99" s="13" t="s">
        <v>2</v>
      </c>
      <c r="G99" s="34">
        <f>VLOOKUP(C99,Pallets!B:F,5,FALSE)</f>
        <v>30</v>
      </c>
      <c r="H99" s="57">
        <v>0.19</v>
      </c>
      <c r="I99" s="57">
        <f t="shared" si="43"/>
        <v>57</v>
      </c>
      <c r="J99" s="42">
        <f t="shared" si="48"/>
        <v>0.31666666666666671</v>
      </c>
      <c r="K99" s="65">
        <f t="shared" si="44"/>
        <v>95.000000000000014</v>
      </c>
      <c r="L99" s="41">
        <f t="shared" si="45"/>
        <v>0.40000000000000008</v>
      </c>
      <c r="M99" s="47">
        <f t="shared" si="49"/>
        <v>0.29230769230769232</v>
      </c>
      <c r="N99" s="68">
        <f t="shared" si="46"/>
        <v>87.692307692307693</v>
      </c>
      <c r="O99" s="48">
        <f t="shared" si="47"/>
        <v>0.35000000000000003</v>
      </c>
      <c r="P99" s="71">
        <f t="shared" si="50"/>
        <v>0.27142857142857146</v>
      </c>
      <c r="Q99" s="71">
        <f t="shared" si="51"/>
        <v>81.428571428571445</v>
      </c>
      <c r="R99" s="37">
        <f t="shared" si="52"/>
        <v>0.3000000000000001</v>
      </c>
      <c r="S99" s="6" t="s">
        <v>3</v>
      </c>
      <c r="T99" s="6" t="s">
        <v>3</v>
      </c>
      <c r="U99" s="77">
        <v>0.5</v>
      </c>
      <c r="V99" s="77"/>
      <c r="W99" s="77"/>
      <c r="X99" s="77"/>
      <c r="Y99" s="77"/>
      <c r="Z99" s="82">
        <v>153156</v>
      </c>
    </row>
    <row r="100" spans="1:26">
      <c r="A100" s="5" t="s">
        <v>351</v>
      </c>
      <c r="B100" s="33"/>
      <c r="C100" s="5" t="s">
        <v>10</v>
      </c>
      <c r="D100" s="5" t="s">
        <v>11</v>
      </c>
      <c r="E100" s="13">
        <v>150</v>
      </c>
      <c r="F100" s="13" t="s">
        <v>2</v>
      </c>
      <c r="G100" s="34">
        <f>VLOOKUP(C100,Pallets!B:F,5,FALSE)</f>
        <v>40</v>
      </c>
      <c r="H100" s="57">
        <v>0.32</v>
      </c>
      <c r="I100" s="57">
        <f t="shared" si="43"/>
        <v>48</v>
      </c>
      <c r="J100" s="42">
        <f t="shared" si="48"/>
        <v>0.53333333333333333</v>
      </c>
      <c r="K100" s="65">
        <f t="shared" si="44"/>
        <v>80</v>
      </c>
      <c r="L100" s="41">
        <f t="shared" si="45"/>
        <v>0.39999999999999997</v>
      </c>
      <c r="M100" s="47">
        <f t="shared" si="49"/>
        <v>0.49230769230769228</v>
      </c>
      <c r="N100" s="68">
        <f t="shared" si="46"/>
        <v>73.84615384615384</v>
      </c>
      <c r="O100" s="48">
        <f t="shared" si="47"/>
        <v>0.34999999999999992</v>
      </c>
      <c r="P100" s="71">
        <f t="shared" si="50"/>
        <v>0.45714285714285718</v>
      </c>
      <c r="Q100" s="71">
        <f t="shared" si="51"/>
        <v>68.571428571428584</v>
      </c>
      <c r="R100" s="37">
        <f t="shared" si="52"/>
        <v>0.30000000000000004</v>
      </c>
      <c r="S100" s="6" t="s">
        <v>3</v>
      </c>
      <c r="T100" s="6" t="s">
        <v>3</v>
      </c>
      <c r="U100" s="156">
        <v>0.49299999999999999</v>
      </c>
      <c r="V100" s="77"/>
      <c r="W100" s="77"/>
      <c r="X100" s="77"/>
      <c r="Y100" s="77"/>
      <c r="Z100" s="82">
        <v>153156</v>
      </c>
    </row>
    <row r="101" spans="1:26">
      <c r="A101" s="5" t="s">
        <v>351</v>
      </c>
      <c r="B101" s="33"/>
      <c r="C101" s="5" t="s">
        <v>12</v>
      </c>
      <c r="D101" s="5" t="s">
        <v>13</v>
      </c>
      <c r="E101" s="13">
        <v>150</v>
      </c>
      <c r="F101" s="13" t="s">
        <v>2</v>
      </c>
      <c r="G101" s="34">
        <f>VLOOKUP(C101,Pallets!B:F,5,FALSE)</f>
        <v>42</v>
      </c>
      <c r="H101" s="57">
        <v>0.41</v>
      </c>
      <c r="I101" s="57">
        <f t="shared" si="43"/>
        <v>61.499999999999993</v>
      </c>
      <c r="J101" s="42">
        <f t="shared" si="48"/>
        <v>0.68333333333333335</v>
      </c>
      <c r="K101" s="65">
        <f t="shared" si="44"/>
        <v>102.5</v>
      </c>
      <c r="L101" s="41">
        <f t="shared" si="45"/>
        <v>0.4</v>
      </c>
      <c r="M101" s="47">
        <f t="shared" si="49"/>
        <v>0.63076923076923075</v>
      </c>
      <c r="N101" s="68">
        <f t="shared" si="46"/>
        <v>94.615384615384613</v>
      </c>
      <c r="O101" s="48">
        <f t="shared" si="47"/>
        <v>0.35000000000000003</v>
      </c>
      <c r="P101" s="71">
        <f t="shared" si="50"/>
        <v>0.58571428571428574</v>
      </c>
      <c r="Q101" s="71">
        <f t="shared" si="51"/>
        <v>87.857142857142861</v>
      </c>
      <c r="R101" s="37">
        <f t="shared" si="52"/>
        <v>0.3000000000000001</v>
      </c>
      <c r="S101" s="6" t="s">
        <v>3</v>
      </c>
      <c r="T101" s="6" t="s">
        <v>3</v>
      </c>
      <c r="U101" s="156">
        <v>0.68</v>
      </c>
      <c r="V101" s="77"/>
      <c r="W101" s="77"/>
      <c r="X101" s="77"/>
      <c r="Y101" s="77"/>
      <c r="Z101" s="82">
        <v>153156</v>
      </c>
    </row>
    <row r="102" spans="1:26">
      <c r="A102" s="5" t="s">
        <v>351</v>
      </c>
      <c r="B102" s="33"/>
      <c r="C102" s="5" t="s">
        <v>14</v>
      </c>
      <c r="D102" s="5" t="s">
        <v>15</v>
      </c>
      <c r="E102" s="13">
        <v>100</v>
      </c>
      <c r="F102" s="13" t="s">
        <v>2</v>
      </c>
      <c r="G102" s="34">
        <f>VLOOKUP(C102,Pallets!B:F,5,FALSE)</f>
        <v>48</v>
      </c>
      <c r="H102" s="57">
        <v>0.54</v>
      </c>
      <c r="I102" s="57">
        <f t="shared" si="43"/>
        <v>54</v>
      </c>
      <c r="J102" s="42">
        <f t="shared" si="48"/>
        <v>0.90000000000000013</v>
      </c>
      <c r="K102" s="65">
        <f t="shared" si="44"/>
        <v>90.000000000000014</v>
      </c>
      <c r="L102" s="41">
        <f t="shared" si="45"/>
        <v>0.4</v>
      </c>
      <c r="M102" s="47">
        <f t="shared" si="49"/>
        <v>0.83076923076923082</v>
      </c>
      <c r="N102" s="68">
        <f t="shared" si="46"/>
        <v>83.07692307692308</v>
      </c>
      <c r="O102" s="48">
        <f t="shared" si="47"/>
        <v>0.35</v>
      </c>
      <c r="P102" s="71">
        <f t="shared" si="50"/>
        <v>0.77142857142857157</v>
      </c>
      <c r="Q102" s="71">
        <f t="shared" si="51"/>
        <v>77.142857142857153</v>
      </c>
      <c r="R102" s="37">
        <f t="shared" si="52"/>
        <v>0.3000000000000001</v>
      </c>
      <c r="S102" s="6" t="s">
        <v>3</v>
      </c>
      <c r="T102" s="6" t="s">
        <v>3</v>
      </c>
      <c r="U102" s="156">
        <v>1.0900000000000001</v>
      </c>
      <c r="V102" s="77"/>
      <c r="W102" s="77"/>
      <c r="X102" s="77"/>
      <c r="Y102" s="77"/>
      <c r="Z102" s="82">
        <v>153156</v>
      </c>
    </row>
    <row r="103" spans="1:26">
      <c r="A103" s="5" t="s">
        <v>351</v>
      </c>
      <c r="B103" s="33"/>
      <c r="C103" s="5" t="s">
        <v>16</v>
      </c>
      <c r="D103" s="5" t="s">
        <v>17</v>
      </c>
      <c r="E103" s="13">
        <v>100</v>
      </c>
      <c r="F103" s="13" t="s">
        <v>2</v>
      </c>
      <c r="G103" s="34">
        <f>VLOOKUP(C103,Pallets!B:F,5,FALSE)</f>
        <v>30</v>
      </c>
      <c r="H103" s="57">
        <v>0.56000000000000005</v>
      </c>
      <c r="I103" s="57">
        <f t="shared" si="43"/>
        <v>56.000000000000007</v>
      </c>
      <c r="J103" s="42">
        <f t="shared" si="48"/>
        <v>0.93333333333333346</v>
      </c>
      <c r="K103" s="65">
        <f t="shared" si="44"/>
        <v>93.333333333333343</v>
      </c>
      <c r="L103" s="41">
        <f t="shared" si="45"/>
        <v>0.4</v>
      </c>
      <c r="M103" s="47">
        <f t="shared" si="49"/>
        <v>0.86153846153846159</v>
      </c>
      <c r="N103" s="68">
        <f t="shared" si="46"/>
        <v>86.15384615384616</v>
      </c>
      <c r="O103" s="48">
        <f t="shared" si="47"/>
        <v>0.35</v>
      </c>
      <c r="P103" s="71">
        <f t="shared" si="50"/>
        <v>0.80000000000000016</v>
      </c>
      <c r="Q103" s="71">
        <f t="shared" si="51"/>
        <v>80.000000000000014</v>
      </c>
      <c r="R103" s="37">
        <f t="shared" si="52"/>
        <v>0.30000000000000004</v>
      </c>
      <c r="S103" s="6" t="s">
        <v>3</v>
      </c>
      <c r="T103" s="6" t="s">
        <v>3</v>
      </c>
      <c r="U103" s="156">
        <v>0.91</v>
      </c>
      <c r="V103" s="77"/>
      <c r="W103" s="77"/>
      <c r="X103" s="77"/>
      <c r="Y103" s="77"/>
      <c r="Z103" s="82">
        <v>153156</v>
      </c>
    </row>
    <row r="104" spans="1:26">
      <c r="A104" s="5" t="s">
        <v>351</v>
      </c>
      <c r="B104" s="33"/>
      <c r="C104" s="5" t="s">
        <v>18</v>
      </c>
      <c r="D104" s="5" t="s">
        <v>19</v>
      </c>
      <c r="E104" s="13">
        <v>100</v>
      </c>
      <c r="F104" s="13" t="s">
        <v>2</v>
      </c>
      <c r="G104" s="34">
        <f>VLOOKUP(C104,Pallets!B:F,5,FALSE)</f>
        <v>21</v>
      </c>
      <c r="H104" s="57">
        <v>0.76</v>
      </c>
      <c r="I104" s="57">
        <f t="shared" si="43"/>
        <v>76</v>
      </c>
      <c r="J104" s="42">
        <f t="shared" si="48"/>
        <v>1.2666666666666668</v>
      </c>
      <c r="K104" s="65">
        <f t="shared" si="44"/>
        <v>126.66666666666669</v>
      </c>
      <c r="L104" s="41">
        <f t="shared" si="45"/>
        <v>0.40000000000000008</v>
      </c>
      <c r="M104" s="47">
        <f t="shared" si="49"/>
        <v>1.1692307692307693</v>
      </c>
      <c r="N104" s="68">
        <f t="shared" si="46"/>
        <v>116.92307692307693</v>
      </c>
      <c r="O104" s="48">
        <f t="shared" si="47"/>
        <v>0.35000000000000003</v>
      </c>
      <c r="P104" s="71">
        <f t="shared" si="50"/>
        <v>1.0857142857142859</v>
      </c>
      <c r="Q104" s="71">
        <f t="shared" si="51"/>
        <v>108.57142857142858</v>
      </c>
      <c r="R104" s="37">
        <f t="shared" si="52"/>
        <v>0.3000000000000001</v>
      </c>
      <c r="S104" s="6" t="s">
        <v>3</v>
      </c>
      <c r="T104" s="6" t="s">
        <v>3</v>
      </c>
      <c r="U104" s="156">
        <v>1.25</v>
      </c>
      <c r="V104" s="77"/>
      <c r="W104" s="77"/>
      <c r="X104" s="77"/>
      <c r="Y104" s="77"/>
      <c r="Z104" s="82">
        <v>153156</v>
      </c>
    </row>
    <row r="105" spans="1:26">
      <c r="A105" s="5" t="s">
        <v>351</v>
      </c>
      <c r="B105" s="33"/>
      <c r="C105" s="5" t="s">
        <v>20</v>
      </c>
      <c r="D105" s="5" t="s">
        <v>21</v>
      </c>
      <c r="E105" s="13">
        <v>100</v>
      </c>
      <c r="F105" s="13" t="s">
        <v>2</v>
      </c>
      <c r="G105" s="34">
        <f>VLOOKUP(C105,Pallets!B:F,5,FALSE)</f>
        <v>24</v>
      </c>
      <c r="H105" s="57">
        <v>0.96</v>
      </c>
      <c r="I105" s="57">
        <f t="shared" si="43"/>
        <v>96</v>
      </c>
      <c r="J105" s="42">
        <f t="shared" si="48"/>
        <v>1.6</v>
      </c>
      <c r="K105" s="65">
        <f t="shared" si="44"/>
        <v>160</v>
      </c>
      <c r="L105" s="41">
        <f t="shared" si="45"/>
        <v>0.40000000000000008</v>
      </c>
      <c r="M105" s="47">
        <f t="shared" si="49"/>
        <v>1.4769230769230768</v>
      </c>
      <c r="N105" s="68">
        <f t="shared" si="46"/>
        <v>147.69230769230768</v>
      </c>
      <c r="O105" s="48">
        <f t="shared" si="47"/>
        <v>0.35</v>
      </c>
      <c r="P105" s="71">
        <f t="shared" si="50"/>
        <v>1.3714285714285714</v>
      </c>
      <c r="Q105" s="71">
        <f t="shared" si="51"/>
        <v>137.14285714285714</v>
      </c>
      <c r="R105" s="37">
        <f t="shared" si="52"/>
        <v>0.30000000000000004</v>
      </c>
      <c r="S105" s="6" t="s">
        <v>3</v>
      </c>
      <c r="T105" s="6" t="s">
        <v>3</v>
      </c>
      <c r="U105" s="156">
        <v>1.5</v>
      </c>
      <c r="V105" s="77"/>
      <c r="W105" s="77"/>
      <c r="X105" s="77"/>
      <c r="Y105" s="77"/>
      <c r="Z105" s="82">
        <v>153156</v>
      </c>
    </row>
    <row r="106" spans="1:26">
      <c r="A106" s="5" t="s">
        <v>351</v>
      </c>
      <c r="B106" s="33"/>
      <c r="C106" s="5" t="s">
        <v>22</v>
      </c>
      <c r="D106" s="5" t="s">
        <v>23</v>
      </c>
      <c r="E106" s="13">
        <v>50</v>
      </c>
      <c r="F106" s="13" t="s">
        <v>2</v>
      </c>
      <c r="G106" s="34">
        <f>VLOOKUP(C106,Pallets!B:F,5,FALSE)</f>
        <v>24</v>
      </c>
      <c r="H106" s="57">
        <v>1.74</v>
      </c>
      <c r="I106" s="57">
        <f t="shared" si="43"/>
        <v>87</v>
      </c>
      <c r="J106" s="42">
        <f t="shared" si="48"/>
        <v>2.9</v>
      </c>
      <c r="K106" s="65">
        <f t="shared" si="44"/>
        <v>145</v>
      </c>
      <c r="L106" s="41">
        <f t="shared" si="45"/>
        <v>0.39999999999999997</v>
      </c>
      <c r="M106" s="47">
        <f t="shared" si="49"/>
        <v>2.6769230769230767</v>
      </c>
      <c r="N106" s="68">
        <f t="shared" si="46"/>
        <v>133.84615384615384</v>
      </c>
      <c r="O106" s="48">
        <f t="shared" si="47"/>
        <v>0.35</v>
      </c>
      <c r="P106" s="71">
        <f t="shared" si="50"/>
        <v>2.4857142857142858</v>
      </c>
      <c r="Q106" s="71">
        <f t="shared" si="51"/>
        <v>124.28571428571429</v>
      </c>
      <c r="R106" s="37">
        <f t="shared" si="52"/>
        <v>0.30000000000000004</v>
      </c>
      <c r="S106" s="6" t="s">
        <v>3</v>
      </c>
      <c r="T106" s="6" t="s">
        <v>3</v>
      </c>
      <c r="U106" s="156">
        <v>2.4</v>
      </c>
      <c r="V106" s="77"/>
      <c r="W106" s="77"/>
      <c r="X106" s="77"/>
      <c r="Y106" s="77"/>
      <c r="Z106" s="82">
        <v>153156</v>
      </c>
    </row>
    <row r="107" spans="1:26">
      <c r="A107" s="5" t="s">
        <v>351</v>
      </c>
      <c r="B107" s="33"/>
      <c r="C107" s="5" t="s">
        <v>24</v>
      </c>
      <c r="D107" s="5" t="s">
        <v>25</v>
      </c>
      <c r="E107" s="13">
        <v>200</v>
      </c>
      <c r="F107" s="13" t="s">
        <v>2</v>
      </c>
      <c r="G107" s="34">
        <f>VLOOKUP(C107,Pallets!B:F,5,FALSE)</f>
        <v>30</v>
      </c>
      <c r="H107" s="57">
        <v>0.27</v>
      </c>
      <c r="I107" s="57">
        <f t="shared" si="43"/>
        <v>54</v>
      </c>
      <c r="J107" s="42">
        <f t="shared" si="48"/>
        <v>0.45000000000000007</v>
      </c>
      <c r="K107" s="65">
        <f t="shared" si="44"/>
        <v>90.000000000000014</v>
      </c>
      <c r="L107" s="41">
        <f t="shared" si="45"/>
        <v>0.4</v>
      </c>
      <c r="M107" s="47">
        <f t="shared" si="49"/>
        <v>0.41538461538461541</v>
      </c>
      <c r="N107" s="68">
        <f t="shared" si="46"/>
        <v>83.07692307692308</v>
      </c>
      <c r="O107" s="48">
        <f t="shared" si="47"/>
        <v>0.35</v>
      </c>
      <c r="P107" s="71">
        <f t="shared" si="50"/>
        <v>0.38571428571428579</v>
      </c>
      <c r="Q107" s="71">
        <f t="shared" si="51"/>
        <v>77.142857142857153</v>
      </c>
      <c r="R107" s="37">
        <f t="shared" si="52"/>
        <v>0.3000000000000001</v>
      </c>
      <c r="S107" s="6" t="s">
        <v>3</v>
      </c>
      <c r="T107" s="51">
        <v>76</v>
      </c>
      <c r="U107" s="156">
        <v>0.52</v>
      </c>
      <c r="V107" s="77"/>
      <c r="W107" s="77"/>
      <c r="X107" s="77"/>
      <c r="Y107" s="77"/>
      <c r="Z107" s="82">
        <v>153156</v>
      </c>
    </row>
    <row r="108" spans="1:26">
      <c r="A108" s="5" t="s">
        <v>351</v>
      </c>
      <c r="B108" s="33"/>
      <c r="C108" s="5" t="s">
        <v>26</v>
      </c>
      <c r="D108" s="5" t="s">
        <v>27</v>
      </c>
      <c r="E108" s="13">
        <v>150</v>
      </c>
      <c r="F108" s="13" t="s">
        <v>2</v>
      </c>
      <c r="G108" s="34">
        <f>VLOOKUP(C108,Pallets!B:F,5,FALSE)</f>
        <v>32</v>
      </c>
      <c r="H108" s="57">
        <v>0.46</v>
      </c>
      <c r="I108" s="57">
        <f t="shared" si="43"/>
        <v>69</v>
      </c>
      <c r="J108" s="42">
        <f t="shared" si="48"/>
        <v>0.76666666666666672</v>
      </c>
      <c r="K108" s="65">
        <f t="shared" si="44"/>
        <v>115.00000000000001</v>
      </c>
      <c r="L108" s="41">
        <f t="shared" si="45"/>
        <v>0.4</v>
      </c>
      <c r="M108" s="47">
        <f t="shared" si="49"/>
        <v>0.70769230769230773</v>
      </c>
      <c r="N108" s="68">
        <f t="shared" si="46"/>
        <v>106.15384615384616</v>
      </c>
      <c r="O108" s="48">
        <f t="shared" si="47"/>
        <v>0.35000000000000003</v>
      </c>
      <c r="P108" s="71">
        <f t="shared" si="50"/>
        <v>0.65714285714285725</v>
      </c>
      <c r="Q108" s="71">
        <f t="shared" si="51"/>
        <v>98.571428571428584</v>
      </c>
      <c r="R108" s="37">
        <f t="shared" si="52"/>
        <v>0.3000000000000001</v>
      </c>
      <c r="S108" s="6" t="s">
        <v>3</v>
      </c>
      <c r="T108" s="6" t="s">
        <v>3</v>
      </c>
      <c r="U108" s="156">
        <v>0.83</v>
      </c>
      <c r="V108" s="77"/>
      <c r="W108" s="77"/>
      <c r="X108" s="77"/>
      <c r="Y108" s="77"/>
      <c r="Z108" s="82">
        <v>153156</v>
      </c>
    </row>
    <row r="109" spans="1:26">
      <c r="A109" s="5" t="s">
        <v>351</v>
      </c>
      <c r="B109" s="33"/>
      <c r="C109" s="5" t="s">
        <v>28</v>
      </c>
      <c r="D109" s="5" t="s">
        <v>29</v>
      </c>
      <c r="E109" s="13">
        <v>50</v>
      </c>
      <c r="F109" s="13" t="s">
        <v>2</v>
      </c>
      <c r="G109" s="34">
        <f>VLOOKUP(C109,Pallets!B:F,5,FALSE)</f>
        <v>42</v>
      </c>
      <c r="H109" s="57">
        <v>0.69</v>
      </c>
      <c r="I109" s="57">
        <f t="shared" si="43"/>
        <v>34.5</v>
      </c>
      <c r="J109" s="42">
        <f t="shared" si="48"/>
        <v>1.1499999999999999</v>
      </c>
      <c r="K109" s="65">
        <f t="shared" si="44"/>
        <v>57.499999999999993</v>
      </c>
      <c r="L109" s="41">
        <f t="shared" si="45"/>
        <v>0.4</v>
      </c>
      <c r="M109" s="47">
        <f t="shared" si="49"/>
        <v>1.0615384615384613</v>
      </c>
      <c r="N109" s="68">
        <f t="shared" si="46"/>
        <v>53.076923076923066</v>
      </c>
      <c r="O109" s="48">
        <f t="shared" si="47"/>
        <v>0.34999999999999992</v>
      </c>
      <c r="P109" s="71">
        <f t="shared" si="50"/>
        <v>0.98571428571428565</v>
      </c>
      <c r="Q109" s="71">
        <f t="shared" si="51"/>
        <v>49.285714285714285</v>
      </c>
      <c r="R109" s="37">
        <f t="shared" si="52"/>
        <v>0.3</v>
      </c>
      <c r="S109" s="6" t="s">
        <v>3</v>
      </c>
      <c r="T109" s="6" t="s">
        <v>3</v>
      </c>
      <c r="U109" s="156">
        <v>1.78</v>
      </c>
      <c r="V109" s="77"/>
      <c r="W109" s="77"/>
      <c r="X109" s="77"/>
      <c r="Y109" s="77"/>
      <c r="Z109" s="82">
        <v>153156</v>
      </c>
    </row>
    <row r="110" spans="1:26">
      <c r="A110" s="5" t="s">
        <v>351</v>
      </c>
      <c r="B110" s="33"/>
      <c r="C110" s="5" t="s">
        <v>30</v>
      </c>
      <c r="D110" s="5" t="s">
        <v>31</v>
      </c>
      <c r="E110" s="13">
        <v>50</v>
      </c>
      <c r="F110" s="13" t="s">
        <v>2</v>
      </c>
      <c r="G110" s="34">
        <f>VLOOKUP(C110,Pallets!B:F,5,FALSE)</f>
        <v>42</v>
      </c>
      <c r="H110" s="57">
        <v>0.81</v>
      </c>
      <c r="I110" s="57">
        <f t="shared" si="43"/>
        <v>40.5</v>
      </c>
      <c r="J110" s="42">
        <f t="shared" si="48"/>
        <v>1.35</v>
      </c>
      <c r="K110" s="65">
        <f t="shared" si="44"/>
        <v>67.5</v>
      </c>
      <c r="L110" s="41">
        <f t="shared" si="45"/>
        <v>0.4</v>
      </c>
      <c r="M110" s="47">
        <f t="shared" si="49"/>
        <v>1.2461538461538462</v>
      </c>
      <c r="N110" s="68">
        <f t="shared" si="46"/>
        <v>62.307692307692307</v>
      </c>
      <c r="O110" s="48">
        <f t="shared" si="47"/>
        <v>0.35</v>
      </c>
      <c r="P110" s="71">
        <f t="shared" si="50"/>
        <v>1.1571428571428573</v>
      </c>
      <c r="Q110" s="71">
        <f t="shared" si="51"/>
        <v>57.857142857142861</v>
      </c>
      <c r="R110" s="37">
        <f t="shared" si="52"/>
        <v>0.30000000000000004</v>
      </c>
      <c r="S110" s="6" t="s">
        <v>3</v>
      </c>
      <c r="T110" s="6" t="s">
        <v>3</v>
      </c>
      <c r="U110" s="156">
        <v>0.96</v>
      </c>
      <c r="V110" s="77"/>
      <c r="W110" s="77"/>
      <c r="X110" s="77"/>
      <c r="Y110" s="77"/>
      <c r="Z110" s="82">
        <v>153156</v>
      </c>
    </row>
    <row r="111" spans="1:26">
      <c r="A111" s="5" t="s">
        <v>351</v>
      </c>
      <c r="B111" s="33"/>
      <c r="C111" s="5" t="s">
        <v>32</v>
      </c>
      <c r="D111" s="5" t="s">
        <v>33</v>
      </c>
      <c r="E111" s="13">
        <v>50</v>
      </c>
      <c r="F111" s="13" t="s">
        <v>2</v>
      </c>
      <c r="G111" s="34">
        <f>VLOOKUP(C111,Pallets!B:F,5,FALSE)</f>
        <v>42</v>
      </c>
      <c r="H111" s="57">
        <v>0.8</v>
      </c>
      <c r="I111" s="57">
        <f t="shared" si="43"/>
        <v>40</v>
      </c>
      <c r="J111" s="42">
        <f t="shared" si="48"/>
        <v>1.3333333333333335</v>
      </c>
      <c r="K111" s="65">
        <f t="shared" si="44"/>
        <v>66.666666666666671</v>
      </c>
      <c r="L111" s="41">
        <f t="shared" si="45"/>
        <v>0.4</v>
      </c>
      <c r="M111" s="47">
        <f t="shared" si="49"/>
        <v>1.2307692307692308</v>
      </c>
      <c r="N111" s="68">
        <f t="shared" si="46"/>
        <v>61.53846153846154</v>
      </c>
      <c r="O111" s="48">
        <f t="shared" si="47"/>
        <v>0.35</v>
      </c>
      <c r="P111" s="71">
        <f t="shared" si="50"/>
        <v>1.142857142857143</v>
      </c>
      <c r="Q111" s="71">
        <f t="shared" si="51"/>
        <v>57.142857142857153</v>
      </c>
      <c r="R111" s="37">
        <f t="shared" si="52"/>
        <v>0.30000000000000004</v>
      </c>
      <c r="S111" s="6" t="s">
        <v>3</v>
      </c>
      <c r="T111" s="51">
        <v>54</v>
      </c>
      <c r="U111" s="156">
        <v>1.5</v>
      </c>
      <c r="V111" s="77"/>
      <c r="W111" s="77"/>
      <c r="X111" s="77"/>
      <c r="Y111" s="77"/>
      <c r="Z111" s="82">
        <v>153156</v>
      </c>
    </row>
    <row r="112" spans="1:26">
      <c r="A112" s="5" t="s">
        <v>351</v>
      </c>
      <c r="B112" s="33"/>
      <c r="C112" s="5" t="s">
        <v>34</v>
      </c>
      <c r="D112" s="5" t="s">
        <v>35</v>
      </c>
      <c r="E112" s="13">
        <v>50</v>
      </c>
      <c r="F112" s="13" t="s">
        <v>2</v>
      </c>
      <c r="G112" s="34">
        <f>VLOOKUP(C112,Pallets!B:F,5,FALSE)</f>
        <v>33</v>
      </c>
      <c r="H112" s="57">
        <v>1.08</v>
      </c>
      <c r="I112" s="57">
        <f t="shared" si="43"/>
        <v>54</v>
      </c>
      <c r="J112" s="42">
        <f t="shared" si="48"/>
        <v>1.8000000000000003</v>
      </c>
      <c r="K112" s="65">
        <f t="shared" si="44"/>
        <v>90.000000000000014</v>
      </c>
      <c r="L112" s="41">
        <f t="shared" si="45"/>
        <v>0.4</v>
      </c>
      <c r="M112" s="47">
        <f t="shared" si="49"/>
        <v>1.6615384615384616</v>
      </c>
      <c r="N112" s="68">
        <f t="shared" si="46"/>
        <v>83.07692307692308</v>
      </c>
      <c r="O112" s="48">
        <f t="shared" si="47"/>
        <v>0.35</v>
      </c>
      <c r="P112" s="71">
        <f t="shared" si="50"/>
        <v>1.5428571428571431</v>
      </c>
      <c r="Q112" s="71">
        <f t="shared" si="51"/>
        <v>77.142857142857153</v>
      </c>
      <c r="R112" s="37">
        <f t="shared" si="52"/>
        <v>0.3000000000000001</v>
      </c>
      <c r="S112" s="6" t="s">
        <v>3</v>
      </c>
      <c r="T112" s="6" t="s">
        <v>3</v>
      </c>
      <c r="U112" s="156">
        <v>2.4</v>
      </c>
      <c r="V112" s="77"/>
      <c r="W112" s="77"/>
      <c r="X112" s="77"/>
      <c r="Y112" s="77"/>
      <c r="Z112" s="82">
        <v>153156</v>
      </c>
    </row>
    <row r="113" spans="1:26">
      <c r="A113" s="5" t="s">
        <v>351</v>
      </c>
      <c r="B113" s="33"/>
      <c r="C113" s="5" t="s">
        <v>36</v>
      </c>
      <c r="D113" s="5" t="s">
        <v>37</v>
      </c>
      <c r="E113" s="13">
        <v>50</v>
      </c>
      <c r="F113" s="13" t="s">
        <v>2</v>
      </c>
      <c r="G113" s="34">
        <f>VLOOKUP(C113,Pallets!B:F,5,FALSE)</f>
        <v>33</v>
      </c>
      <c r="H113" s="57">
        <v>1.36</v>
      </c>
      <c r="I113" s="57">
        <f t="shared" si="43"/>
        <v>68</v>
      </c>
      <c r="J113" s="42">
        <f t="shared" si="48"/>
        <v>2.2666666666666671</v>
      </c>
      <c r="K113" s="65">
        <f t="shared" si="44"/>
        <v>113.33333333333336</v>
      </c>
      <c r="L113" s="41">
        <f t="shared" si="45"/>
        <v>0.40000000000000008</v>
      </c>
      <c r="M113" s="47">
        <f t="shared" si="49"/>
        <v>2.0923076923076924</v>
      </c>
      <c r="N113" s="68">
        <f t="shared" si="46"/>
        <v>104.61538461538463</v>
      </c>
      <c r="O113" s="48">
        <f t="shared" si="47"/>
        <v>0.35</v>
      </c>
      <c r="P113" s="71">
        <f t="shared" si="50"/>
        <v>1.9428571428571431</v>
      </c>
      <c r="Q113" s="71">
        <f t="shared" si="51"/>
        <v>97.142857142857153</v>
      </c>
      <c r="R113" s="37">
        <f t="shared" si="52"/>
        <v>0.30000000000000004</v>
      </c>
      <c r="S113" s="6" t="s">
        <v>3</v>
      </c>
      <c r="T113" s="6" t="s">
        <v>3</v>
      </c>
      <c r="U113" s="156">
        <v>2.36</v>
      </c>
      <c r="V113" s="77"/>
      <c r="W113" s="77"/>
      <c r="X113" s="77"/>
      <c r="Y113" s="77"/>
      <c r="Z113" s="82">
        <v>153156</v>
      </c>
    </row>
    <row r="114" spans="1:26">
      <c r="A114" s="5" t="s">
        <v>351</v>
      </c>
      <c r="B114" s="33"/>
      <c r="C114" s="5" t="s">
        <v>38</v>
      </c>
      <c r="D114" s="5" t="s">
        <v>39</v>
      </c>
      <c r="E114" s="13">
        <v>50</v>
      </c>
      <c r="F114" s="13" t="s">
        <v>2</v>
      </c>
      <c r="G114" s="34">
        <f>VLOOKUP(C114,Pallets!B:F,5,FALSE)</f>
        <v>42</v>
      </c>
      <c r="H114" s="57">
        <v>0.8</v>
      </c>
      <c r="I114" s="57">
        <f t="shared" si="43"/>
        <v>40</v>
      </c>
      <c r="J114" s="42">
        <f t="shared" si="48"/>
        <v>1.3333333333333335</v>
      </c>
      <c r="K114" s="65">
        <f t="shared" si="44"/>
        <v>66.666666666666671</v>
      </c>
      <c r="L114" s="41">
        <f t="shared" si="45"/>
        <v>0.4</v>
      </c>
      <c r="M114" s="47">
        <f t="shared" si="49"/>
        <v>1.2307692307692308</v>
      </c>
      <c r="N114" s="68">
        <f t="shared" si="46"/>
        <v>61.53846153846154</v>
      </c>
      <c r="O114" s="48">
        <f t="shared" si="47"/>
        <v>0.35</v>
      </c>
      <c r="P114" s="71">
        <f t="shared" si="50"/>
        <v>1.142857142857143</v>
      </c>
      <c r="Q114" s="71">
        <f t="shared" si="51"/>
        <v>57.142857142857153</v>
      </c>
      <c r="R114" s="37">
        <f t="shared" si="52"/>
        <v>0.30000000000000004</v>
      </c>
      <c r="S114" s="6" t="s">
        <v>3</v>
      </c>
      <c r="T114" s="6" t="s">
        <v>3</v>
      </c>
      <c r="U114" s="156">
        <v>1.72</v>
      </c>
      <c r="V114" s="77"/>
      <c r="W114" s="77"/>
      <c r="X114" s="77"/>
      <c r="Y114" s="77"/>
      <c r="Z114" s="82">
        <v>153156</v>
      </c>
    </row>
    <row r="115" spans="1:26">
      <c r="A115" s="5" t="s">
        <v>351</v>
      </c>
      <c r="B115" s="33"/>
      <c r="C115" s="5" t="s">
        <v>40</v>
      </c>
      <c r="D115" s="5" t="s">
        <v>41</v>
      </c>
      <c r="E115" s="13">
        <v>50</v>
      </c>
      <c r="F115" s="13" t="s">
        <v>2</v>
      </c>
      <c r="G115" s="34">
        <f>VLOOKUP(C115,Pallets!B:F,5,FALSE)</f>
        <v>42</v>
      </c>
      <c r="H115" s="57">
        <v>0.94</v>
      </c>
      <c r="I115" s="57">
        <f t="shared" si="43"/>
        <v>47</v>
      </c>
      <c r="J115" s="42">
        <f t="shared" si="48"/>
        <v>1.5666666666666667</v>
      </c>
      <c r="K115" s="65">
        <f t="shared" si="44"/>
        <v>78.333333333333329</v>
      </c>
      <c r="L115" s="41">
        <f t="shared" si="45"/>
        <v>0.4</v>
      </c>
      <c r="M115" s="47">
        <f t="shared" si="49"/>
        <v>1.4461538461538461</v>
      </c>
      <c r="N115" s="68">
        <f t="shared" si="46"/>
        <v>72.307692307692307</v>
      </c>
      <c r="O115" s="48">
        <f t="shared" si="47"/>
        <v>0.35000000000000003</v>
      </c>
      <c r="P115" s="71">
        <f t="shared" si="50"/>
        <v>1.342857142857143</v>
      </c>
      <c r="Q115" s="71">
        <f t="shared" si="51"/>
        <v>67.142857142857153</v>
      </c>
      <c r="R115" s="37">
        <f t="shared" si="52"/>
        <v>0.3000000000000001</v>
      </c>
      <c r="S115" s="6" t="s">
        <v>3</v>
      </c>
      <c r="T115" s="6" t="s">
        <v>3</v>
      </c>
      <c r="U115" s="156">
        <v>1.44</v>
      </c>
      <c r="V115" s="77"/>
      <c r="W115" s="77"/>
      <c r="X115" s="77"/>
      <c r="Y115" s="77"/>
      <c r="Z115" s="82">
        <v>153156</v>
      </c>
    </row>
    <row r="116" spans="1:26">
      <c r="A116" s="5" t="s">
        <v>351</v>
      </c>
      <c r="B116" s="33"/>
      <c r="C116" s="5" t="s">
        <v>42</v>
      </c>
      <c r="D116" s="5" t="s">
        <v>43</v>
      </c>
      <c r="E116" s="13">
        <v>50</v>
      </c>
      <c r="F116" s="13" t="s">
        <v>2</v>
      </c>
      <c r="G116" s="34">
        <f>VLOOKUP(C116,Pallets!B:F,5,FALSE)</f>
        <v>42</v>
      </c>
      <c r="H116" s="57">
        <v>1.07</v>
      </c>
      <c r="I116" s="57">
        <f t="shared" si="43"/>
        <v>53.5</v>
      </c>
      <c r="J116" s="42">
        <f t="shared" si="48"/>
        <v>1.7833333333333334</v>
      </c>
      <c r="K116" s="65">
        <f t="shared" si="44"/>
        <v>89.166666666666671</v>
      </c>
      <c r="L116" s="41">
        <f t="shared" si="45"/>
        <v>0.4</v>
      </c>
      <c r="M116" s="47">
        <f t="shared" si="49"/>
        <v>1.6461538461538463</v>
      </c>
      <c r="N116" s="68">
        <f t="shared" si="46"/>
        <v>82.307692307692321</v>
      </c>
      <c r="O116" s="48">
        <f t="shared" si="47"/>
        <v>0.35000000000000003</v>
      </c>
      <c r="P116" s="71">
        <f t="shared" si="50"/>
        <v>1.5285714285714287</v>
      </c>
      <c r="Q116" s="71">
        <f t="shared" si="51"/>
        <v>76.428571428571431</v>
      </c>
      <c r="R116" s="37">
        <f t="shared" si="52"/>
        <v>0.3</v>
      </c>
      <c r="S116" s="6" t="s">
        <v>3</v>
      </c>
      <c r="T116" s="6" t="s">
        <v>3</v>
      </c>
      <c r="U116" s="156">
        <v>1.8</v>
      </c>
      <c r="V116" s="77"/>
      <c r="W116" s="77"/>
      <c r="X116" s="77"/>
      <c r="Y116" s="77"/>
      <c r="Z116" s="82">
        <v>153156</v>
      </c>
    </row>
    <row r="117" spans="1:26">
      <c r="A117" s="5" t="s">
        <v>351</v>
      </c>
      <c r="B117" s="33"/>
      <c r="C117" s="5" t="s">
        <v>44</v>
      </c>
      <c r="D117" s="5" t="s">
        <v>45</v>
      </c>
      <c r="E117" s="13">
        <v>50</v>
      </c>
      <c r="F117" s="13" t="s">
        <v>2</v>
      </c>
      <c r="G117" s="34">
        <f>VLOOKUP(C117,Pallets!B:F,5,FALSE)</f>
        <v>42</v>
      </c>
      <c r="H117" s="57">
        <v>0.93</v>
      </c>
      <c r="I117" s="57">
        <f t="shared" si="43"/>
        <v>46.5</v>
      </c>
      <c r="J117" s="42">
        <f t="shared" si="48"/>
        <v>1.55</v>
      </c>
      <c r="K117" s="65">
        <f t="shared" si="44"/>
        <v>77.5</v>
      </c>
      <c r="L117" s="41">
        <f t="shared" si="45"/>
        <v>0.39999999999999997</v>
      </c>
      <c r="M117" s="47">
        <f t="shared" si="49"/>
        <v>1.4307692307692308</v>
      </c>
      <c r="N117" s="68">
        <f t="shared" si="46"/>
        <v>71.538461538461533</v>
      </c>
      <c r="O117" s="48">
        <f t="shared" si="47"/>
        <v>0.35</v>
      </c>
      <c r="P117" s="71">
        <f t="shared" si="50"/>
        <v>1.3285714285714287</v>
      </c>
      <c r="Q117" s="71">
        <f t="shared" si="51"/>
        <v>66.428571428571431</v>
      </c>
      <c r="R117" s="37">
        <f t="shared" si="52"/>
        <v>0.30000000000000004</v>
      </c>
      <c r="S117" s="6" t="s">
        <v>3</v>
      </c>
      <c r="T117" s="6" t="s">
        <v>3</v>
      </c>
      <c r="U117" s="156">
        <v>2.5</v>
      </c>
      <c r="V117" s="77"/>
      <c r="W117" s="77"/>
      <c r="X117" s="77"/>
      <c r="Y117" s="77"/>
      <c r="Z117" s="82">
        <v>153156</v>
      </c>
    </row>
    <row r="118" spans="1:26">
      <c r="A118" s="7" t="s">
        <v>351</v>
      </c>
      <c r="B118" s="7"/>
      <c r="C118" s="7" t="s">
        <v>46</v>
      </c>
      <c r="D118" s="7" t="s">
        <v>47</v>
      </c>
      <c r="E118" s="14">
        <v>40</v>
      </c>
      <c r="F118" s="14" t="s">
        <v>2</v>
      </c>
      <c r="G118" s="34">
        <f>VLOOKUP(C118,Pallets!B:F,5,FALSE)</f>
        <v>33</v>
      </c>
      <c r="H118" s="58">
        <v>1.59</v>
      </c>
      <c r="I118" s="58">
        <f t="shared" si="43"/>
        <v>63.6</v>
      </c>
      <c r="J118" s="42">
        <f t="shared" si="48"/>
        <v>2.6500000000000004</v>
      </c>
      <c r="K118" s="65">
        <f t="shared" si="44"/>
        <v>106.00000000000001</v>
      </c>
      <c r="L118" s="41">
        <f t="shared" si="45"/>
        <v>0.40000000000000008</v>
      </c>
      <c r="M118" s="47">
        <f t="shared" si="49"/>
        <v>2.4461538461538463</v>
      </c>
      <c r="N118" s="68">
        <f t="shared" si="46"/>
        <v>97.846153846153854</v>
      </c>
      <c r="O118" s="48">
        <f t="shared" si="47"/>
        <v>0.35000000000000003</v>
      </c>
      <c r="P118" s="71">
        <f t="shared" si="50"/>
        <v>2.2714285714285718</v>
      </c>
      <c r="Q118" s="71">
        <f t="shared" si="51"/>
        <v>90.857142857142875</v>
      </c>
      <c r="R118" s="37">
        <f t="shared" si="52"/>
        <v>0.3000000000000001</v>
      </c>
      <c r="S118" s="8" t="s">
        <v>3</v>
      </c>
      <c r="T118" s="8" t="s">
        <v>3</v>
      </c>
      <c r="U118" s="157">
        <v>2.8</v>
      </c>
      <c r="V118" s="78"/>
      <c r="W118" s="78"/>
      <c r="X118" s="78"/>
      <c r="Y118" s="78"/>
      <c r="Z118" s="82">
        <v>153156</v>
      </c>
    </row>
    <row r="119" spans="1:26">
      <c r="A119" s="4" t="s">
        <v>354</v>
      </c>
      <c r="B119" s="4"/>
      <c r="C119" s="4" t="s">
        <v>70</v>
      </c>
      <c r="D119" s="4" t="s">
        <v>71</v>
      </c>
      <c r="E119" s="12">
        <v>70</v>
      </c>
      <c r="F119" s="12" t="s">
        <v>2</v>
      </c>
      <c r="G119" s="12">
        <v>24</v>
      </c>
      <c r="H119" s="59">
        <v>1.99</v>
      </c>
      <c r="I119" s="57">
        <f t="shared" si="43"/>
        <v>139.30000000000001</v>
      </c>
      <c r="J119" s="40">
        <f>H119/(1-0.45)</f>
        <v>3.6181818181818177</v>
      </c>
      <c r="K119" s="67">
        <f t="shared" ref="K119:K138" si="53">E119*J119</f>
        <v>253.27272727272725</v>
      </c>
      <c r="L119" s="39">
        <f>(J119-H119)/J119</f>
        <v>0.44999999999999996</v>
      </c>
      <c r="M119" s="45">
        <f t="shared" ref="M119:M138" si="54">H119/(1-0.4)</f>
        <v>3.3166666666666669</v>
      </c>
      <c r="N119" s="70">
        <f t="shared" ref="N119:N138" si="55">E119*M119</f>
        <v>232.16666666666669</v>
      </c>
      <c r="O119" s="46">
        <f t="shared" ref="O119:O138" si="56">(M119-H119)/M119</f>
        <v>0.4</v>
      </c>
      <c r="P119" s="73"/>
      <c r="Q119" s="73"/>
      <c r="R119" s="16"/>
      <c r="S119" s="9" t="s">
        <v>3</v>
      </c>
      <c r="T119" s="9" t="s">
        <v>3</v>
      </c>
      <c r="U119" s="79"/>
      <c r="V119" s="79"/>
      <c r="W119" s="79"/>
      <c r="X119" s="79"/>
      <c r="Y119" s="79"/>
      <c r="Z119" s="83">
        <v>140379</v>
      </c>
    </row>
    <row r="120" spans="1:26">
      <c r="A120" s="5" t="s">
        <v>354</v>
      </c>
      <c r="B120" s="33"/>
      <c r="C120" s="5" t="s">
        <v>72</v>
      </c>
      <c r="D120" s="5" t="s">
        <v>73</v>
      </c>
      <c r="E120" s="13">
        <v>70</v>
      </c>
      <c r="F120" s="13" t="s">
        <v>2</v>
      </c>
      <c r="G120" s="13">
        <v>24</v>
      </c>
      <c r="H120" s="57">
        <v>1.99</v>
      </c>
      <c r="I120" s="57">
        <f t="shared" si="43"/>
        <v>139.30000000000001</v>
      </c>
      <c r="J120" s="42">
        <f t="shared" ref="J120:J138" si="57">H120/(1-0.45)</f>
        <v>3.6181818181818177</v>
      </c>
      <c r="K120" s="65">
        <f t="shared" si="53"/>
        <v>253.27272727272725</v>
      </c>
      <c r="L120" s="41">
        <f t="shared" ref="L120:L138" si="58">(J120-H120)/J120</f>
        <v>0.44999999999999996</v>
      </c>
      <c r="M120" s="47">
        <f t="shared" si="54"/>
        <v>3.3166666666666669</v>
      </c>
      <c r="N120" s="68">
        <f t="shared" si="55"/>
        <v>232.16666666666669</v>
      </c>
      <c r="O120" s="48">
        <f t="shared" si="56"/>
        <v>0.4</v>
      </c>
      <c r="P120" s="71"/>
      <c r="Q120" s="71"/>
      <c r="R120" s="17"/>
      <c r="S120" s="6" t="s">
        <v>3</v>
      </c>
      <c r="T120" s="6" t="s">
        <v>3</v>
      </c>
      <c r="U120" s="77"/>
      <c r="V120" s="77"/>
      <c r="W120" s="77"/>
      <c r="X120" s="77"/>
      <c r="Y120" s="77"/>
      <c r="Z120" s="82">
        <v>140379</v>
      </c>
    </row>
    <row r="121" spans="1:26">
      <c r="A121" s="5" t="s">
        <v>354</v>
      </c>
      <c r="B121" s="33"/>
      <c r="C121" s="5" t="s">
        <v>74</v>
      </c>
      <c r="D121" s="5" t="s">
        <v>75</v>
      </c>
      <c r="E121" s="13">
        <v>60</v>
      </c>
      <c r="F121" s="13" t="s">
        <v>2</v>
      </c>
      <c r="G121" s="13">
        <v>24</v>
      </c>
      <c r="H121" s="57">
        <v>1.99</v>
      </c>
      <c r="I121" s="57">
        <f t="shared" si="43"/>
        <v>119.4</v>
      </c>
      <c r="J121" s="42">
        <f t="shared" si="57"/>
        <v>3.6181818181818177</v>
      </c>
      <c r="K121" s="65">
        <f t="shared" si="53"/>
        <v>217.09090909090907</v>
      </c>
      <c r="L121" s="41">
        <f t="shared" si="58"/>
        <v>0.44999999999999996</v>
      </c>
      <c r="M121" s="47">
        <f t="shared" si="54"/>
        <v>3.3166666666666669</v>
      </c>
      <c r="N121" s="68">
        <f t="shared" si="55"/>
        <v>199</v>
      </c>
      <c r="O121" s="48">
        <f t="shared" si="56"/>
        <v>0.4</v>
      </c>
      <c r="P121" s="71"/>
      <c r="Q121" s="71"/>
      <c r="R121" s="17"/>
      <c r="S121" s="6" t="s">
        <v>3</v>
      </c>
      <c r="T121" s="6" t="s">
        <v>3</v>
      </c>
      <c r="U121" s="77"/>
      <c r="V121" s="77"/>
      <c r="W121" s="77"/>
      <c r="X121" s="77"/>
      <c r="Y121" s="77"/>
      <c r="Z121" s="82">
        <v>140379</v>
      </c>
    </row>
    <row r="122" spans="1:26">
      <c r="A122" s="5" t="s">
        <v>354</v>
      </c>
      <c r="B122" s="33"/>
      <c r="C122" s="5" t="s">
        <v>76</v>
      </c>
      <c r="D122" s="5" t="s">
        <v>77</v>
      </c>
      <c r="E122" s="13">
        <v>50</v>
      </c>
      <c r="F122" s="13" t="s">
        <v>2</v>
      </c>
      <c r="G122" s="13">
        <v>24</v>
      </c>
      <c r="H122" s="57">
        <v>1.99</v>
      </c>
      <c r="I122" s="57">
        <f t="shared" si="43"/>
        <v>99.5</v>
      </c>
      <c r="J122" s="42">
        <f t="shared" si="57"/>
        <v>3.6181818181818177</v>
      </c>
      <c r="K122" s="65">
        <f t="shared" si="53"/>
        <v>180.90909090909088</v>
      </c>
      <c r="L122" s="41">
        <f t="shared" si="58"/>
        <v>0.44999999999999996</v>
      </c>
      <c r="M122" s="47">
        <f t="shared" si="54"/>
        <v>3.3166666666666669</v>
      </c>
      <c r="N122" s="68">
        <f t="shared" si="55"/>
        <v>165.83333333333334</v>
      </c>
      <c r="O122" s="48">
        <f t="shared" si="56"/>
        <v>0.4</v>
      </c>
      <c r="P122" s="71"/>
      <c r="Q122" s="71"/>
      <c r="R122" s="17"/>
      <c r="S122" s="6" t="s">
        <v>3</v>
      </c>
      <c r="T122" s="6" t="s">
        <v>3</v>
      </c>
      <c r="U122" s="77"/>
      <c r="V122" s="77"/>
      <c r="W122" s="77"/>
      <c r="X122" s="77"/>
      <c r="Y122" s="77"/>
      <c r="Z122" s="82">
        <v>140379</v>
      </c>
    </row>
    <row r="123" spans="1:26">
      <c r="A123" s="5" t="s">
        <v>354</v>
      </c>
      <c r="B123" s="33"/>
      <c r="C123" s="5" t="s">
        <v>78</v>
      </c>
      <c r="D123" s="5" t="s">
        <v>79</v>
      </c>
      <c r="E123" s="13">
        <v>60</v>
      </c>
      <c r="F123" s="13" t="s">
        <v>2</v>
      </c>
      <c r="G123" s="13">
        <v>24</v>
      </c>
      <c r="H123" s="57">
        <v>2.5499999999999998</v>
      </c>
      <c r="I123" s="57">
        <f t="shared" si="43"/>
        <v>153</v>
      </c>
      <c r="J123" s="42">
        <f t="shared" si="57"/>
        <v>4.6363636363636358</v>
      </c>
      <c r="K123" s="65">
        <f t="shared" si="53"/>
        <v>278.18181818181813</v>
      </c>
      <c r="L123" s="41">
        <f t="shared" si="58"/>
        <v>0.44999999999999996</v>
      </c>
      <c r="M123" s="47">
        <f t="shared" si="54"/>
        <v>4.25</v>
      </c>
      <c r="N123" s="68">
        <f t="shared" si="55"/>
        <v>255</v>
      </c>
      <c r="O123" s="48">
        <f t="shared" si="56"/>
        <v>0.4</v>
      </c>
      <c r="P123" s="71"/>
      <c r="Q123" s="71"/>
      <c r="R123" s="17"/>
      <c r="S123" s="6" t="s">
        <v>3</v>
      </c>
      <c r="T123" s="6" t="s">
        <v>3</v>
      </c>
      <c r="U123" s="77"/>
      <c r="V123" s="77"/>
      <c r="W123" s="77"/>
      <c r="X123" s="77"/>
      <c r="Y123" s="77"/>
      <c r="Z123" s="82">
        <v>140379</v>
      </c>
    </row>
    <row r="124" spans="1:26">
      <c r="A124" s="5" t="s">
        <v>354</v>
      </c>
      <c r="B124" s="33"/>
      <c r="C124" s="5" t="s">
        <v>80</v>
      </c>
      <c r="D124" s="5" t="s">
        <v>81</v>
      </c>
      <c r="E124" s="13">
        <v>54</v>
      </c>
      <c r="F124" s="13" t="s">
        <v>2</v>
      </c>
      <c r="G124" s="13">
        <v>24</v>
      </c>
      <c r="H124" s="57">
        <v>2.5499999999999998</v>
      </c>
      <c r="I124" s="57">
        <f t="shared" si="43"/>
        <v>137.69999999999999</v>
      </c>
      <c r="J124" s="42">
        <f t="shared" si="57"/>
        <v>4.6363636363636358</v>
      </c>
      <c r="K124" s="65">
        <f t="shared" si="53"/>
        <v>250.36363636363635</v>
      </c>
      <c r="L124" s="41">
        <f t="shared" si="58"/>
        <v>0.44999999999999996</v>
      </c>
      <c r="M124" s="47">
        <f t="shared" si="54"/>
        <v>4.25</v>
      </c>
      <c r="N124" s="68">
        <f t="shared" si="55"/>
        <v>229.5</v>
      </c>
      <c r="O124" s="48">
        <f t="shared" si="56"/>
        <v>0.4</v>
      </c>
      <c r="P124" s="71"/>
      <c r="Q124" s="71"/>
      <c r="R124" s="17"/>
      <c r="S124" s="6" t="s">
        <v>3</v>
      </c>
      <c r="T124" s="6" t="s">
        <v>3</v>
      </c>
      <c r="U124" s="77"/>
      <c r="V124" s="77"/>
      <c r="W124" s="77"/>
      <c r="X124" s="77"/>
      <c r="Y124" s="77"/>
      <c r="Z124" s="82">
        <v>140379</v>
      </c>
    </row>
    <row r="125" spans="1:26">
      <c r="A125" s="5" t="s">
        <v>354</v>
      </c>
      <c r="B125" s="33"/>
      <c r="C125" s="5" t="s">
        <v>82</v>
      </c>
      <c r="D125" s="5" t="s">
        <v>83</v>
      </c>
      <c r="E125" s="13">
        <v>50</v>
      </c>
      <c r="F125" s="13" t="s">
        <v>2</v>
      </c>
      <c r="G125" s="13">
        <v>24</v>
      </c>
      <c r="H125" s="57">
        <v>2.5499999999999998</v>
      </c>
      <c r="I125" s="57">
        <f t="shared" si="43"/>
        <v>127.49999999999999</v>
      </c>
      <c r="J125" s="42">
        <f t="shared" si="57"/>
        <v>4.6363636363636358</v>
      </c>
      <c r="K125" s="65">
        <f t="shared" si="53"/>
        <v>231.81818181818178</v>
      </c>
      <c r="L125" s="41">
        <f t="shared" si="58"/>
        <v>0.44999999999999996</v>
      </c>
      <c r="M125" s="47">
        <f t="shared" si="54"/>
        <v>4.25</v>
      </c>
      <c r="N125" s="68">
        <f t="shared" si="55"/>
        <v>212.5</v>
      </c>
      <c r="O125" s="48">
        <f t="shared" si="56"/>
        <v>0.4</v>
      </c>
      <c r="P125" s="71"/>
      <c r="Q125" s="71"/>
      <c r="R125" s="17"/>
      <c r="S125" s="6" t="s">
        <v>3</v>
      </c>
      <c r="T125" s="6" t="s">
        <v>3</v>
      </c>
      <c r="U125" s="77"/>
      <c r="V125" s="77"/>
      <c r="W125" s="77"/>
      <c r="X125" s="77"/>
      <c r="Y125" s="77"/>
      <c r="Z125" s="82">
        <v>140379</v>
      </c>
    </row>
    <row r="126" spans="1:26">
      <c r="A126" s="5" t="s">
        <v>354</v>
      </c>
      <c r="B126" s="33"/>
      <c r="C126" s="5" t="s">
        <v>84</v>
      </c>
      <c r="D126" s="5" t="s">
        <v>85</v>
      </c>
      <c r="E126" s="13">
        <v>50</v>
      </c>
      <c r="F126" s="13" t="s">
        <v>2</v>
      </c>
      <c r="G126" s="13">
        <v>24</v>
      </c>
      <c r="H126" s="57">
        <v>2.5499999999999998</v>
      </c>
      <c r="I126" s="57">
        <f t="shared" si="43"/>
        <v>127.49999999999999</v>
      </c>
      <c r="J126" s="42">
        <f t="shared" si="57"/>
        <v>4.6363636363636358</v>
      </c>
      <c r="K126" s="65">
        <f t="shared" si="53"/>
        <v>231.81818181818178</v>
      </c>
      <c r="L126" s="41">
        <f t="shared" si="58"/>
        <v>0.44999999999999996</v>
      </c>
      <c r="M126" s="47">
        <f t="shared" si="54"/>
        <v>4.25</v>
      </c>
      <c r="N126" s="68">
        <f t="shared" si="55"/>
        <v>212.5</v>
      </c>
      <c r="O126" s="48">
        <f t="shared" si="56"/>
        <v>0.4</v>
      </c>
      <c r="P126" s="71"/>
      <c r="Q126" s="71"/>
      <c r="R126" s="17"/>
      <c r="S126" s="6" t="s">
        <v>3</v>
      </c>
      <c r="T126" s="6" t="s">
        <v>3</v>
      </c>
      <c r="U126" s="77"/>
      <c r="V126" s="77"/>
      <c r="W126" s="77"/>
      <c r="X126" s="77"/>
      <c r="Y126" s="77"/>
      <c r="Z126" s="82">
        <v>140379</v>
      </c>
    </row>
    <row r="127" spans="1:26">
      <c r="A127" s="5" t="s">
        <v>354</v>
      </c>
      <c r="B127" s="33"/>
      <c r="C127" s="5" t="s">
        <v>54</v>
      </c>
      <c r="D127" s="5" t="s">
        <v>55</v>
      </c>
      <c r="E127" s="13">
        <v>60</v>
      </c>
      <c r="F127" s="13" t="s">
        <v>2</v>
      </c>
      <c r="G127" s="13">
        <v>24</v>
      </c>
      <c r="H127" s="57">
        <v>1.99</v>
      </c>
      <c r="I127" s="57">
        <f t="shared" si="43"/>
        <v>119.4</v>
      </c>
      <c r="J127" s="42">
        <f t="shared" si="57"/>
        <v>3.6181818181818177</v>
      </c>
      <c r="K127" s="65">
        <f t="shared" si="53"/>
        <v>217.09090909090907</v>
      </c>
      <c r="L127" s="41">
        <f t="shared" si="58"/>
        <v>0.44999999999999996</v>
      </c>
      <c r="M127" s="47">
        <f t="shared" si="54"/>
        <v>3.3166666666666669</v>
      </c>
      <c r="N127" s="68">
        <f t="shared" si="55"/>
        <v>199</v>
      </c>
      <c r="O127" s="48">
        <f t="shared" si="56"/>
        <v>0.4</v>
      </c>
      <c r="P127" s="71"/>
      <c r="Q127" s="71"/>
      <c r="R127" s="17"/>
      <c r="S127" s="6" t="s">
        <v>3</v>
      </c>
      <c r="T127" s="6" t="s">
        <v>3</v>
      </c>
      <c r="U127" s="77"/>
      <c r="V127" s="77"/>
      <c r="W127" s="77"/>
      <c r="X127" s="77"/>
      <c r="Y127" s="77"/>
      <c r="Z127" s="82">
        <v>140379</v>
      </c>
    </row>
    <row r="128" spans="1:26">
      <c r="A128" s="5" t="s">
        <v>354</v>
      </c>
      <c r="B128" s="33"/>
      <c r="C128" s="5" t="s">
        <v>56</v>
      </c>
      <c r="D128" s="5" t="s">
        <v>57</v>
      </c>
      <c r="E128" s="13">
        <v>54</v>
      </c>
      <c r="F128" s="13" t="s">
        <v>2</v>
      </c>
      <c r="G128" s="13">
        <v>24</v>
      </c>
      <c r="H128" s="57">
        <v>1.99</v>
      </c>
      <c r="I128" s="57">
        <f t="shared" si="43"/>
        <v>107.46</v>
      </c>
      <c r="J128" s="42">
        <f t="shared" si="57"/>
        <v>3.6181818181818177</v>
      </c>
      <c r="K128" s="65">
        <f t="shared" si="53"/>
        <v>195.38181818181815</v>
      </c>
      <c r="L128" s="41">
        <f t="shared" si="58"/>
        <v>0.44999999999999996</v>
      </c>
      <c r="M128" s="47">
        <f t="shared" si="54"/>
        <v>3.3166666666666669</v>
      </c>
      <c r="N128" s="68">
        <f t="shared" si="55"/>
        <v>179.10000000000002</v>
      </c>
      <c r="O128" s="48">
        <f t="shared" si="56"/>
        <v>0.4</v>
      </c>
      <c r="P128" s="71"/>
      <c r="Q128" s="71"/>
      <c r="R128" s="17"/>
      <c r="S128" s="6" t="s">
        <v>3</v>
      </c>
      <c r="T128" s="6" t="s">
        <v>3</v>
      </c>
      <c r="U128" s="77"/>
      <c r="V128" s="77"/>
      <c r="W128" s="77"/>
      <c r="X128" s="77"/>
      <c r="Y128" s="77"/>
      <c r="Z128" s="82">
        <v>140379</v>
      </c>
    </row>
    <row r="129" spans="1:26">
      <c r="A129" s="5" t="s">
        <v>354</v>
      </c>
      <c r="B129" s="33"/>
      <c r="C129" s="5" t="s">
        <v>58</v>
      </c>
      <c r="D129" s="5" t="s">
        <v>59</v>
      </c>
      <c r="E129" s="13">
        <v>54</v>
      </c>
      <c r="F129" s="13" t="s">
        <v>2</v>
      </c>
      <c r="G129" s="13">
        <v>24</v>
      </c>
      <c r="H129" s="57">
        <v>1.99</v>
      </c>
      <c r="I129" s="57">
        <f t="shared" si="43"/>
        <v>107.46</v>
      </c>
      <c r="J129" s="42">
        <f t="shared" si="57"/>
        <v>3.6181818181818177</v>
      </c>
      <c r="K129" s="65">
        <f t="shared" si="53"/>
        <v>195.38181818181815</v>
      </c>
      <c r="L129" s="41">
        <f t="shared" si="58"/>
        <v>0.44999999999999996</v>
      </c>
      <c r="M129" s="47">
        <f t="shared" si="54"/>
        <v>3.3166666666666669</v>
      </c>
      <c r="N129" s="68">
        <f t="shared" si="55"/>
        <v>179.10000000000002</v>
      </c>
      <c r="O129" s="48">
        <f t="shared" si="56"/>
        <v>0.4</v>
      </c>
      <c r="P129" s="71"/>
      <c r="Q129" s="71"/>
      <c r="R129" s="17"/>
      <c r="S129" s="6" t="s">
        <v>3</v>
      </c>
      <c r="T129" s="6" t="s">
        <v>3</v>
      </c>
      <c r="U129" s="77"/>
      <c r="V129" s="77"/>
      <c r="W129" s="77"/>
      <c r="X129" s="77"/>
      <c r="Y129" s="77"/>
      <c r="Z129" s="82">
        <v>140379</v>
      </c>
    </row>
    <row r="130" spans="1:26">
      <c r="A130" s="5" t="s">
        <v>354</v>
      </c>
      <c r="B130" s="33"/>
      <c r="C130" s="5" t="s">
        <v>60</v>
      </c>
      <c r="D130" s="5" t="s">
        <v>61</v>
      </c>
      <c r="E130" s="13">
        <v>50</v>
      </c>
      <c r="F130" s="13" t="s">
        <v>2</v>
      </c>
      <c r="G130" s="13">
        <v>24</v>
      </c>
      <c r="H130" s="57">
        <v>1.99</v>
      </c>
      <c r="I130" s="57">
        <f t="shared" si="43"/>
        <v>99.5</v>
      </c>
      <c r="J130" s="42">
        <f t="shared" si="57"/>
        <v>3.6181818181818177</v>
      </c>
      <c r="K130" s="65">
        <f t="shared" si="53"/>
        <v>180.90909090909088</v>
      </c>
      <c r="L130" s="41">
        <f t="shared" si="58"/>
        <v>0.44999999999999996</v>
      </c>
      <c r="M130" s="47">
        <f t="shared" si="54"/>
        <v>3.3166666666666669</v>
      </c>
      <c r="N130" s="68">
        <f t="shared" si="55"/>
        <v>165.83333333333334</v>
      </c>
      <c r="O130" s="48">
        <f t="shared" si="56"/>
        <v>0.4</v>
      </c>
      <c r="P130" s="71"/>
      <c r="Q130" s="71"/>
      <c r="R130" s="17"/>
      <c r="S130" s="6" t="s">
        <v>3</v>
      </c>
      <c r="T130" s="6" t="s">
        <v>3</v>
      </c>
      <c r="U130" s="77"/>
      <c r="V130" s="77"/>
      <c r="W130" s="77"/>
      <c r="X130" s="77"/>
      <c r="Y130" s="77"/>
      <c r="Z130" s="82">
        <v>140379</v>
      </c>
    </row>
    <row r="131" spans="1:26">
      <c r="A131" s="5" t="s">
        <v>354</v>
      </c>
      <c r="B131" s="33"/>
      <c r="C131" s="5" t="s">
        <v>62</v>
      </c>
      <c r="D131" s="5" t="s">
        <v>63</v>
      </c>
      <c r="E131" s="13">
        <v>60</v>
      </c>
      <c r="F131" s="13" t="s">
        <v>2</v>
      </c>
      <c r="G131" s="13">
        <v>24</v>
      </c>
      <c r="H131" s="57">
        <v>2.5499999999999998</v>
      </c>
      <c r="I131" s="57">
        <f t="shared" si="43"/>
        <v>153</v>
      </c>
      <c r="J131" s="42">
        <f t="shared" si="57"/>
        <v>4.6363636363636358</v>
      </c>
      <c r="K131" s="65">
        <f t="shared" si="53"/>
        <v>278.18181818181813</v>
      </c>
      <c r="L131" s="41">
        <f t="shared" si="58"/>
        <v>0.44999999999999996</v>
      </c>
      <c r="M131" s="47">
        <f t="shared" si="54"/>
        <v>4.25</v>
      </c>
      <c r="N131" s="68">
        <f t="shared" si="55"/>
        <v>255</v>
      </c>
      <c r="O131" s="48">
        <f t="shared" si="56"/>
        <v>0.4</v>
      </c>
      <c r="P131" s="71"/>
      <c r="Q131" s="71"/>
      <c r="R131" s="17"/>
      <c r="S131" s="6" t="s">
        <v>3</v>
      </c>
      <c r="T131" s="6" t="s">
        <v>3</v>
      </c>
      <c r="U131" s="77"/>
      <c r="V131" s="77"/>
      <c r="W131" s="77"/>
      <c r="X131" s="77"/>
      <c r="Y131" s="77"/>
      <c r="Z131" s="82">
        <v>140379</v>
      </c>
    </row>
    <row r="132" spans="1:26">
      <c r="A132" s="5" t="s">
        <v>354</v>
      </c>
      <c r="B132" s="33"/>
      <c r="C132" s="5" t="s">
        <v>64</v>
      </c>
      <c r="D132" s="5" t="s">
        <v>65</v>
      </c>
      <c r="E132" s="13">
        <v>50</v>
      </c>
      <c r="F132" s="13" t="s">
        <v>2</v>
      </c>
      <c r="G132" s="13">
        <v>24</v>
      </c>
      <c r="H132" s="57">
        <v>2.5499999999999998</v>
      </c>
      <c r="I132" s="57">
        <f t="shared" ref="I132:I138" si="59">E132*H132</f>
        <v>127.49999999999999</v>
      </c>
      <c r="J132" s="42">
        <f t="shared" si="57"/>
        <v>4.6363636363636358</v>
      </c>
      <c r="K132" s="65">
        <f t="shared" si="53"/>
        <v>231.81818181818178</v>
      </c>
      <c r="L132" s="41">
        <f t="shared" si="58"/>
        <v>0.44999999999999996</v>
      </c>
      <c r="M132" s="47">
        <f t="shared" si="54"/>
        <v>4.25</v>
      </c>
      <c r="N132" s="68">
        <f t="shared" si="55"/>
        <v>212.5</v>
      </c>
      <c r="O132" s="48">
        <f t="shared" si="56"/>
        <v>0.4</v>
      </c>
      <c r="P132" s="71"/>
      <c r="Q132" s="71"/>
      <c r="R132" s="17"/>
      <c r="S132" s="6" t="s">
        <v>3</v>
      </c>
      <c r="T132" s="6" t="s">
        <v>3</v>
      </c>
      <c r="U132" s="77"/>
      <c r="V132" s="77"/>
      <c r="W132" s="77"/>
      <c r="X132" s="77"/>
      <c r="Y132" s="77"/>
      <c r="Z132" s="82">
        <v>140379</v>
      </c>
    </row>
    <row r="133" spans="1:26">
      <c r="A133" s="5" t="s">
        <v>354</v>
      </c>
      <c r="B133" s="33"/>
      <c r="C133" s="5" t="s">
        <v>66</v>
      </c>
      <c r="D133" s="5" t="s">
        <v>67</v>
      </c>
      <c r="E133" s="13">
        <v>42</v>
      </c>
      <c r="F133" s="13" t="s">
        <v>2</v>
      </c>
      <c r="G133" s="13">
        <v>24</v>
      </c>
      <c r="H133" s="57">
        <v>2.5499999999999998</v>
      </c>
      <c r="I133" s="57">
        <f t="shared" si="59"/>
        <v>107.1</v>
      </c>
      <c r="J133" s="42">
        <f t="shared" si="57"/>
        <v>4.6363636363636358</v>
      </c>
      <c r="K133" s="65">
        <f t="shared" si="53"/>
        <v>194.72727272727269</v>
      </c>
      <c r="L133" s="41">
        <f t="shared" si="58"/>
        <v>0.44999999999999996</v>
      </c>
      <c r="M133" s="47">
        <f t="shared" si="54"/>
        <v>4.25</v>
      </c>
      <c r="N133" s="68">
        <f t="shared" si="55"/>
        <v>178.5</v>
      </c>
      <c r="O133" s="48">
        <f t="shared" si="56"/>
        <v>0.4</v>
      </c>
      <c r="P133" s="71"/>
      <c r="Q133" s="71"/>
      <c r="R133" s="17"/>
      <c r="S133" s="6" t="s">
        <v>3</v>
      </c>
      <c r="T133" s="6" t="s">
        <v>3</v>
      </c>
      <c r="U133" s="77"/>
      <c r="V133" s="77"/>
      <c r="W133" s="77"/>
      <c r="X133" s="77"/>
      <c r="Y133" s="77"/>
      <c r="Z133" s="82">
        <v>140379</v>
      </c>
    </row>
    <row r="134" spans="1:26">
      <c r="A134" s="5" t="s">
        <v>354</v>
      </c>
      <c r="B134" s="33"/>
      <c r="C134" s="5" t="s">
        <v>68</v>
      </c>
      <c r="D134" s="5" t="s">
        <v>69</v>
      </c>
      <c r="E134" s="13">
        <v>42</v>
      </c>
      <c r="F134" s="13" t="s">
        <v>2</v>
      </c>
      <c r="G134" s="13">
        <v>24</v>
      </c>
      <c r="H134" s="57">
        <v>2.5499999999999998</v>
      </c>
      <c r="I134" s="57">
        <f t="shared" si="59"/>
        <v>107.1</v>
      </c>
      <c r="J134" s="42">
        <f t="shared" si="57"/>
        <v>4.6363636363636358</v>
      </c>
      <c r="K134" s="65">
        <f t="shared" si="53"/>
        <v>194.72727272727269</v>
      </c>
      <c r="L134" s="41">
        <f t="shared" si="58"/>
        <v>0.44999999999999996</v>
      </c>
      <c r="M134" s="47">
        <f t="shared" si="54"/>
        <v>4.25</v>
      </c>
      <c r="N134" s="68">
        <f t="shared" si="55"/>
        <v>178.5</v>
      </c>
      <c r="O134" s="48">
        <f t="shared" si="56"/>
        <v>0.4</v>
      </c>
      <c r="P134" s="71"/>
      <c r="Q134" s="71"/>
      <c r="R134" s="17"/>
      <c r="S134" s="6" t="s">
        <v>3</v>
      </c>
      <c r="T134" s="6" t="s">
        <v>3</v>
      </c>
      <c r="U134" s="77"/>
      <c r="V134" s="77"/>
      <c r="W134" s="77"/>
      <c r="X134" s="77"/>
      <c r="Y134" s="77"/>
      <c r="Z134" s="82">
        <v>140379</v>
      </c>
    </row>
    <row r="135" spans="1:26">
      <c r="A135" s="5" t="s">
        <v>354</v>
      </c>
      <c r="B135" s="33"/>
      <c r="C135" s="5" t="s">
        <v>86</v>
      </c>
      <c r="D135" s="5" t="s">
        <v>87</v>
      </c>
      <c r="E135" s="13">
        <v>50</v>
      </c>
      <c r="F135" s="13" t="s">
        <v>2</v>
      </c>
      <c r="G135" s="13">
        <v>24</v>
      </c>
      <c r="H135" s="57">
        <v>3.95</v>
      </c>
      <c r="I135" s="57">
        <f t="shared" si="59"/>
        <v>197.5</v>
      </c>
      <c r="J135" s="42">
        <f t="shared" si="57"/>
        <v>7.1818181818181817</v>
      </c>
      <c r="K135" s="65">
        <f t="shared" si="53"/>
        <v>359.09090909090907</v>
      </c>
      <c r="L135" s="41">
        <f t="shared" si="58"/>
        <v>0.44999999999999996</v>
      </c>
      <c r="M135" s="47">
        <f t="shared" si="54"/>
        <v>6.5833333333333339</v>
      </c>
      <c r="N135" s="68">
        <f t="shared" si="55"/>
        <v>329.16666666666669</v>
      </c>
      <c r="O135" s="48">
        <f t="shared" si="56"/>
        <v>0.4</v>
      </c>
      <c r="P135" s="71"/>
      <c r="Q135" s="71"/>
      <c r="R135" s="17"/>
      <c r="S135" s="6" t="s">
        <v>3</v>
      </c>
      <c r="T135" s="6" t="s">
        <v>3</v>
      </c>
      <c r="U135" s="77"/>
      <c r="V135" s="77"/>
      <c r="W135" s="77"/>
      <c r="X135" s="77"/>
      <c r="Y135" s="77"/>
      <c r="Z135" s="82">
        <v>140379</v>
      </c>
    </row>
    <row r="136" spans="1:26">
      <c r="A136" s="5" t="s">
        <v>354</v>
      </c>
      <c r="B136" s="33"/>
      <c r="C136" s="5" t="s">
        <v>88</v>
      </c>
      <c r="D136" s="5" t="s">
        <v>89</v>
      </c>
      <c r="E136" s="13">
        <v>50</v>
      </c>
      <c r="F136" s="13" t="s">
        <v>2</v>
      </c>
      <c r="G136" s="13">
        <v>24</v>
      </c>
      <c r="H136" s="57">
        <v>3.95</v>
      </c>
      <c r="I136" s="57">
        <f t="shared" si="59"/>
        <v>197.5</v>
      </c>
      <c r="J136" s="42">
        <f t="shared" si="57"/>
        <v>7.1818181818181817</v>
      </c>
      <c r="K136" s="65">
        <f t="shared" si="53"/>
        <v>359.09090909090907</v>
      </c>
      <c r="L136" s="41">
        <f t="shared" si="58"/>
        <v>0.44999999999999996</v>
      </c>
      <c r="M136" s="47">
        <f t="shared" si="54"/>
        <v>6.5833333333333339</v>
      </c>
      <c r="N136" s="68">
        <f t="shared" si="55"/>
        <v>329.16666666666669</v>
      </c>
      <c r="O136" s="48">
        <f t="shared" si="56"/>
        <v>0.4</v>
      </c>
      <c r="P136" s="71"/>
      <c r="Q136" s="71"/>
      <c r="R136" s="17"/>
      <c r="S136" s="6" t="s">
        <v>3</v>
      </c>
      <c r="T136" s="6" t="s">
        <v>3</v>
      </c>
      <c r="U136" s="77"/>
      <c r="V136" s="77"/>
      <c r="W136" s="77"/>
      <c r="X136" s="77"/>
      <c r="Y136" s="77"/>
      <c r="Z136" s="82">
        <v>140379</v>
      </c>
    </row>
    <row r="137" spans="1:26">
      <c r="A137" s="5" t="s">
        <v>354</v>
      </c>
      <c r="B137" s="33"/>
      <c r="C137" s="5" t="s">
        <v>90</v>
      </c>
      <c r="D137" s="5" t="s">
        <v>91</v>
      </c>
      <c r="E137" s="13">
        <v>42</v>
      </c>
      <c r="F137" s="13" t="s">
        <v>2</v>
      </c>
      <c r="G137" s="13">
        <v>24</v>
      </c>
      <c r="H137" s="57">
        <v>3.95</v>
      </c>
      <c r="I137" s="57">
        <f t="shared" si="59"/>
        <v>165.9</v>
      </c>
      <c r="J137" s="42">
        <f t="shared" si="57"/>
        <v>7.1818181818181817</v>
      </c>
      <c r="K137" s="65">
        <f t="shared" si="53"/>
        <v>301.63636363636363</v>
      </c>
      <c r="L137" s="41">
        <f t="shared" si="58"/>
        <v>0.44999999999999996</v>
      </c>
      <c r="M137" s="47">
        <f t="shared" si="54"/>
        <v>6.5833333333333339</v>
      </c>
      <c r="N137" s="68">
        <f t="shared" si="55"/>
        <v>276.5</v>
      </c>
      <c r="O137" s="48">
        <f t="shared" si="56"/>
        <v>0.4</v>
      </c>
      <c r="P137" s="71"/>
      <c r="Q137" s="71"/>
      <c r="R137" s="17"/>
      <c r="S137" s="6" t="s">
        <v>3</v>
      </c>
      <c r="T137" s="6" t="s">
        <v>3</v>
      </c>
      <c r="U137" s="77"/>
      <c r="V137" s="77"/>
      <c r="W137" s="77"/>
      <c r="X137" s="77"/>
      <c r="Y137" s="77"/>
      <c r="Z137" s="82">
        <v>140379</v>
      </c>
    </row>
    <row r="138" spans="1:26">
      <c r="A138" s="7" t="s">
        <v>354</v>
      </c>
      <c r="B138" s="7"/>
      <c r="C138" s="7" t="s">
        <v>92</v>
      </c>
      <c r="D138" s="7" t="s">
        <v>93</v>
      </c>
      <c r="E138" s="14">
        <v>42</v>
      </c>
      <c r="F138" s="14" t="s">
        <v>2</v>
      </c>
      <c r="G138" s="14">
        <v>24</v>
      </c>
      <c r="H138" s="58">
        <v>3.95</v>
      </c>
      <c r="I138" s="58">
        <f t="shared" si="59"/>
        <v>165.9</v>
      </c>
      <c r="J138" s="44">
        <f t="shared" si="57"/>
        <v>7.1818181818181817</v>
      </c>
      <c r="K138" s="66">
        <f t="shared" si="53"/>
        <v>301.63636363636363</v>
      </c>
      <c r="L138" s="43">
        <f t="shared" si="58"/>
        <v>0.44999999999999996</v>
      </c>
      <c r="M138" s="49">
        <f t="shared" si="54"/>
        <v>6.5833333333333339</v>
      </c>
      <c r="N138" s="69">
        <f t="shared" si="55"/>
        <v>276.5</v>
      </c>
      <c r="O138" s="50">
        <f t="shared" si="56"/>
        <v>0.4</v>
      </c>
      <c r="P138" s="72"/>
      <c r="Q138" s="72"/>
      <c r="R138" s="18"/>
      <c r="S138" s="8" t="s">
        <v>3</v>
      </c>
      <c r="T138" s="8" t="s">
        <v>3</v>
      </c>
      <c r="U138" s="78"/>
      <c r="V138" s="78"/>
      <c r="W138" s="78"/>
      <c r="X138" s="78"/>
      <c r="Y138" s="78"/>
      <c r="Z138" s="84">
        <v>140379</v>
      </c>
    </row>
  </sheetData>
  <mergeCells count="3">
    <mergeCell ref="J1:L1"/>
    <mergeCell ref="M1:O1"/>
    <mergeCell ref="P1:R1"/>
  </mergeCells>
  <phoneticPr fontId="4" type="noConversion"/>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47"/>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N39" sqref="N39"/>
    </sheetView>
  </sheetViews>
  <sheetFormatPr defaultColWidth="8.85546875" defaultRowHeight="15"/>
  <cols>
    <col min="1" max="1" width="11.28515625" bestFit="1" customWidth="1"/>
    <col min="2" max="2" width="13.42578125" bestFit="1" customWidth="1"/>
    <col min="3" max="3" width="51.7109375" customWidth="1"/>
    <col min="4" max="4" width="7.42578125" style="15" bestFit="1" customWidth="1"/>
    <col min="5" max="5" width="4.7109375" style="15" bestFit="1" customWidth="1"/>
    <col min="6" max="6" width="9.140625" style="15" bestFit="1"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8" width="20.140625" style="3" bestFit="1" customWidth="1"/>
    <col min="19" max="23" width="8.85546875" style="60"/>
    <col min="24" max="24" width="10.28515625" style="60" bestFit="1" customWidth="1"/>
  </cols>
  <sheetData>
    <row r="1" spans="1:24">
      <c r="B1" s="1"/>
      <c r="C1" s="1"/>
      <c r="D1" s="11"/>
      <c r="E1" s="11"/>
      <c r="F1" s="11"/>
      <c r="G1" s="55"/>
      <c r="H1" s="542" t="s">
        <v>347</v>
      </c>
      <c r="I1" s="543"/>
      <c r="J1" s="544"/>
      <c r="K1" s="545" t="s">
        <v>348</v>
      </c>
      <c r="L1" s="546"/>
      <c r="M1" s="547"/>
      <c r="N1" s="557" t="s">
        <v>369</v>
      </c>
      <c r="O1" s="558"/>
      <c r="P1" s="559"/>
      <c r="Q1" s="2" t="s">
        <v>347</v>
      </c>
      <c r="R1" s="2" t="s">
        <v>348</v>
      </c>
    </row>
    <row r="2" spans="1:24" s="26" customFormat="1" ht="45">
      <c r="A2" s="24" t="s">
        <v>350</v>
      </c>
      <c r="B2" s="24" t="s">
        <v>344</v>
      </c>
      <c r="C2" s="24" t="s">
        <v>345</v>
      </c>
      <c r="D2" s="23" t="s">
        <v>358</v>
      </c>
      <c r="E2" s="23" t="s">
        <v>346</v>
      </c>
      <c r="F2" s="23" t="s">
        <v>357</v>
      </c>
      <c r="G2" s="56" t="s">
        <v>356</v>
      </c>
      <c r="H2" s="23" t="s">
        <v>360</v>
      </c>
      <c r="I2" s="23" t="s">
        <v>361</v>
      </c>
      <c r="J2" s="23" t="s">
        <v>359</v>
      </c>
      <c r="K2" s="23" t="s">
        <v>362</v>
      </c>
      <c r="L2" s="56" t="s">
        <v>363</v>
      </c>
      <c r="M2" s="23" t="s">
        <v>359</v>
      </c>
      <c r="N2" s="56" t="s">
        <v>365</v>
      </c>
      <c r="O2" s="56" t="s">
        <v>364</v>
      </c>
      <c r="P2" s="23" t="s">
        <v>359</v>
      </c>
      <c r="Q2" s="25" t="s">
        <v>349</v>
      </c>
      <c r="R2" s="25" t="s">
        <v>349</v>
      </c>
      <c r="S2" s="76" t="s">
        <v>371</v>
      </c>
      <c r="T2" s="76" t="s">
        <v>372</v>
      </c>
      <c r="U2" s="76" t="s">
        <v>373</v>
      </c>
      <c r="V2" s="76" t="s">
        <v>374</v>
      </c>
      <c r="W2" s="76" t="s">
        <v>375</v>
      </c>
      <c r="X2" s="76" t="s">
        <v>376</v>
      </c>
    </row>
    <row r="3" spans="1:24">
      <c r="C3" s="98" t="s">
        <v>377</v>
      </c>
    </row>
    <row r="4" spans="1:24">
      <c r="A4" s="225" t="s">
        <v>355</v>
      </c>
      <c r="B4" s="225" t="s">
        <v>96</v>
      </c>
      <c r="C4" s="4" t="s">
        <v>97</v>
      </c>
      <c r="D4" s="12">
        <v>40</v>
      </c>
      <c r="E4" s="12" t="s">
        <v>2</v>
      </c>
      <c r="F4" s="12"/>
      <c r="G4" s="59"/>
      <c r="H4" s="40"/>
      <c r="I4" s="67"/>
      <c r="J4" s="39"/>
      <c r="K4" s="45"/>
      <c r="L4" s="70"/>
      <c r="M4" s="46"/>
      <c r="N4" s="73"/>
      <c r="O4" s="73"/>
      <c r="P4" s="16"/>
      <c r="Q4" s="9" t="s">
        <v>3</v>
      </c>
      <c r="R4" s="9" t="s">
        <v>3</v>
      </c>
      <c r="S4" s="79"/>
      <c r="T4" s="79"/>
      <c r="U4" s="79"/>
      <c r="V4" s="79"/>
      <c r="W4" s="79"/>
      <c r="X4" s="83">
        <v>153153</v>
      </c>
    </row>
    <row r="5" spans="1:24">
      <c r="A5" s="199" t="s">
        <v>355</v>
      </c>
      <c r="B5" s="199" t="s">
        <v>98</v>
      </c>
      <c r="C5" s="33" t="s">
        <v>99</v>
      </c>
      <c r="D5" s="34">
        <v>20</v>
      </c>
      <c r="E5" s="34" t="s">
        <v>2</v>
      </c>
      <c r="F5" s="34"/>
      <c r="G5" s="57"/>
      <c r="H5" s="42"/>
      <c r="I5" s="65"/>
      <c r="J5" s="41"/>
      <c r="K5" s="47"/>
      <c r="L5" s="68"/>
      <c r="M5" s="48"/>
      <c r="N5" s="71"/>
      <c r="O5" s="71"/>
      <c r="P5" s="36"/>
      <c r="Q5" s="35" t="s">
        <v>3</v>
      </c>
      <c r="R5" s="35" t="s">
        <v>3</v>
      </c>
      <c r="S5" s="77"/>
      <c r="T5" s="77"/>
      <c r="U5" s="77"/>
      <c r="V5" s="77"/>
      <c r="W5" s="77"/>
      <c r="X5" s="82">
        <v>153153</v>
      </c>
    </row>
    <row r="6" spans="1:24">
      <c r="A6" s="33" t="s">
        <v>353</v>
      </c>
      <c r="B6" s="33" t="s">
        <v>177</v>
      </c>
      <c r="C6" s="33" t="s">
        <v>178</v>
      </c>
      <c r="D6" s="34">
        <v>40</v>
      </c>
      <c r="E6" s="34" t="s">
        <v>2</v>
      </c>
      <c r="F6" s="34"/>
      <c r="G6" s="57"/>
      <c r="H6" s="42"/>
      <c r="I6" s="65"/>
      <c r="J6" s="41"/>
      <c r="K6" s="47"/>
      <c r="L6" s="68"/>
      <c r="M6" s="48"/>
      <c r="N6" s="71"/>
      <c r="O6" s="71"/>
      <c r="P6" s="36"/>
      <c r="Q6" s="35" t="s">
        <v>3</v>
      </c>
      <c r="R6" s="35" t="s">
        <v>3</v>
      </c>
      <c r="S6" s="77"/>
      <c r="T6" s="77"/>
      <c r="U6" s="77"/>
      <c r="V6" s="77"/>
      <c r="W6" s="77"/>
      <c r="X6" s="82">
        <v>153153</v>
      </c>
    </row>
    <row r="7" spans="1:24">
      <c r="A7" s="33" t="s">
        <v>353</v>
      </c>
      <c r="B7" s="33" t="s">
        <v>179</v>
      </c>
      <c r="C7" s="33" t="s">
        <v>180</v>
      </c>
      <c r="D7" s="34">
        <v>20</v>
      </c>
      <c r="E7" s="34" t="s">
        <v>2</v>
      </c>
      <c r="F7" s="34"/>
      <c r="G7" s="57"/>
      <c r="H7" s="42"/>
      <c r="I7" s="65"/>
      <c r="J7" s="41"/>
      <c r="K7" s="47"/>
      <c r="L7" s="68"/>
      <c r="M7" s="48"/>
      <c r="N7" s="71"/>
      <c r="O7" s="71"/>
      <c r="P7" s="36"/>
      <c r="Q7" s="35" t="s">
        <v>3</v>
      </c>
      <c r="R7" s="35" t="s">
        <v>3</v>
      </c>
      <c r="S7" s="77"/>
      <c r="T7" s="77"/>
      <c r="U7" s="77"/>
      <c r="V7" s="77"/>
      <c r="W7" s="77"/>
      <c r="X7" s="82">
        <v>153153</v>
      </c>
    </row>
    <row r="8" spans="1:24">
      <c r="A8" s="33" t="s">
        <v>353</v>
      </c>
      <c r="B8" s="33" t="s">
        <v>181</v>
      </c>
      <c r="C8" s="33" t="s">
        <v>182</v>
      </c>
      <c r="D8" s="34">
        <v>20</v>
      </c>
      <c r="E8" s="34" t="s">
        <v>2</v>
      </c>
      <c r="F8" s="34"/>
      <c r="G8" s="57"/>
      <c r="H8" s="42"/>
      <c r="I8" s="65"/>
      <c r="J8" s="41"/>
      <c r="K8" s="47"/>
      <c r="L8" s="68"/>
      <c r="M8" s="48"/>
      <c r="N8" s="71"/>
      <c r="O8" s="71"/>
      <c r="P8" s="36"/>
      <c r="Q8" s="35" t="s">
        <v>3</v>
      </c>
      <c r="R8" s="35" t="s">
        <v>3</v>
      </c>
      <c r="S8" s="77"/>
      <c r="T8" s="77"/>
      <c r="U8" s="77"/>
      <c r="V8" s="77"/>
      <c r="W8" s="77"/>
      <c r="X8" s="82">
        <v>153153</v>
      </c>
    </row>
    <row r="9" spans="1:24">
      <c r="A9" s="33" t="s">
        <v>353</v>
      </c>
      <c r="B9" s="33" t="s">
        <v>183</v>
      </c>
      <c r="C9" s="33" t="s">
        <v>184</v>
      </c>
      <c r="D9" s="34">
        <v>20</v>
      </c>
      <c r="E9" s="34" t="s">
        <v>2</v>
      </c>
      <c r="F9" s="34"/>
      <c r="G9" s="57"/>
      <c r="H9" s="42"/>
      <c r="I9" s="65"/>
      <c r="J9" s="41"/>
      <c r="K9" s="47"/>
      <c r="L9" s="68"/>
      <c r="M9" s="48"/>
      <c r="N9" s="71"/>
      <c r="O9" s="71"/>
      <c r="P9" s="36"/>
      <c r="Q9" s="35" t="s">
        <v>3</v>
      </c>
      <c r="R9" s="35" t="s">
        <v>3</v>
      </c>
      <c r="S9" s="77"/>
      <c r="T9" s="77"/>
      <c r="U9" s="77"/>
      <c r="V9" s="77"/>
      <c r="W9" s="77"/>
      <c r="X9" s="82">
        <v>153153</v>
      </c>
    </row>
    <row r="10" spans="1:24">
      <c r="A10" s="33" t="s">
        <v>353</v>
      </c>
      <c r="B10" s="33" t="s">
        <v>185</v>
      </c>
      <c r="C10" s="33" t="s">
        <v>186</v>
      </c>
      <c r="D10" s="34">
        <v>50</v>
      </c>
      <c r="E10" s="34" t="s">
        <v>2</v>
      </c>
      <c r="F10" s="34"/>
      <c r="G10" s="57"/>
      <c r="H10" s="42"/>
      <c r="I10" s="65"/>
      <c r="J10" s="41"/>
      <c r="K10" s="47"/>
      <c r="L10" s="68"/>
      <c r="M10" s="48"/>
      <c r="N10" s="71"/>
      <c r="O10" s="71"/>
      <c r="P10" s="36"/>
      <c r="Q10" s="35" t="s">
        <v>3</v>
      </c>
      <c r="R10" s="35" t="s">
        <v>3</v>
      </c>
      <c r="S10" s="77"/>
      <c r="T10" s="77"/>
      <c r="U10" s="77"/>
      <c r="V10" s="77"/>
      <c r="W10" s="77"/>
      <c r="X10" s="82">
        <v>153153</v>
      </c>
    </row>
    <row r="11" spans="1:24">
      <c r="A11" s="33" t="s">
        <v>353</v>
      </c>
      <c r="B11" s="33" t="s">
        <v>187</v>
      </c>
      <c r="C11" s="33" t="s">
        <v>188</v>
      </c>
      <c r="D11" s="34">
        <v>15</v>
      </c>
      <c r="E11" s="34" t="s">
        <v>2</v>
      </c>
      <c r="F11" s="34"/>
      <c r="G11" s="57"/>
      <c r="H11" s="42"/>
      <c r="I11" s="65"/>
      <c r="J11" s="41"/>
      <c r="K11" s="47"/>
      <c r="L11" s="68"/>
      <c r="M11" s="48"/>
      <c r="N11" s="71"/>
      <c r="O11" s="71"/>
      <c r="P11" s="36"/>
      <c r="Q11" s="35" t="s">
        <v>3</v>
      </c>
      <c r="R11" s="35" t="s">
        <v>3</v>
      </c>
      <c r="S11" s="77"/>
      <c r="T11" s="77"/>
      <c r="U11" s="77"/>
      <c r="V11" s="77"/>
      <c r="W11" s="77"/>
      <c r="X11" s="82">
        <v>153153</v>
      </c>
    </row>
    <row r="12" spans="1:24">
      <c r="A12" s="33" t="s">
        <v>353</v>
      </c>
      <c r="B12" s="33" t="s">
        <v>193</v>
      </c>
      <c r="C12" s="33" t="s">
        <v>194</v>
      </c>
      <c r="D12" s="34">
        <v>20</v>
      </c>
      <c r="E12" s="34" t="s">
        <v>2</v>
      </c>
      <c r="F12" s="34"/>
      <c r="G12" s="57"/>
      <c r="H12" s="42"/>
      <c r="I12" s="65"/>
      <c r="J12" s="41"/>
      <c r="K12" s="47"/>
      <c r="L12" s="68"/>
      <c r="M12" s="48"/>
      <c r="N12" s="71"/>
      <c r="O12" s="71"/>
      <c r="P12" s="36"/>
      <c r="Q12" s="35" t="s">
        <v>3</v>
      </c>
      <c r="R12" s="35" t="s">
        <v>3</v>
      </c>
      <c r="S12" s="77"/>
      <c r="T12" s="77"/>
      <c r="U12" s="77"/>
      <c r="V12" s="77"/>
      <c r="W12" s="77"/>
      <c r="X12" s="82">
        <v>153153</v>
      </c>
    </row>
    <row r="13" spans="1:24">
      <c r="A13" s="33" t="s">
        <v>353</v>
      </c>
      <c r="B13" s="33" t="s">
        <v>207</v>
      </c>
      <c r="C13" s="33" t="s">
        <v>208</v>
      </c>
      <c r="D13" s="34">
        <v>50</v>
      </c>
      <c r="E13" s="34" t="s">
        <v>2</v>
      </c>
      <c r="F13" s="34"/>
      <c r="G13" s="57"/>
      <c r="H13" s="42"/>
      <c r="I13" s="65"/>
      <c r="J13" s="41"/>
      <c r="K13" s="47"/>
      <c r="L13" s="68"/>
      <c r="M13" s="48"/>
      <c r="N13" s="71"/>
      <c r="O13" s="71"/>
      <c r="P13" s="36"/>
      <c r="Q13" s="35" t="s">
        <v>3</v>
      </c>
      <c r="R13" s="35" t="s">
        <v>3</v>
      </c>
      <c r="S13" s="77"/>
      <c r="T13" s="77"/>
      <c r="U13" s="77"/>
      <c r="V13" s="77"/>
      <c r="W13" s="77"/>
      <c r="X13" s="82">
        <v>153153</v>
      </c>
    </row>
    <row r="14" spans="1:24">
      <c r="A14" s="33" t="s">
        <v>353</v>
      </c>
      <c r="B14" s="33" t="s">
        <v>209</v>
      </c>
      <c r="C14" s="33" t="s">
        <v>210</v>
      </c>
      <c r="D14" s="34">
        <v>10</v>
      </c>
      <c r="E14" s="34" t="s">
        <v>2</v>
      </c>
      <c r="F14" s="34"/>
      <c r="G14" s="57"/>
      <c r="H14" s="42"/>
      <c r="I14" s="65"/>
      <c r="J14" s="41"/>
      <c r="K14" s="47"/>
      <c r="L14" s="68"/>
      <c r="M14" s="48"/>
      <c r="N14" s="71"/>
      <c r="O14" s="71"/>
      <c r="P14" s="36"/>
      <c r="Q14" s="35" t="s">
        <v>3</v>
      </c>
      <c r="R14" s="35" t="s">
        <v>3</v>
      </c>
      <c r="S14" s="77"/>
      <c r="T14" s="77"/>
      <c r="U14" s="77"/>
      <c r="V14" s="77"/>
      <c r="W14" s="77"/>
      <c r="X14" s="82">
        <v>153153</v>
      </c>
    </row>
    <row r="15" spans="1:24">
      <c r="A15" s="33" t="s">
        <v>353</v>
      </c>
      <c r="B15" s="33" t="s">
        <v>219</v>
      </c>
      <c r="C15" s="33" t="s">
        <v>220</v>
      </c>
      <c r="D15" s="34">
        <v>30</v>
      </c>
      <c r="E15" s="34" t="s">
        <v>2</v>
      </c>
      <c r="F15" s="34"/>
      <c r="G15" s="57">
        <v>2.48</v>
      </c>
      <c r="H15" s="42">
        <f>I15/D15</f>
        <v>4.5136666666666665</v>
      </c>
      <c r="I15" s="27">
        <f>Q15</f>
        <v>135.41</v>
      </c>
      <c r="J15" s="41">
        <f>(H15-G15)/H15</f>
        <v>0.45055756591093715</v>
      </c>
      <c r="K15" s="47">
        <f>L15/D15</f>
        <v>4.1416666666666666</v>
      </c>
      <c r="L15" s="28">
        <f>R15</f>
        <v>124.25</v>
      </c>
      <c r="M15" s="48">
        <f>(K15-G15)/K15</f>
        <v>0.40120724346076458</v>
      </c>
      <c r="N15" s="71">
        <f>O15/D15</f>
        <v>3.7199999999999998</v>
      </c>
      <c r="O15" s="31">
        <v>111.6</v>
      </c>
      <c r="P15" s="37">
        <f>(N15-G15)/N15</f>
        <v>0.33333333333333331</v>
      </c>
      <c r="Q15" s="51">
        <v>135.41</v>
      </c>
      <c r="R15" s="51">
        <v>124.25</v>
      </c>
      <c r="S15" s="77"/>
      <c r="T15" s="77">
        <v>3.55</v>
      </c>
      <c r="U15" s="77"/>
      <c r="V15" s="77"/>
      <c r="W15" s="77"/>
      <c r="X15" s="82">
        <v>153153</v>
      </c>
    </row>
    <row r="16" spans="1:24">
      <c r="A16" s="33" t="s">
        <v>353</v>
      </c>
      <c r="B16" s="33" t="s">
        <v>221</v>
      </c>
      <c r="C16" s="33" t="s">
        <v>222</v>
      </c>
      <c r="D16" s="34">
        <v>30</v>
      </c>
      <c r="E16" s="34" t="s">
        <v>2</v>
      </c>
      <c r="F16" s="34"/>
      <c r="G16" s="57">
        <v>2.58</v>
      </c>
      <c r="H16" s="42">
        <f>I16/D16</f>
        <v>4.6956666666666669</v>
      </c>
      <c r="I16" s="27">
        <f>Q16</f>
        <v>140.87</v>
      </c>
      <c r="J16" s="41">
        <f>(H16-G16)/H16</f>
        <v>0.45055725136650815</v>
      </c>
      <c r="K16" s="47">
        <f>L16/D16</f>
        <v>4.3086666666666664</v>
      </c>
      <c r="L16" s="28">
        <f>R16</f>
        <v>129.26</v>
      </c>
      <c r="M16" s="48">
        <f>(K16-G16)/K16</f>
        <v>0.40120686987467113</v>
      </c>
      <c r="N16" s="71">
        <f>O16/D16</f>
        <v>3.8699999999999997</v>
      </c>
      <c r="O16" s="31">
        <v>116.1</v>
      </c>
      <c r="P16" s="37">
        <f>(N16-G16)/N16</f>
        <v>0.33333333333333326</v>
      </c>
      <c r="Q16" s="51">
        <v>140.87</v>
      </c>
      <c r="R16" s="51">
        <v>129.26</v>
      </c>
      <c r="S16" s="77"/>
      <c r="T16" s="77">
        <v>3.69</v>
      </c>
      <c r="U16" s="77"/>
      <c r="V16" s="77"/>
      <c r="W16" s="77"/>
      <c r="X16" s="82">
        <v>153153</v>
      </c>
    </row>
    <row r="17" spans="1:27">
      <c r="A17" s="33" t="s">
        <v>353</v>
      </c>
      <c r="B17" s="33" t="s">
        <v>231</v>
      </c>
      <c r="C17" s="33" t="s">
        <v>232</v>
      </c>
      <c r="D17" s="34">
        <v>20</v>
      </c>
      <c r="E17" s="34" t="s">
        <v>2</v>
      </c>
      <c r="F17" s="34"/>
      <c r="G17" s="57"/>
      <c r="H17" s="42"/>
      <c r="I17" s="65"/>
      <c r="J17" s="41"/>
      <c r="K17" s="47"/>
      <c r="L17" s="68"/>
      <c r="M17" s="48"/>
      <c r="N17" s="71"/>
      <c r="O17" s="71"/>
      <c r="P17" s="36"/>
      <c r="Q17" s="35" t="s">
        <v>3</v>
      </c>
      <c r="R17" s="35" t="s">
        <v>3</v>
      </c>
      <c r="S17" s="77"/>
      <c r="T17" s="77"/>
      <c r="U17" s="77"/>
      <c r="V17" s="77"/>
      <c r="W17" s="77"/>
      <c r="X17" s="82">
        <v>153153</v>
      </c>
    </row>
    <row r="18" spans="1:27">
      <c r="A18" s="33" t="s">
        <v>353</v>
      </c>
      <c r="B18" s="33" t="s">
        <v>239</v>
      </c>
      <c r="C18" s="33" t="s">
        <v>240</v>
      </c>
      <c r="D18" s="34">
        <v>15</v>
      </c>
      <c r="E18" s="34" t="s">
        <v>2</v>
      </c>
      <c r="F18" s="34"/>
      <c r="G18" s="57"/>
      <c r="H18" s="42"/>
      <c r="I18" s="65"/>
      <c r="J18" s="41"/>
      <c r="K18" s="47"/>
      <c r="L18" s="68"/>
      <c r="M18" s="48"/>
      <c r="N18" s="71"/>
      <c r="O18" s="71"/>
      <c r="P18" s="36"/>
      <c r="Q18" s="35" t="s">
        <v>3</v>
      </c>
      <c r="R18" s="35" t="s">
        <v>3</v>
      </c>
      <c r="S18" s="77"/>
      <c r="T18" s="77"/>
      <c r="U18" s="77"/>
      <c r="V18" s="77"/>
      <c r="W18" s="77"/>
      <c r="X18" s="82">
        <v>153153</v>
      </c>
    </row>
    <row r="19" spans="1:27">
      <c r="A19" s="33" t="s">
        <v>353</v>
      </c>
      <c r="B19" s="33" t="s">
        <v>243</v>
      </c>
      <c r="C19" s="33" t="s">
        <v>244</v>
      </c>
      <c r="D19" s="34">
        <v>10</v>
      </c>
      <c r="E19" s="34" t="s">
        <v>2</v>
      </c>
      <c r="F19" s="34"/>
      <c r="G19" s="57"/>
      <c r="H19" s="42"/>
      <c r="I19" s="65"/>
      <c r="J19" s="41"/>
      <c r="K19" s="47"/>
      <c r="L19" s="68"/>
      <c r="M19" s="48"/>
      <c r="N19" s="71"/>
      <c r="O19" s="71"/>
      <c r="P19" s="36"/>
      <c r="Q19" s="35" t="s">
        <v>3</v>
      </c>
      <c r="R19" s="35" t="s">
        <v>3</v>
      </c>
      <c r="S19" s="77"/>
      <c r="T19" s="77"/>
      <c r="U19" s="77"/>
      <c r="V19" s="77"/>
      <c r="W19" s="77"/>
      <c r="X19" s="82">
        <v>153153</v>
      </c>
    </row>
    <row r="20" spans="1:27">
      <c r="A20" s="33" t="s">
        <v>353</v>
      </c>
      <c r="B20" s="33" t="s">
        <v>247</v>
      </c>
      <c r="C20" s="33" t="s">
        <v>248</v>
      </c>
      <c r="D20" s="34">
        <v>7</v>
      </c>
      <c r="E20" s="34" t="s">
        <v>2</v>
      </c>
      <c r="F20" s="34"/>
      <c r="G20" s="57"/>
      <c r="H20" s="42"/>
      <c r="I20" s="65"/>
      <c r="J20" s="41"/>
      <c r="K20" s="47"/>
      <c r="L20" s="68"/>
      <c r="M20" s="48"/>
      <c r="N20" s="71"/>
      <c r="O20" s="71"/>
      <c r="P20" s="36"/>
      <c r="Q20" s="35" t="s">
        <v>3</v>
      </c>
      <c r="R20" s="35" t="s">
        <v>3</v>
      </c>
      <c r="S20" s="77"/>
      <c r="T20" s="77"/>
      <c r="U20" s="77"/>
      <c r="V20" s="77"/>
      <c r="W20" s="77"/>
      <c r="X20" s="82">
        <v>153153</v>
      </c>
    </row>
    <row r="21" spans="1:27">
      <c r="A21" s="86" t="s">
        <v>353</v>
      </c>
      <c r="B21" s="86" t="s">
        <v>251</v>
      </c>
      <c r="C21" s="86" t="s">
        <v>252</v>
      </c>
      <c r="D21" s="87">
        <v>10</v>
      </c>
      <c r="E21" s="87" t="s">
        <v>2</v>
      </c>
      <c r="F21" s="34"/>
      <c r="G21" s="57"/>
      <c r="H21" s="42"/>
      <c r="I21" s="65"/>
      <c r="J21" s="41"/>
      <c r="K21" s="47"/>
      <c r="L21" s="68"/>
      <c r="M21" s="48"/>
      <c r="N21" s="71"/>
      <c r="O21" s="71"/>
      <c r="P21" s="36"/>
      <c r="Q21" s="35" t="s">
        <v>3</v>
      </c>
      <c r="R21" s="35" t="s">
        <v>3</v>
      </c>
      <c r="S21" s="77"/>
      <c r="T21" s="77"/>
      <c r="U21" s="77"/>
      <c r="V21" s="77"/>
      <c r="W21" s="77"/>
      <c r="X21" s="82">
        <v>153153</v>
      </c>
      <c r="Z21" s="183"/>
      <c r="AA21" s="200"/>
    </row>
    <row r="22" spans="1:27">
      <c r="A22" s="33" t="s">
        <v>353</v>
      </c>
      <c r="B22" s="33" t="s">
        <v>255</v>
      </c>
      <c r="C22" s="33" t="s">
        <v>256</v>
      </c>
      <c r="D22" s="34">
        <v>10</v>
      </c>
      <c r="E22" s="34" t="s">
        <v>2</v>
      </c>
      <c r="F22" s="34"/>
      <c r="G22" s="57"/>
      <c r="H22" s="42"/>
      <c r="I22" s="65"/>
      <c r="J22" s="41"/>
      <c r="K22" s="47"/>
      <c r="L22" s="68"/>
      <c r="M22" s="48"/>
      <c r="N22" s="71"/>
      <c r="O22" s="71"/>
      <c r="P22" s="36"/>
      <c r="Q22" s="35" t="s">
        <v>3</v>
      </c>
      <c r="R22" s="35" t="s">
        <v>3</v>
      </c>
      <c r="S22" s="77"/>
      <c r="T22" s="77"/>
      <c r="U22" s="77"/>
      <c r="V22" s="77"/>
      <c r="W22" s="77"/>
      <c r="X22" s="82">
        <v>153153</v>
      </c>
    </row>
    <row r="23" spans="1:27">
      <c r="A23" s="33" t="s">
        <v>353</v>
      </c>
      <c r="B23" s="33" t="s">
        <v>257</v>
      </c>
      <c r="C23" s="33" t="s">
        <v>258</v>
      </c>
      <c r="D23" s="34">
        <v>10</v>
      </c>
      <c r="E23" s="34" t="s">
        <v>2</v>
      </c>
      <c r="F23" s="34"/>
      <c r="G23" s="57"/>
      <c r="H23" s="42"/>
      <c r="I23" s="65"/>
      <c r="J23" s="41"/>
      <c r="K23" s="47"/>
      <c r="L23" s="68"/>
      <c r="M23" s="48"/>
      <c r="N23" s="71"/>
      <c r="O23" s="71"/>
      <c r="P23" s="36"/>
      <c r="Q23" s="35" t="s">
        <v>3</v>
      </c>
      <c r="R23" s="35" t="s">
        <v>3</v>
      </c>
      <c r="S23" s="77"/>
      <c r="T23" s="77"/>
      <c r="U23" s="77"/>
      <c r="V23" s="77"/>
      <c r="W23" s="77"/>
      <c r="X23" s="82">
        <v>153153</v>
      </c>
    </row>
    <row r="24" spans="1:27">
      <c r="A24" s="33" t="s">
        <v>353</v>
      </c>
      <c r="B24" s="33" t="s">
        <v>265</v>
      </c>
      <c r="C24" s="33" t="s">
        <v>266</v>
      </c>
      <c r="D24" s="34">
        <v>15</v>
      </c>
      <c r="E24" s="34" t="s">
        <v>2</v>
      </c>
      <c r="F24" s="34"/>
      <c r="G24" s="57">
        <v>3.1</v>
      </c>
      <c r="H24" s="42">
        <f>I24/D24</f>
        <v>5.6419999999999995</v>
      </c>
      <c r="I24" s="27">
        <f>Q24</f>
        <v>84.63</v>
      </c>
      <c r="J24" s="41">
        <f>(H24-G24)/H24</f>
        <v>0.4505494505494505</v>
      </c>
      <c r="K24" s="47">
        <f>L24/D24</f>
        <v>5.1773333333333333</v>
      </c>
      <c r="L24" s="28">
        <f>R24</f>
        <v>77.66</v>
      </c>
      <c r="M24" s="48">
        <f>(K24-G24)/K24</f>
        <v>0.40123615761009529</v>
      </c>
      <c r="N24" s="71">
        <f>O24/D24</f>
        <v>4.92</v>
      </c>
      <c r="O24" s="31">
        <v>73.8</v>
      </c>
      <c r="P24" s="37">
        <f>(N24-G24)/N24</f>
        <v>0.36991869918699183</v>
      </c>
      <c r="Q24" s="51">
        <v>84.63</v>
      </c>
      <c r="R24" s="51">
        <v>77.66</v>
      </c>
      <c r="S24" s="77"/>
      <c r="T24" s="77"/>
      <c r="U24" s="77">
        <v>4.92</v>
      </c>
      <c r="V24" s="77"/>
      <c r="W24" s="77"/>
      <c r="X24" s="82">
        <v>153153</v>
      </c>
    </row>
    <row r="25" spans="1:27">
      <c r="A25" s="33" t="s">
        <v>353</v>
      </c>
      <c r="B25" s="33" t="s">
        <v>269</v>
      </c>
      <c r="C25" s="33" t="s">
        <v>270</v>
      </c>
      <c r="D25" s="34">
        <v>10</v>
      </c>
      <c r="E25" s="34" t="s">
        <v>2</v>
      </c>
      <c r="F25" s="34"/>
      <c r="G25" s="57"/>
      <c r="H25" s="42"/>
      <c r="I25" s="65"/>
      <c r="J25" s="41"/>
      <c r="K25" s="47"/>
      <c r="L25" s="68"/>
      <c r="M25" s="48"/>
      <c r="N25" s="71"/>
      <c r="O25" s="71"/>
      <c r="P25" s="36"/>
      <c r="Q25" s="35" t="s">
        <v>3</v>
      </c>
      <c r="R25" s="35" t="s">
        <v>3</v>
      </c>
      <c r="S25" s="77"/>
      <c r="T25" s="77"/>
      <c r="U25" s="77"/>
      <c r="V25" s="77"/>
      <c r="W25" s="77"/>
      <c r="X25" s="82">
        <v>153153</v>
      </c>
    </row>
    <row r="26" spans="1:27">
      <c r="A26" s="33" t="s">
        <v>353</v>
      </c>
      <c r="B26" s="33" t="s">
        <v>273</v>
      </c>
      <c r="C26" s="33" t="s">
        <v>274</v>
      </c>
      <c r="D26" s="34">
        <v>8</v>
      </c>
      <c r="E26" s="34" t="s">
        <v>2</v>
      </c>
      <c r="F26" s="34"/>
      <c r="G26" s="57"/>
      <c r="H26" s="42"/>
      <c r="I26" s="65"/>
      <c r="J26" s="41"/>
      <c r="K26" s="47"/>
      <c r="L26" s="68"/>
      <c r="M26" s="48"/>
      <c r="N26" s="71"/>
      <c r="O26" s="71"/>
      <c r="P26" s="36"/>
      <c r="Q26" s="35" t="s">
        <v>3</v>
      </c>
      <c r="R26" s="35" t="s">
        <v>3</v>
      </c>
      <c r="S26" s="77"/>
      <c r="T26" s="77"/>
      <c r="U26" s="77"/>
      <c r="V26" s="77"/>
      <c r="W26" s="77"/>
      <c r="X26" s="82">
        <v>153153</v>
      </c>
    </row>
    <row r="27" spans="1:27">
      <c r="A27" s="33" t="s">
        <v>353</v>
      </c>
      <c r="B27" s="33" t="s">
        <v>279</v>
      </c>
      <c r="C27" s="33" t="s">
        <v>280</v>
      </c>
      <c r="D27" s="34">
        <v>40</v>
      </c>
      <c r="E27" s="34" t="s">
        <v>2</v>
      </c>
      <c r="F27" s="34"/>
      <c r="G27" s="57"/>
      <c r="H27" s="42"/>
      <c r="I27" s="65"/>
      <c r="J27" s="41"/>
      <c r="K27" s="47"/>
      <c r="L27" s="68"/>
      <c r="M27" s="48"/>
      <c r="N27" s="71"/>
      <c r="O27" s="71"/>
      <c r="P27" s="36"/>
      <c r="Q27" s="35" t="s">
        <v>3</v>
      </c>
      <c r="R27" s="35" t="s">
        <v>3</v>
      </c>
      <c r="S27" s="77"/>
      <c r="T27" s="77"/>
      <c r="U27" s="77"/>
      <c r="V27" s="77"/>
      <c r="W27" s="77"/>
      <c r="X27" s="82">
        <v>153153</v>
      </c>
    </row>
    <row r="28" spans="1:27">
      <c r="A28" s="33" t="s">
        <v>353</v>
      </c>
      <c r="B28" s="33" t="s">
        <v>281</v>
      </c>
      <c r="C28" s="33" t="s">
        <v>282</v>
      </c>
      <c r="D28" s="34">
        <v>10</v>
      </c>
      <c r="E28" s="34" t="s">
        <v>2</v>
      </c>
      <c r="F28" s="34"/>
      <c r="G28" s="57"/>
      <c r="H28" s="42"/>
      <c r="I28" s="65"/>
      <c r="J28" s="41"/>
      <c r="K28" s="47"/>
      <c r="L28" s="68"/>
      <c r="M28" s="48"/>
      <c r="N28" s="71"/>
      <c r="O28" s="71"/>
      <c r="P28" s="36"/>
      <c r="Q28" s="35" t="s">
        <v>3</v>
      </c>
      <c r="R28" s="35" t="s">
        <v>3</v>
      </c>
      <c r="S28" s="77"/>
      <c r="T28" s="77"/>
      <c r="U28" s="77"/>
      <c r="V28" s="77"/>
      <c r="W28" s="77"/>
      <c r="X28" s="82">
        <v>153153</v>
      </c>
    </row>
    <row r="29" spans="1:27">
      <c r="A29" s="33" t="s">
        <v>353</v>
      </c>
      <c r="B29" s="33" t="s">
        <v>289</v>
      </c>
      <c r="C29" s="33" t="s">
        <v>290</v>
      </c>
      <c r="D29" s="34">
        <v>40</v>
      </c>
      <c r="E29" s="34" t="s">
        <v>2</v>
      </c>
      <c r="F29" s="34"/>
      <c r="G29" s="57"/>
      <c r="H29" s="42"/>
      <c r="I29" s="65"/>
      <c r="J29" s="41"/>
      <c r="K29" s="47"/>
      <c r="L29" s="68"/>
      <c r="M29" s="48"/>
      <c r="N29" s="71"/>
      <c r="O29" s="71"/>
      <c r="P29" s="36"/>
      <c r="Q29" s="35" t="s">
        <v>3</v>
      </c>
      <c r="R29" s="35" t="s">
        <v>3</v>
      </c>
      <c r="S29" s="77"/>
      <c r="T29" s="77"/>
      <c r="U29" s="77"/>
      <c r="V29" s="77"/>
      <c r="W29" s="77"/>
      <c r="X29" s="82">
        <v>153153</v>
      </c>
    </row>
    <row r="30" spans="1:27">
      <c r="A30" s="33" t="s">
        <v>353</v>
      </c>
      <c r="B30" s="33" t="s">
        <v>301</v>
      </c>
      <c r="C30" s="33" t="s">
        <v>302</v>
      </c>
      <c r="D30" s="34">
        <v>35</v>
      </c>
      <c r="E30" s="34" t="s">
        <v>2</v>
      </c>
      <c r="F30" s="34"/>
      <c r="G30" s="57"/>
      <c r="H30" s="42"/>
      <c r="I30" s="65"/>
      <c r="J30" s="41"/>
      <c r="K30" s="47"/>
      <c r="L30" s="68"/>
      <c r="M30" s="48"/>
      <c r="N30" s="71"/>
      <c r="O30" s="71"/>
      <c r="P30" s="36"/>
      <c r="Q30" s="35" t="s">
        <v>3</v>
      </c>
      <c r="R30" s="35" t="s">
        <v>3</v>
      </c>
      <c r="S30" s="77"/>
      <c r="T30" s="77"/>
      <c r="U30" s="77"/>
      <c r="V30" s="77"/>
      <c r="W30" s="77"/>
      <c r="X30" s="82">
        <v>153153</v>
      </c>
      <c r="Z30" s="33"/>
      <c r="AA30" s="33"/>
    </row>
    <row r="31" spans="1:27">
      <c r="A31" s="33" t="s">
        <v>353</v>
      </c>
      <c r="B31" s="33" t="s">
        <v>303</v>
      </c>
      <c r="C31" s="33" t="s">
        <v>304</v>
      </c>
      <c r="D31" s="34">
        <v>36</v>
      </c>
      <c r="E31" s="34" t="s">
        <v>2</v>
      </c>
      <c r="F31" s="34"/>
      <c r="G31" s="57"/>
      <c r="H31" s="42"/>
      <c r="I31" s="65"/>
      <c r="J31" s="41"/>
      <c r="K31" s="47"/>
      <c r="L31" s="68"/>
      <c r="M31" s="48"/>
      <c r="N31" s="71"/>
      <c r="O31" s="71"/>
      <c r="P31" s="36"/>
      <c r="Q31" s="35" t="s">
        <v>3</v>
      </c>
      <c r="R31" s="35" t="s">
        <v>3</v>
      </c>
      <c r="S31" s="77"/>
      <c r="T31" s="77"/>
      <c r="U31" s="77"/>
      <c r="V31" s="77"/>
      <c r="W31" s="77"/>
      <c r="X31" s="82">
        <v>153153</v>
      </c>
    </row>
    <row r="32" spans="1:27">
      <c r="A32" s="33" t="s">
        <v>353</v>
      </c>
      <c r="B32" s="33" t="s">
        <v>311</v>
      </c>
      <c r="C32" s="33" t="s">
        <v>312</v>
      </c>
      <c r="D32" s="34">
        <v>20</v>
      </c>
      <c r="E32" s="34" t="s">
        <v>2</v>
      </c>
      <c r="F32" s="34"/>
      <c r="G32" s="57"/>
      <c r="H32" s="42"/>
      <c r="I32" s="65"/>
      <c r="J32" s="41"/>
      <c r="K32" s="47"/>
      <c r="L32" s="68"/>
      <c r="M32" s="48"/>
      <c r="N32" s="71"/>
      <c r="O32" s="71"/>
      <c r="P32" s="36"/>
      <c r="Q32" s="35" t="s">
        <v>3</v>
      </c>
      <c r="R32" s="35" t="s">
        <v>3</v>
      </c>
      <c r="S32" s="77"/>
      <c r="T32" s="77"/>
      <c r="U32" s="77"/>
      <c r="V32" s="77"/>
      <c r="W32" s="77"/>
      <c r="X32" s="82">
        <v>153153</v>
      </c>
    </row>
    <row r="33" spans="1:32">
      <c r="A33" s="33" t="s">
        <v>353</v>
      </c>
      <c r="B33" s="33" t="s">
        <v>317</v>
      </c>
      <c r="C33" s="33" t="s">
        <v>316</v>
      </c>
      <c r="D33" s="34">
        <v>6</v>
      </c>
      <c r="E33" s="34" t="s">
        <v>2</v>
      </c>
      <c r="F33" s="34"/>
      <c r="G33" s="57"/>
      <c r="H33" s="42"/>
      <c r="I33" s="65"/>
      <c r="J33" s="41"/>
      <c r="K33" s="47"/>
      <c r="L33" s="68"/>
      <c r="M33" s="48"/>
      <c r="N33" s="71"/>
      <c r="O33" s="71"/>
      <c r="P33" s="36"/>
      <c r="Q33" s="35" t="s">
        <v>3</v>
      </c>
      <c r="R33" s="35" t="s">
        <v>3</v>
      </c>
      <c r="S33" s="77"/>
      <c r="T33" s="77"/>
      <c r="U33" s="77"/>
      <c r="V33" s="77"/>
      <c r="W33" s="77"/>
      <c r="X33" s="82">
        <v>153153</v>
      </c>
    </row>
    <row r="34" spans="1:32">
      <c r="A34" s="33" t="s">
        <v>353</v>
      </c>
      <c r="B34" s="33" t="s">
        <v>320</v>
      </c>
      <c r="C34" s="33" t="s">
        <v>321</v>
      </c>
      <c r="D34" s="34">
        <v>10</v>
      </c>
      <c r="E34" s="34" t="s">
        <v>2</v>
      </c>
      <c r="F34" s="34"/>
      <c r="G34" s="57"/>
      <c r="H34" s="42"/>
      <c r="I34" s="65"/>
      <c r="J34" s="41"/>
      <c r="K34" s="47"/>
      <c r="L34" s="68"/>
      <c r="M34" s="48"/>
      <c r="N34" s="71"/>
      <c r="O34" s="71"/>
      <c r="P34" s="36"/>
      <c r="Q34" s="35" t="s">
        <v>3</v>
      </c>
      <c r="R34" s="35" t="s">
        <v>3</v>
      </c>
      <c r="S34" s="77"/>
      <c r="T34" s="77"/>
      <c r="U34" s="77"/>
      <c r="V34" s="77"/>
      <c r="W34" s="77"/>
      <c r="X34" s="82">
        <v>153153</v>
      </c>
    </row>
    <row r="35" spans="1:32">
      <c r="A35" s="7" t="s">
        <v>353</v>
      </c>
      <c r="B35" s="7" t="s">
        <v>324</v>
      </c>
      <c r="C35" s="7" t="s">
        <v>325</v>
      </c>
      <c r="D35" s="14">
        <v>100</v>
      </c>
      <c r="E35" s="14" t="s">
        <v>2</v>
      </c>
      <c r="F35" s="14"/>
      <c r="G35" s="58"/>
      <c r="H35" s="44"/>
      <c r="I35" s="66"/>
      <c r="J35" s="43"/>
      <c r="K35" s="49"/>
      <c r="L35" s="69"/>
      <c r="M35" s="50"/>
      <c r="N35" s="72"/>
      <c r="O35" s="72"/>
      <c r="P35" s="18"/>
      <c r="Q35" s="8" t="s">
        <v>3</v>
      </c>
      <c r="R35" s="8" t="s">
        <v>3</v>
      </c>
      <c r="S35" s="78"/>
      <c r="T35" s="78"/>
      <c r="U35" s="78"/>
      <c r="V35" s="78"/>
      <c r="W35" s="78"/>
      <c r="X35" s="84">
        <v>153153</v>
      </c>
    </row>
    <row r="36" spans="1:32">
      <c r="A36" s="33" t="s">
        <v>353</v>
      </c>
      <c r="B36" s="33" t="s">
        <v>326</v>
      </c>
      <c r="C36" s="33" t="s">
        <v>327</v>
      </c>
      <c r="D36" s="34">
        <v>50</v>
      </c>
      <c r="E36" s="34" t="s">
        <v>2</v>
      </c>
      <c r="F36" s="34"/>
      <c r="G36" s="57"/>
      <c r="H36" s="42"/>
      <c r="I36" s="65"/>
      <c r="J36" s="41"/>
      <c r="K36" s="47"/>
      <c r="L36" s="68"/>
      <c r="M36" s="48"/>
      <c r="N36" s="71"/>
      <c r="O36" s="71"/>
      <c r="P36" s="36"/>
      <c r="Q36" s="35" t="s">
        <v>3</v>
      </c>
      <c r="R36" s="35" t="s">
        <v>3</v>
      </c>
      <c r="S36" s="77"/>
      <c r="T36" s="77"/>
      <c r="U36" s="77"/>
      <c r="V36" s="77"/>
      <c r="W36" s="77"/>
      <c r="X36" s="82">
        <v>153153</v>
      </c>
    </row>
    <row r="37" spans="1:32">
      <c r="A37" s="7" t="s">
        <v>353</v>
      </c>
      <c r="B37" s="7" t="s">
        <v>328</v>
      </c>
      <c r="C37" s="7" t="s">
        <v>329</v>
      </c>
      <c r="D37" s="14">
        <v>100</v>
      </c>
      <c r="E37" s="14" t="s">
        <v>2</v>
      </c>
      <c r="F37" s="14"/>
      <c r="G37" s="58"/>
      <c r="H37" s="44"/>
      <c r="I37" s="66"/>
      <c r="J37" s="43"/>
      <c r="K37" s="49"/>
      <c r="L37" s="69"/>
      <c r="M37" s="50"/>
      <c r="N37" s="72"/>
      <c r="O37" s="72"/>
      <c r="P37" s="18"/>
      <c r="Q37" s="8" t="s">
        <v>3</v>
      </c>
      <c r="R37" s="8" t="s">
        <v>3</v>
      </c>
      <c r="S37" s="78"/>
      <c r="T37" s="78"/>
      <c r="U37" s="78"/>
      <c r="V37" s="78"/>
      <c r="W37" s="78"/>
      <c r="X37" s="84">
        <v>153153</v>
      </c>
    </row>
    <row r="39" spans="1:32">
      <c r="A39" s="33" t="s">
        <v>926</v>
      </c>
      <c r="B39" s="33" t="s">
        <v>1052</v>
      </c>
      <c r="C39" s="86" t="s">
        <v>1061</v>
      </c>
      <c r="D39" s="175">
        <v>40</v>
      </c>
      <c r="E39" s="34" t="s">
        <v>2</v>
      </c>
      <c r="F39" s="57">
        <v>2.3199999999999998</v>
      </c>
      <c r="G39" s="57">
        <f>D39*F39</f>
        <v>92.8</v>
      </c>
      <c r="H39" s="42">
        <f>F39/(1-0.4)</f>
        <v>3.8666666666666667</v>
      </c>
      <c r="I39" s="27">
        <f>D39*H39</f>
        <v>154.66666666666666</v>
      </c>
      <c r="J39" s="41">
        <f>(H39-F39)/H39</f>
        <v>0.4</v>
      </c>
      <c r="K39" s="47">
        <f>F39/(1-0.35)</f>
        <v>3.569230769230769</v>
      </c>
      <c r="L39" s="28">
        <f>D39*K39</f>
        <v>142.76923076923077</v>
      </c>
      <c r="M39" s="48">
        <f>(K39-F39)/K39</f>
        <v>0.35</v>
      </c>
      <c r="N39" s="71">
        <f>F39/(1-0.3)</f>
        <v>3.3142857142857141</v>
      </c>
      <c r="O39" s="71">
        <f>D39*N39</f>
        <v>132.57142857142856</v>
      </c>
      <c r="P39" s="37">
        <f>(N39-F39)/N39</f>
        <v>0.3</v>
      </c>
      <c r="Q39" s="165"/>
      <c r="R39" s="165"/>
      <c r="S39" s="78"/>
      <c r="T39" s="78"/>
      <c r="U39" s="78"/>
      <c r="V39" s="78"/>
      <c r="W39" s="82">
        <v>153155</v>
      </c>
      <c r="X39" s="10"/>
      <c r="Y39" s="77"/>
      <c r="Z39" s="77"/>
      <c r="AA39" s="34"/>
      <c r="AB39" s="34"/>
      <c r="AC39" s="184"/>
      <c r="AD39" s="33"/>
      <c r="AE39" s="77"/>
      <c r="AF39" s="77"/>
    </row>
    <row r="40" spans="1:32">
      <c r="A40" s="33" t="s">
        <v>926</v>
      </c>
      <c r="B40" s="33" t="s">
        <v>1087</v>
      </c>
      <c r="C40" s="86" t="s">
        <v>1088</v>
      </c>
      <c r="D40" s="175">
        <v>40</v>
      </c>
      <c r="E40" s="34" t="s">
        <v>2</v>
      </c>
      <c r="F40" s="57">
        <v>1.31</v>
      </c>
      <c r="G40" s="57">
        <f>D40*F40</f>
        <v>52.400000000000006</v>
      </c>
      <c r="H40" s="42">
        <f>F40/(1-0.4)</f>
        <v>2.1833333333333336</v>
      </c>
      <c r="I40" s="27">
        <f>D40*H40</f>
        <v>87.333333333333343</v>
      </c>
      <c r="J40" s="41">
        <f>(H40-F40)/H40</f>
        <v>0.4</v>
      </c>
      <c r="K40" s="47">
        <f>F40/(1-0.35)</f>
        <v>2.0153846153846153</v>
      </c>
      <c r="L40" s="28">
        <f>D40*K40</f>
        <v>80.615384615384613</v>
      </c>
      <c r="M40" s="48">
        <f>(K40-F40)/K40</f>
        <v>0.35</v>
      </c>
      <c r="N40" s="71">
        <f>F40/(1-0.3)</f>
        <v>1.8714285714285717</v>
      </c>
      <c r="O40" s="71">
        <f>D40*N40</f>
        <v>74.857142857142861</v>
      </c>
      <c r="P40" s="37">
        <f>(N40-F40)/N40</f>
        <v>0.30000000000000004</v>
      </c>
      <c r="Q40" s="165"/>
      <c r="R40" s="165"/>
      <c r="S40" s="78"/>
      <c r="T40" s="78"/>
      <c r="U40" s="78"/>
      <c r="V40" s="78"/>
      <c r="W40" s="82">
        <v>153155</v>
      </c>
      <c r="X40" s="10"/>
      <c r="Y40" s="77"/>
      <c r="Z40" s="77"/>
      <c r="AA40" s="34"/>
      <c r="AB40" s="34"/>
      <c r="AC40" s="184"/>
      <c r="AD40" s="33"/>
      <c r="AE40" s="77"/>
      <c r="AF40" s="77"/>
    </row>
    <row r="41" spans="1:32">
      <c r="A41" s="33" t="s">
        <v>926</v>
      </c>
      <c r="B41" s="33" t="s">
        <v>1054</v>
      </c>
      <c r="C41" s="86" t="s">
        <v>1056</v>
      </c>
      <c r="D41" s="175">
        <v>40</v>
      </c>
      <c r="E41" s="34" t="s">
        <v>2</v>
      </c>
      <c r="F41" s="57">
        <v>1.99</v>
      </c>
      <c r="G41" s="57">
        <f>D41*F41</f>
        <v>79.599999999999994</v>
      </c>
      <c r="H41" s="42">
        <f>F41/(1-0.4)</f>
        <v>3.3166666666666669</v>
      </c>
      <c r="I41" s="27">
        <f>D41*H41</f>
        <v>132.66666666666669</v>
      </c>
      <c r="J41" s="41">
        <f>(H41-F41)/H41</f>
        <v>0.4</v>
      </c>
      <c r="K41" s="47">
        <f>F41/(1-0.35)</f>
        <v>3.0615384615384613</v>
      </c>
      <c r="L41" s="28">
        <f>D41*K41</f>
        <v>122.46153846153845</v>
      </c>
      <c r="M41" s="48">
        <f>(K41-F41)/K41</f>
        <v>0.35</v>
      </c>
      <c r="N41" s="71">
        <f>F41/(1-0.3)</f>
        <v>2.842857142857143</v>
      </c>
      <c r="O41" s="71">
        <f>D41*N41</f>
        <v>113.71428571428572</v>
      </c>
      <c r="P41" s="37">
        <f>(N41-F41)/N41</f>
        <v>0.30000000000000004</v>
      </c>
      <c r="Q41" s="165"/>
      <c r="R41" s="165"/>
      <c r="S41" s="78"/>
      <c r="T41" s="78"/>
      <c r="U41" s="78"/>
      <c r="V41" s="78"/>
      <c r="W41" s="82">
        <v>153155</v>
      </c>
      <c r="X41" s="10"/>
      <c r="Y41" s="77"/>
      <c r="Z41" s="77"/>
      <c r="AA41" s="34"/>
      <c r="AB41" s="34"/>
      <c r="AC41" s="184"/>
      <c r="AD41" s="33"/>
      <c r="AE41" s="77"/>
      <c r="AF41" s="77"/>
    </row>
    <row r="43" spans="1:32">
      <c r="G43" s="60" t="s">
        <v>1427</v>
      </c>
    </row>
    <row r="44" spans="1:32" ht="15.75">
      <c r="A44" s="232" t="s">
        <v>1417</v>
      </c>
      <c r="B44" s="232" t="s">
        <v>1418</v>
      </c>
      <c r="C44" s="233" t="s">
        <v>1421</v>
      </c>
      <c r="D44" s="234">
        <v>50</v>
      </c>
      <c r="E44" s="234" t="s">
        <v>2</v>
      </c>
      <c r="F44" s="234">
        <v>60</v>
      </c>
      <c r="G44" s="235">
        <v>37.5</v>
      </c>
      <c r="H44" s="234"/>
      <c r="I44" s="234"/>
      <c r="J44" s="234"/>
      <c r="K44" s="234"/>
      <c r="L44" s="235"/>
      <c r="M44" s="234"/>
      <c r="N44" s="235">
        <v>1.1499999999999999</v>
      </c>
      <c r="O44" s="235">
        <f>D44*N44</f>
        <v>57.499999999999993</v>
      </c>
    </row>
    <row r="45" spans="1:32" ht="15.75">
      <c r="A45" s="232" t="s">
        <v>1417</v>
      </c>
      <c r="B45" s="232" t="s">
        <v>1420</v>
      </c>
      <c r="C45" s="233" t="s">
        <v>1422</v>
      </c>
      <c r="D45" s="234">
        <v>50</v>
      </c>
      <c r="E45" s="234" t="s">
        <v>2</v>
      </c>
      <c r="F45" s="234">
        <v>60</v>
      </c>
      <c r="G45" s="235">
        <v>37.5</v>
      </c>
      <c r="H45" s="234"/>
      <c r="I45" s="234"/>
      <c r="J45" s="234"/>
      <c r="K45" s="234"/>
      <c r="L45" s="235"/>
      <c r="M45" s="234"/>
      <c r="N45" s="235">
        <v>1.1499999999999999</v>
      </c>
      <c r="O45" s="235">
        <f t="shared" ref="O45:O47" si="0">D45*N45</f>
        <v>57.499999999999993</v>
      </c>
    </row>
    <row r="46" spans="1:32" ht="15.75">
      <c r="A46" s="232" t="s">
        <v>1417</v>
      </c>
      <c r="B46" s="232" t="s">
        <v>1423</v>
      </c>
      <c r="C46" s="233" t="s">
        <v>1424</v>
      </c>
      <c r="D46" s="234">
        <v>50</v>
      </c>
      <c r="E46" s="234" t="s">
        <v>2</v>
      </c>
      <c r="F46" s="234">
        <v>60</v>
      </c>
      <c r="G46" s="235">
        <v>40</v>
      </c>
      <c r="H46" s="234"/>
      <c r="I46" s="234"/>
      <c r="J46" s="234"/>
      <c r="K46" s="234"/>
      <c r="L46" s="235"/>
      <c r="M46" s="234"/>
      <c r="N46" s="235">
        <v>1.23</v>
      </c>
      <c r="O46" s="235">
        <f t="shared" si="0"/>
        <v>61.5</v>
      </c>
    </row>
    <row r="47" spans="1:32" ht="15.75">
      <c r="A47" s="232" t="s">
        <v>1417</v>
      </c>
      <c r="B47" s="232" t="s">
        <v>1425</v>
      </c>
      <c r="C47" s="233" t="s">
        <v>1426</v>
      </c>
      <c r="D47" s="234">
        <v>135</v>
      </c>
      <c r="E47" s="234" t="s">
        <v>2</v>
      </c>
      <c r="F47" s="234">
        <v>36</v>
      </c>
      <c r="G47" s="235">
        <v>49.95</v>
      </c>
      <c r="H47" s="234"/>
      <c r="I47" s="234"/>
      <c r="J47" s="234"/>
      <c r="K47" s="234"/>
      <c r="L47" s="235"/>
      <c r="M47" s="234"/>
      <c r="N47" s="235">
        <v>0.56999999999999995</v>
      </c>
      <c r="O47" s="235">
        <f t="shared" si="0"/>
        <v>76.949999999999989</v>
      </c>
    </row>
  </sheetData>
  <sortState ref="A4:AF37">
    <sortCondition ref="B4:B37"/>
  </sortState>
  <mergeCells count="3">
    <mergeCell ref="H1:J1"/>
    <mergeCell ref="K1:M1"/>
    <mergeCell ref="N1:P1"/>
  </mergeCell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138"/>
  <sheetViews>
    <sheetView zoomScale="85" zoomScaleNormal="85" zoomScalePageLayoutView="85" workbookViewId="0">
      <pane xSplit="4" ySplit="2" topLeftCell="E39" activePane="bottomRight" state="frozen"/>
      <selection pane="topRight" activeCell="D1" sqref="D1"/>
      <selection pane="bottomLeft" activeCell="A3" sqref="A3"/>
      <selection pane="bottomRight" activeCell="A59" sqref="A59:XFD59"/>
    </sheetView>
  </sheetViews>
  <sheetFormatPr defaultColWidth="8.85546875" defaultRowHeight="15"/>
  <cols>
    <col min="1" max="1" width="11.28515625" bestFit="1" customWidth="1"/>
    <col min="2" max="2" width="7.42578125" hidden="1" customWidth="1"/>
    <col min="3" max="3" width="13.42578125" bestFit="1" customWidth="1"/>
    <col min="4" max="4" width="45.7109375" bestFit="1" customWidth="1"/>
    <col min="5" max="5" width="7.42578125" style="15" bestFit="1" customWidth="1"/>
    <col min="6" max="6" width="4.7109375" style="15" bestFit="1" customWidth="1"/>
    <col min="7" max="7" width="9.140625" style="15" hidden="1" customWidth="1"/>
    <col min="8"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20.140625" style="3" hidden="1" customWidth="1"/>
    <col min="20" max="24" width="0" style="60" hidden="1" customWidth="1"/>
    <col min="25" max="25" width="10.28515625" style="60" hidden="1" customWidth="1"/>
    <col min="26" max="26" width="3.28515625" customWidth="1"/>
    <col min="27" max="27" width="10.85546875" style="60" bestFit="1" customWidth="1"/>
    <col min="28" max="28" width="10.28515625" style="60" bestFit="1" customWidth="1"/>
    <col min="29" max="29" width="10.85546875" bestFit="1" customWidth="1"/>
  </cols>
  <sheetData>
    <row r="1" spans="1:30">
      <c r="C1" s="1"/>
      <c r="D1" s="1"/>
      <c r="E1" s="11"/>
      <c r="F1" s="11"/>
      <c r="G1" s="11"/>
      <c r="H1" s="55"/>
      <c r="I1" s="542" t="s">
        <v>347</v>
      </c>
      <c r="J1" s="543"/>
      <c r="K1" s="544"/>
      <c r="L1" s="545" t="s">
        <v>348</v>
      </c>
      <c r="M1" s="546"/>
      <c r="N1" s="547"/>
      <c r="O1" s="557" t="s">
        <v>369</v>
      </c>
      <c r="P1" s="558"/>
      <c r="Q1" s="559"/>
      <c r="R1" s="2" t="s">
        <v>347</v>
      </c>
      <c r="S1" s="2" t="s">
        <v>348</v>
      </c>
    </row>
    <row r="2" spans="1:30" s="26" customFormat="1" ht="45">
      <c r="A2" s="24" t="s">
        <v>350</v>
      </c>
      <c r="B2" s="24" t="s">
        <v>368</v>
      </c>
      <c r="C2" s="24" t="s">
        <v>344</v>
      </c>
      <c r="D2" s="24" t="s">
        <v>345</v>
      </c>
      <c r="E2" s="23" t="s">
        <v>358</v>
      </c>
      <c r="F2" s="23" t="s">
        <v>346</v>
      </c>
      <c r="G2" s="23" t="s">
        <v>357</v>
      </c>
      <c r="H2" s="56" t="s">
        <v>356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373</v>
      </c>
      <c r="W2" s="76" t="s">
        <v>374</v>
      </c>
      <c r="X2" s="76" t="s">
        <v>375</v>
      </c>
      <c r="Y2" s="76" t="s">
        <v>376</v>
      </c>
      <c r="AA2" s="76" t="s">
        <v>378</v>
      </c>
      <c r="AB2" s="76" t="s">
        <v>379</v>
      </c>
    </row>
    <row r="3" spans="1:30">
      <c r="A3" s="33" t="s">
        <v>352</v>
      </c>
      <c r="B3" s="33"/>
      <c r="C3" s="33" t="s">
        <v>116</v>
      </c>
      <c r="D3" s="33" t="s">
        <v>117</v>
      </c>
      <c r="E3" s="34">
        <v>20</v>
      </c>
      <c r="F3" s="34" t="s">
        <v>2</v>
      </c>
      <c r="G3" s="34">
        <v>32</v>
      </c>
      <c r="H3" s="57">
        <v>2.68</v>
      </c>
      <c r="I3" s="42">
        <f t="shared" ref="I3:I60" si="0">H3/(1-0.45)</f>
        <v>4.872727272727273</v>
      </c>
      <c r="J3" s="27">
        <f t="shared" ref="J3:J60" si="1">E3*I3</f>
        <v>97.454545454545467</v>
      </c>
      <c r="K3" s="41">
        <f t="shared" ref="K3:K65" si="2">(I3-H3)/I3</f>
        <v>0.45</v>
      </c>
      <c r="L3" s="47">
        <f t="shared" ref="L3:L60" si="3">H3/(1-0.4)</f>
        <v>4.4666666666666668</v>
      </c>
      <c r="M3" s="28">
        <f t="shared" ref="M3:M60" si="4">E3*L3</f>
        <v>89.333333333333343</v>
      </c>
      <c r="N3" s="48">
        <f t="shared" ref="N3:N65" si="5">(L3-H3)/L3</f>
        <v>0.39999999999999997</v>
      </c>
      <c r="O3" s="71">
        <v>3.95</v>
      </c>
      <c r="P3" s="31">
        <f t="shared" ref="P3:P25" si="6">E3*O3</f>
        <v>79</v>
      </c>
      <c r="Q3" s="37">
        <f t="shared" ref="Q3:Q60" si="7">(O3-H3)/O3</f>
        <v>0.32151898734177214</v>
      </c>
      <c r="R3" s="51">
        <v>112.5</v>
      </c>
      <c r="S3" s="51">
        <v>90</v>
      </c>
      <c r="T3" s="74">
        <v>3.95</v>
      </c>
      <c r="U3" s="77"/>
      <c r="V3" s="77"/>
      <c r="W3" s="77"/>
      <c r="X3" s="77">
        <v>3.75</v>
      </c>
      <c r="Y3" s="83">
        <v>153154</v>
      </c>
      <c r="AA3" s="79"/>
      <c r="AB3" s="79"/>
      <c r="AC3" s="136"/>
      <c r="AD3" s="137"/>
    </row>
    <row r="4" spans="1:30">
      <c r="A4" s="33" t="s">
        <v>352</v>
      </c>
      <c r="B4" s="33"/>
      <c r="C4" s="33" t="s">
        <v>118</v>
      </c>
      <c r="D4" s="33" t="s">
        <v>119</v>
      </c>
      <c r="E4" s="34">
        <v>20</v>
      </c>
      <c r="F4" s="34" t="s">
        <v>2</v>
      </c>
      <c r="G4" s="34">
        <v>32</v>
      </c>
      <c r="H4" s="57">
        <v>2.68</v>
      </c>
      <c r="I4" s="42">
        <f t="shared" si="0"/>
        <v>4.872727272727273</v>
      </c>
      <c r="J4" s="27">
        <f t="shared" si="1"/>
        <v>97.454545454545467</v>
      </c>
      <c r="K4" s="41">
        <f t="shared" si="2"/>
        <v>0.45</v>
      </c>
      <c r="L4" s="47">
        <f t="shared" si="3"/>
        <v>4.4666666666666668</v>
      </c>
      <c r="M4" s="28">
        <f t="shared" si="4"/>
        <v>89.333333333333343</v>
      </c>
      <c r="N4" s="48">
        <f t="shared" si="5"/>
        <v>0.39999999999999997</v>
      </c>
      <c r="O4" s="71">
        <v>3.95</v>
      </c>
      <c r="P4" s="31">
        <f t="shared" si="6"/>
        <v>79</v>
      </c>
      <c r="Q4" s="37">
        <f t="shared" si="7"/>
        <v>0.32151898734177214</v>
      </c>
      <c r="R4" s="51">
        <v>112.5</v>
      </c>
      <c r="S4" s="51">
        <v>90</v>
      </c>
      <c r="T4" s="74">
        <v>3.95</v>
      </c>
      <c r="U4" s="77"/>
      <c r="V4" s="77"/>
      <c r="W4" s="77"/>
      <c r="X4" s="77">
        <v>3.75</v>
      </c>
      <c r="Y4" s="82">
        <v>153154</v>
      </c>
      <c r="AA4" s="77" t="s">
        <v>380</v>
      </c>
      <c r="AB4" s="77">
        <f>VLOOKUP(AA4,'CFN HPV'!A:L,12,FALSE)</f>
        <v>3.75</v>
      </c>
      <c r="AC4" s="136">
        <f>I4</f>
        <v>4.872727272727273</v>
      </c>
      <c r="AD4" s="137">
        <f t="shared" ref="AD4:AD60" si="8">AB4-AC4</f>
        <v>-1.122727272727273</v>
      </c>
    </row>
    <row r="5" spans="1:30">
      <c r="A5" s="33" t="s">
        <v>352</v>
      </c>
      <c r="B5" s="33"/>
      <c r="C5" s="33" t="s">
        <v>120</v>
      </c>
      <c r="D5" s="33" t="s">
        <v>121</v>
      </c>
      <c r="E5" s="34">
        <v>20</v>
      </c>
      <c r="F5" s="34" t="s">
        <v>2</v>
      </c>
      <c r="G5" s="34">
        <v>32</v>
      </c>
      <c r="H5" s="57">
        <v>2.68</v>
      </c>
      <c r="I5" s="42">
        <f t="shared" si="0"/>
        <v>4.872727272727273</v>
      </c>
      <c r="J5" s="27">
        <f t="shared" si="1"/>
        <v>97.454545454545467</v>
      </c>
      <c r="K5" s="41">
        <f t="shared" si="2"/>
        <v>0.45</v>
      </c>
      <c r="L5" s="47">
        <f t="shared" si="3"/>
        <v>4.4666666666666668</v>
      </c>
      <c r="M5" s="28">
        <f t="shared" si="4"/>
        <v>89.333333333333343</v>
      </c>
      <c r="N5" s="48">
        <f t="shared" si="5"/>
        <v>0.39999999999999997</v>
      </c>
      <c r="O5" s="71">
        <v>3.95</v>
      </c>
      <c r="P5" s="31">
        <f t="shared" si="6"/>
        <v>79</v>
      </c>
      <c r="Q5" s="37">
        <f t="shared" si="7"/>
        <v>0.32151898734177214</v>
      </c>
      <c r="R5" s="51">
        <v>112.5</v>
      </c>
      <c r="S5" s="51">
        <v>90</v>
      </c>
      <c r="T5" s="74">
        <v>3.95</v>
      </c>
      <c r="U5" s="77"/>
      <c r="V5" s="77"/>
      <c r="W5" s="77"/>
      <c r="X5" s="77">
        <v>3.75</v>
      </c>
      <c r="Y5" s="82">
        <v>153154</v>
      </c>
      <c r="AA5" s="77" t="s">
        <v>381</v>
      </c>
      <c r="AB5" s="77">
        <f>VLOOKUP(AA5,'CFN HPV'!A:L,12,FALSE)</f>
        <v>4</v>
      </c>
      <c r="AC5" s="136">
        <f>I5</f>
        <v>4.872727272727273</v>
      </c>
      <c r="AD5" s="137">
        <f t="shared" si="8"/>
        <v>-0.87272727272727302</v>
      </c>
    </row>
    <row r="6" spans="1:30">
      <c r="A6" s="33" t="s">
        <v>352</v>
      </c>
      <c r="B6" s="33"/>
      <c r="C6" s="33" t="s">
        <v>122</v>
      </c>
      <c r="D6" s="33" t="s">
        <v>123</v>
      </c>
      <c r="E6" s="34">
        <v>20</v>
      </c>
      <c r="F6" s="34" t="s">
        <v>2</v>
      </c>
      <c r="G6" s="34">
        <v>32</v>
      </c>
      <c r="H6" s="57">
        <v>2.68</v>
      </c>
      <c r="I6" s="42">
        <f t="shared" si="0"/>
        <v>4.872727272727273</v>
      </c>
      <c r="J6" s="27">
        <f t="shared" si="1"/>
        <v>97.454545454545467</v>
      </c>
      <c r="K6" s="41">
        <f t="shared" si="2"/>
        <v>0.45</v>
      </c>
      <c r="L6" s="47">
        <f t="shared" si="3"/>
        <v>4.4666666666666668</v>
      </c>
      <c r="M6" s="28">
        <f t="shared" si="4"/>
        <v>89.333333333333343</v>
      </c>
      <c r="N6" s="48">
        <f t="shared" si="5"/>
        <v>0.39999999999999997</v>
      </c>
      <c r="O6" s="71">
        <v>3.95</v>
      </c>
      <c r="P6" s="31">
        <f t="shared" si="6"/>
        <v>79</v>
      </c>
      <c r="Q6" s="37">
        <f t="shared" si="7"/>
        <v>0.32151898734177214</v>
      </c>
      <c r="R6" s="51">
        <v>112.5</v>
      </c>
      <c r="S6" s="51">
        <v>90</v>
      </c>
      <c r="T6" s="74">
        <v>3.95</v>
      </c>
      <c r="U6" s="77"/>
      <c r="V6" s="77"/>
      <c r="W6" s="77"/>
      <c r="X6" s="77">
        <v>3.75</v>
      </c>
      <c r="Y6" s="82">
        <v>153154</v>
      </c>
      <c r="AA6" s="77" t="s">
        <v>382</v>
      </c>
      <c r="AB6" s="77">
        <f>VLOOKUP(AA6,'CFN HPV'!A:L,12,FALSE)</f>
        <v>4.25</v>
      </c>
      <c r="AC6" s="136">
        <f>I6</f>
        <v>4.872727272727273</v>
      </c>
      <c r="AD6" s="137">
        <f t="shared" si="8"/>
        <v>-0.62272727272727302</v>
      </c>
    </row>
    <row r="7" spans="1:30">
      <c r="A7" s="33" t="s">
        <v>352</v>
      </c>
      <c r="B7" s="33"/>
      <c r="C7" s="33" t="s">
        <v>124</v>
      </c>
      <c r="D7" s="33" t="s">
        <v>366</v>
      </c>
      <c r="E7" s="34">
        <v>10</v>
      </c>
      <c r="F7" s="34" t="s">
        <v>2</v>
      </c>
      <c r="G7" s="34">
        <v>32</v>
      </c>
      <c r="H7" s="57">
        <v>5.37</v>
      </c>
      <c r="I7" s="42">
        <f t="shared" si="0"/>
        <v>9.7636363636363637</v>
      </c>
      <c r="J7" s="27">
        <f t="shared" si="1"/>
        <v>97.63636363636364</v>
      </c>
      <c r="K7" s="41">
        <f t="shared" si="2"/>
        <v>0.45</v>
      </c>
      <c r="L7" s="47">
        <f t="shared" si="3"/>
        <v>8.9500000000000011</v>
      </c>
      <c r="M7" s="28">
        <f t="shared" si="4"/>
        <v>89.500000000000014</v>
      </c>
      <c r="N7" s="48">
        <f t="shared" si="5"/>
        <v>0.40000000000000008</v>
      </c>
      <c r="O7" s="71">
        <v>7.9</v>
      </c>
      <c r="P7" s="31">
        <f t="shared" si="6"/>
        <v>79</v>
      </c>
      <c r="Q7" s="37">
        <f t="shared" si="7"/>
        <v>0.32025316455696207</v>
      </c>
      <c r="R7" s="51">
        <v>112.5</v>
      </c>
      <c r="S7" s="51">
        <v>90</v>
      </c>
      <c r="T7" s="74">
        <v>7.9</v>
      </c>
      <c r="U7" s="77"/>
      <c r="V7" s="77"/>
      <c r="W7" s="77"/>
      <c r="X7" s="77"/>
      <c r="Y7" s="82">
        <v>153154</v>
      </c>
      <c r="AA7" s="77"/>
      <c r="AB7" s="77"/>
      <c r="AC7" s="136"/>
      <c r="AD7" s="137"/>
    </row>
    <row r="8" spans="1:30">
      <c r="A8" s="33" t="s">
        <v>352</v>
      </c>
      <c r="B8" s="33"/>
      <c r="C8" s="33" t="s">
        <v>125</v>
      </c>
      <c r="D8" s="33" t="s">
        <v>126</v>
      </c>
      <c r="E8" s="34">
        <v>20</v>
      </c>
      <c r="F8" s="34" t="s">
        <v>2</v>
      </c>
      <c r="G8" s="34">
        <v>32</v>
      </c>
      <c r="H8" s="57">
        <v>3.23</v>
      </c>
      <c r="I8" s="42">
        <f t="shared" si="0"/>
        <v>5.8727272727272721</v>
      </c>
      <c r="J8" s="27">
        <f t="shared" si="1"/>
        <v>117.45454545454544</v>
      </c>
      <c r="K8" s="41">
        <f t="shared" si="2"/>
        <v>0.44999999999999996</v>
      </c>
      <c r="L8" s="47">
        <f t="shared" si="3"/>
        <v>5.3833333333333337</v>
      </c>
      <c r="M8" s="28">
        <f t="shared" si="4"/>
        <v>107.66666666666667</v>
      </c>
      <c r="N8" s="48">
        <f t="shared" si="5"/>
        <v>0.4</v>
      </c>
      <c r="O8" s="71">
        <v>4.6500000000000004</v>
      </c>
      <c r="P8" s="31">
        <f t="shared" si="6"/>
        <v>93</v>
      </c>
      <c r="Q8" s="37">
        <f t="shared" si="7"/>
        <v>0.30537634408602155</v>
      </c>
      <c r="R8" s="51">
        <v>125</v>
      </c>
      <c r="S8" s="51">
        <v>100</v>
      </c>
      <c r="T8" s="74">
        <v>4.6500000000000004</v>
      </c>
      <c r="U8" s="77"/>
      <c r="V8" s="77"/>
      <c r="W8" s="77"/>
      <c r="X8" s="77"/>
      <c r="Y8" s="82">
        <v>153154</v>
      </c>
      <c r="AA8" s="77"/>
      <c r="AB8" s="77"/>
      <c r="AC8" s="136"/>
      <c r="AD8" s="137"/>
    </row>
    <row r="9" spans="1:30">
      <c r="A9" s="33" t="s">
        <v>352</v>
      </c>
      <c r="B9" s="33"/>
      <c r="C9" s="33" t="s">
        <v>127</v>
      </c>
      <c r="D9" s="33" t="s">
        <v>128</v>
      </c>
      <c r="E9" s="34">
        <v>20</v>
      </c>
      <c r="F9" s="34" t="s">
        <v>2</v>
      </c>
      <c r="G9" s="34">
        <v>32</v>
      </c>
      <c r="H9" s="57">
        <v>3.23</v>
      </c>
      <c r="I9" s="42">
        <f t="shared" si="0"/>
        <v>5.8727272727272721</v>
      </c>
      <c r="J9" s="27">
        <f t="shared" si="1"/>
        <v>117.45454545454544</v>
      </c>
      <c r="K9" s="41">
        <f t="shared" si="2"/>
        <v>0.44999999999999996</v>
      </c>
      <c r="L9" s="47">
        <f t="shared" si="3"/>
        <v>5.3833333333333337</v>
      </c>
      <c r="M9" s="28">
        <f t="shared" si="4"/>
        <v>107.66666666666667</v>
      </c>
      <c r="N9" s="48">
        <f t="shared" si="5"/>
        <v>0.4</v>
      </c>
      <c r="O9" s="71">
        <v>4.6500000000000004</v>
      </c>
      <c r="P9" s="31">
        <f t="shared" si="6"/>
        <v>93</v>
      </c>
      <c r="Q9" s="37">
        <f t="shared" si="7"/>
        <v>0.30537634408602155</v>
      </c>
      <c r="R9" s="51">
        <v>125</v>
      </c>
      <c r="S9" s="51">
        <v>100</v>
      </c>
      <c r="T9" s="74">
        <v>4.6500000000000004</v>
      </c>
      <c r="U9" s="77"/>
      <c r="V9" s="77"/>
      <c r="W9" s="77"/>
      <c r="X9" s="77"/>
      <c r="Y9" s="82">
        <v>153154</v>
      </c>
      <c r="AA9" s="77"/>
      <c r="AB9" s="77"/>
      <c r="AC9" s="136"/>
      <c r="AD9" s="137"/>
    </row>
    <row r="10" spans="1:30">
      <c r="A10" s="33" t="s">
        <v>352</v>
      </c>
      <c r="B10" s="33"/>
      <c r="C10" s="33" t="s">
        <v>129</v>
      </c>
      <c r="D10" s="33" t="s">
        <v>130</v>
      </c>
      <c r="E10" s="34">
        <v>20</v>
      </c>
      <c r="F10" s="34" t="s">
        <v>2</v>
      </c>
      <c r="G10" s="34">
        <v>32</v>
      </c>
      <c r="H10" s="57">
        <v>3.23</v>
      </c>
      <c r="I10" s="42">
        <f t="shared" si="0"/>
        <v>5.8727272727272721</v>
      </c>
      <c r="J10" s="27">
        <f t="shared" si="1"/>
        <v>117.45454545454544</v>
      </c>
      <c r="K10" s="41">
        <f t="shared" si="2"/>
        <v>0.44999999999999996</v>
      </c>
      <c r="L10" s="47">
        <f t="shared" si="3"/>
        <v>5.3833333333333337</v>
      </c>
      <c r="M10" s="28">
        <f t="shared" si="4"/>
        <v>107.66666666666667</v>
      </c>
      <c r="N10" s="48">
        <f t="shared" si="5"/>
        <v>0.4</v>
      </c>
      <c r="O10" s="71">
        <v>4.6500000000000004</v>
      </c>
      <c r="P10" s="31">
        <f t="shared" si="6"/>
        <v>93</v>
      </c>
      <c r="Q10" s="37">
        <f t="shared" si="7"/>
        <v>0.30537634408602155</v>
      </c>
      <c r="R10" s="51">
        <v>125</v>
      </c>
      <c r="S10" s="51">
        <v>100</v>
      </c>
      <c r="T10" s="74">
        <v>4.6500000000000004</v>
      </c>
      <c r="U10" s="77"/>
      <c r="V10" s="77"/>
      <c r="W10" s="77"/>
      <c r="X10" s="77"/>
      <c r="Y10" s="82">
        <v>153154</v>
      </c>
      <c r="AA10" s="77"/>
      <c r="AB10" s="77"/>
      <c r="AC10" s="136"/>
      <c r="AD10" s="137"/>
    </row>
    <row r="11" spans="1:30">
      <c r="A11" s="33" t="s">
        <v>352</v>
      </c>
      <c r="B11" s="33"/>
      <c r="C11" s="33" t="s">
        <v>131</v>
      </c>
      <c r="D11" s="33" t="s">
        <v>132</v>
      </c>
      <c r="E11" s="34">
        <v>20</v>
      </c>
      <c r="F11" s="34" t="s">
        <v>2</v>
      </c>
      <c r="G11" s="34">
        <v>32</v>
      </c>
      <c r="H11" s="57">
        <v>3.23</v>
      </c>
      <c r="I11" s="42">
        <f t="shared" si="0"/>
        <v>5.8727272727272721</v>
      </c>
      <c r="J11" s="27">
        <f t="shared" si="1"/>
        <v>117.45454545454544</v>
      </c>
      <c r="K11" s="41">
        <f t="shared" si="2"/>
        <v>0.44999999999999996</v>
      </c>
      <c r="L11" s="47">
        <f t="shared" si="3"/>
        <v>5.3833333333333337</v>
      </c>
      <c r="M11" s="28">
        <f t="shared" si="4"/>
        <v>107.66666666666667</v>
      </c>
      <c r="N11" s="48">
        <f t="shared" si="5"/>
        <v>0.4</v>
      </c>
      <c r="O11" s="71">
        <v>4.6500000000000004</v>
      </c>
      <c r="P11" s="31">
        <f t="shared" si="6"/>
        <v>93</v>
      </c>
      <c r="Q11" s="37">
        <f t="shared" si="7"/>
        <v>0.30537634408602155</v>
      </c>
      <c r="R11" s="51">
        <v>125</v>
      </c>
      <c r="S11" s="51">
        <v>100</v>
      </c>
      <c r="T11" s="74">
        <v>4.6500000000000004</v>
      </c>
      <c r="U11" s="77"/>
      <c r="V11" s="77"/>
      <c r="W11" s="77"/>
      <c r="X11" s="77"/>
      <c r="Y11" s="82">
        <v>153154</v>
      </c>
      <c r="AA11" s="77"/>
      <c r="AB11" s="77"/>
      <c r="AC11" s="136"/>
      <c r="AD11" s="137"/>
    </row>
    <row r="12" spans="1:30" s="10" customFormat="1">
      <c r="A12" s="33" t="s">
        <v>352</v>
      </c>
      <c r="B12" s="33"/>
      <c r="C12" s="33" t="s">
        <v>133</v>
      </c>
      <c r="D12" s="33" t="s">
        <v>134</v>
      </c>
      <c r="E12" s="34">
        <v>10</v>
      </c>
      <c r="F12" s="34" t="s">
        <v>2</v>
      </c>
      <c r="G12" s="34">
        <v>32</v>
      </c>
      <c r="H12" s="57">
        <v>6.27</v>
      </c>
      <c r="I12" s="42">
        <f t="shared" si="0"/>
        <v>11.399999999999999</v>
      </c>
      <c r="J12" s="27">
        <f t="shared" si="1"/>
        <v>113.99999999999999</v>
      </c>
      <c r="K12" s="41">
        <f t="shared" si="2"/>
        <v>0.44999999999999996</v>
      </c>
      <c r="L12" s="47">
        <f t="shared" si="3"/>
        <v>10.45</v>
      </c>
      <c r="M12" s="28">
        <f t="shared" si="4"/>
        <v>104.5</v>
      </c>
      <c r="N12" s="48">
        <f t="shared" si="5"/>
        <v>0.4</v>
      </c>
      <c r="O12" s="71">
        <v>9.3000000000000007</v>
      </c>
      <c r="P12" s="31">
        <f t="shared" si="6"/>
        <v>93</v>
      </c>
      <c r="Q12" s="37">
        <f t="shared" si="7"/>
        <v>0.32580645161290334</v>
      </c>
      <c r="R12" s="51">
        <v>125</v>
      </c>
      <c r="S12" s="51">
        <v>100</v>
      </c>
      <c r="T12" s="74">
        <v>9.3000000000000007</v>
      </c>
      <c r="U12" s="77"/>
      <c r="V12" s="77"/>
      <c r="W12" s="77"/>
      <c r="X12" s="77"/>
      <c r="Y12" s="82">
        <v>153154</v>
      </c>
      <c r="AA12" s="77"/>
      <c r="AB12" s="77"/>
      <c r="AC12" s="136"/>
      <c r="AD12" s="137"/>
    </row>
    <row r="13" spans="1:30">
      <c r="A13" s="33" t="s">
        <v>352</v>
      </c>
      <c r="B13" s="33"/>
      <c r="C13" s="33" t="s">
        <v>100</v>
      </c>
      <c r="D13" s="33" t="s">
        <v>101</v>
      </c>
      <c r="E13" s="34">
        <v>20</v>
      </c>
      <c r="F13" s="34" t="s">
        <v>2</v>
      </c>
      <c r="G13" s="34">
        <v>32</v>
      </c>
      <c r="H13" s="57">
        <v>2.68</v>
      </c>
      <c r="I13" s="42">
        <f t="shared" si="0"/>
        <v>4.872727272727273</v>
      </c>
      <c r="J13" s="27">
        <f t="shared" si="1"/>
        <v>97.454545454545467</v>
      </c>
      <c r="K13" s="41">
        <f t="shared" si="2"/>
        <v>0.45</v>
      </c>
      <c r="L13" s="47">
        <f t="shared" si="3"/>
        <v>4.4666666666666668</v>
      </c>
      <c r="M13" s="28">
        <f t="shared" si="4"/>
        <v>89.333333333333343</v>
      </c>
      <c r="N13" s="48">
        <f t="shared" si="5"/>
        <v>0.39999999999999997</v>
      </c>
      <c r="O13" s="71">
        <v>3.95</v>
      </c>
      <c r="P13" s="31">
        <f t="shared" si="6"/>
        <v>79</v>
      </c>
      <c r="Q13" s="37">
        <f t="shared" si="7"/>
        <v>0.32151898734177214</v>
      </c>
      <c r="R13" s="51">
        <v>112.5</v>
      </c>
      <c r="S13" s="51">
        <v>90</v>
      </c>
      <c r="T13" s="74">
        <v>3.95</v>
      </c>
      <c r="U13" s="77"/>
      <c r="V13" s="77"/>
      <c r="W13" s="77"/>
      <c r="X13" s="77">
        <v>3.95</v>
      </c>
      <c r="Y13" s="82">
        <v>153154</v>
      </c>
      <c r="AA13" s="77" t="s">
        <v>383</v>
      </c>
      <c r="AB13" s="77">
        <f>VLOOKUP(AA13,'CFN HPV'!A:L,12,FALSE)</f>
        <v>4.5199999999999996</v>
      </c>
      <c r="AC13" s="136">
        <f>I13</f>
        <v>4.872727272727273</v>
      </c>
      <c r="AD13" s="137">
        <f t="shared" si="8"/>
        <v>-0.35272727272727344</v>
      </c>
    </row>
    <row r="14" spans="1:30">
      <c r="A14" s="33" t="s">
        <v>352</v>
      </c>
      <c r="B14" s="33"/>
      <c r="C14" s="33" t="s">
        <v>102</v>
      </c>
      <c r="D14" s="33" t="s">
        <v>103</v>
      </c>
      <c r="E14" s="34">
        <v>20</v>
      </c>
      <c r="F14" s="34" t="s">
        <v>2</v>
      </c>
      <c r="G14" s="34">
        <v>32</v>
      </c>
      <c r="H14" s="57">
        <v>2.68</v>
      </c>
      <c r="I14" s="42">
        <f t="shared" si="0"/>
        <v>4.872727272727273</v>
      </c>
      <c r="J14" s="27">
        <f t="shared" si="1"/>
        <v>97.454545454545467</v>
      </c>
      <c r="K14" s="41">
        <f t="shared" si="2"/>
        <v>0.45</v>
      </c>
      <c r="L14" s="47">
        <f t="shared" si="3"/>
        <v>4.4666666666666668</v>
      </c>
      <c r="M14" s="28">
        <f t="shared" si="4"/>
        <v>89.333333333333343</v>
      </c>
      <c r="N14" s="48">
        <f t="shared" si="5"/>
        <v>0.39999999999999997</v>
      </c>
      <c r="O14" s="71">
        <v>3.95</v>
      </c>
      <c r="P14" s="31">
        <f t="shared" si="6"/>
        <v>79</v>
      </c>
      <c r="Q14" s="37">
        <f t="shared" si="7"/>
        <v>0.32151898734177214</v>
      </c>
      <c r="R14" s="51">
        <v>112.5</v>
      </c>
      <c r="S14" s="51">
        <v>90</v>
      </c>
      <c r="T14" s="74">
        <v>3.95</v>
      </c>
      <c r="U14" s="77"/>
      <c r="V14" s="77"/>
      <c r="W14" s="77"/>
      <c r="X14" s="77">
        <v>3.95</v>
      </c>
      <c r="Y14" s="82">
        <v>153154</v>
      </c>
      <c r="AA14" s="77" t="s">
        <v>384</v>
      </c>
      <c r="AB14" s="77">
        <f>VLOOKUP(AA14,'CFN HPV'!A:L,12,FALSE)</f>
        <v>4.75</v>
      </c>
      <c r="AC14" s="136">
        <f>I14</f>
        <v>4.872727272727273</v>
      </c>
      <c r="AD14" s="137">
        <f t="shared" si="8"/>
        <v>-0.12272727272727302</v>
      </c>
    </row>
    <row r="15" spans="1:30">
      <c r="A15" s="33" t="s">
        <v>352</v>
      </c>
      <c r="B15" s="33"/>
      <c r="C15" s="33" t="s">
        <v>104</v>
      </c>
      <c r="D15" s="33" t="s">
        <v>105</v>
      </c>
      <c r="E15" s="34">
        <v>20</v>
      </c>
      <c r="F15" s="34" t="s">
        <v>2</v>
      </c>
      <c r="G15" s="34">
        <v>32</v>
      </c>
      <c r="H15" s="57">
        <v>2.68</v>
      </c>
      <c r="I15" s="42">
        <f t="shared" si="0"/>
        <v>4.872727272727273</v>
      </c>
      <c r="J15" s="27">
        <f t="shared" si="1"/>
        <v>97.454545454545467</v>
      </c>
      <c r="K15" s="41">
        <f t="shared" si="2"/>
        <v>0.45</v>
      </c>
      <c r="L15" s="47">
        <f t="shared" si="3"/>
        <v>4.4666666666666668</v>
      </c>
      <c r="M15" s="28">
        <f t="shared" si="4"/>
        <v>89.333333333333343</v>
      </c>
      <c r="N15" s="48">
        <f t="shared" si="5"/>
        <v>0.39999999999999997</v>
      </c>
      <c r="O15" s="71">
        <v>3.95</v>
      </c>
      <c r="P15" s="31">
        <f t="shared" si="6"/>
        <v>79</v>
      </c>
      <c r="Q15" s="37">
        <f t="shared" si="7"/>
        <v>0.32151898734177214</v>
      </c>
      <c r="R15" s="51">
        <v>112.5</v>
      </c>
      <c r="S15" s="51">
        <v>90</v>
      </c>
      <c r="T15" s="74">
        <v>3.95</v>
      </c>
      <c r="U15" s="77"/>
      <c r="V15" s="77"/>
      <c r="W15" s="77"/>
      <c r="X15" s="77">
        <v>3.95</v>
      </c>
      <c r="Y15" s="82">
        <v>153154</v>
      </c>
      <c r="AA15" s="77" t="s">
        <v>385</v>
      </c>
      <c r="AB15" s="77">
        <f>VLOOKUP(AA15,'CFN HPV'!A:L,12,FALSE)</f>
        <v>5</v>
      </c>
      <c r="AC15" s="136">
        <f>I15</f>
        <v>4.872727272727273</v>
      </c>
      <c r="AD15" s="137">
        <f t="shared" si="8"/>
        <v>0.12727272727272698</v>
      </c>
    </row>
    <row r="16" spans="1:30">
      <c r="A16" s="33" t="s">
        <v>352</v>
      </c>
      <c r="B16" s="33"/>
      <c r="C16" s="33" t="s">
        <v>106</v>
      </c>
      <c r="D16" s="33" t="s">
        <v>107</v>
      </c>
      <c r="E16" s="34">
        <v>20</v>
      </c>
      <c r="F16" s="34" t="s">
        <v>2</v>
      </c>
      <c r="G16" s="34">
        <v>32</v>
      </c>
      <c r="H16" s="57">
        <v>2.68</v>
      </c>
      <c r="I16" s="42">
        <f t="shared" si="0"/>
        <v>4.872727272727273</v>
      </c>
      <c r="J16" s="27">
        <f t="shared" si="1"/>
        <v>97.454545454545467</v>
      </c>
      <c r="K16" s="41">
        <f t="shared" si="2"/>
        <v>0.45</v>
      </c>
      <c r="L16" s="47">
        <f t="shared" si="3"/>
        <v>4.4666666666666668</v>
      </c>
      <c r="M16" s="28">
        <f t="shared" si="4"/>
        <v>89.333333333333343</v>
      </c>
      <c r="N16" s="48">
        <f t="shared" si="5"/>
        <v>0.39999999999999997</v>
      </c>
      <c r="O16" s="71">
        <v>3.95</v>
      </c>
      <c r="P16" s="31">
        <f t="shared" si="6"/>
        <v>79</v>
      </c>
      <c r="Q16" s="37">
        <f t="shared" si="7"/>
        <v>0.32151898734177214</v>
      </c>
      <c r="R16" s="51">
        <v>112.5</v>
      </c>
      <c r="S16" s="51">
        <v>90</v>
      </c>
      <c r="T16" s="74">
        <v>3.95</v>
      </c>
      <c r="U16" s="77"/>
      <c r="V16" s="77"/>
      <c r="W16" s="77"/>
      <c r="X16" s="77">
        <v>3.95</v>
      </c>
      <c r="Y16" s="82">
        <v>153154</v>
      </c>
      <c r="AA16" s="77" t="s">
        <v>386</v>
      </c>
      <c r="AB16" s="77">
        <f>VLOOKUP(AA16,'CFN HPV'!A:L,12,FALSE)</f>
        <v>6.1</v>
      </c>
      <c r="AC16" s="136">
        <f>I16</f>
        <v>4.872727272727273</v>
      </c>
      <c r="AD16" s="137">
        <f t="shared" si="8"/>
        <v>1.2272727272727266</v>
      </c>
    </row>
    <row r="17" spans="1:30">
      <c r="A17" s="33" t="s">
        <v>352</v>
      </c>
      <c r="B17" s="33"/>
      <c r="C17" s="33" t="s">
        <v>108</v>
      </c>
      <c r="D17" s="33" t="s">
        <v>109</v>
      </c>
      <c r="E17" s="34">
        <v>20</v>
      </c>
      <c r="F17" s="34" t="s">
        <v>2</v>
      </c>
      <c r="G17" s="34">
        <v>32</v>
      </c>
      <c r="H17" s="57">
        <v>3.23</v>
      </c>
      <c r="I17" s="42">
        <f t="shared" si="0"/>
        <v>5.8727272727272721</v>
      </c>
      <c r="J17" s="27">
        <f t="shared" si="1"/>
        <v>117.45454545454544</v>
      </c>
      <c r="K17" s="41">
        <f t="shared" si="2"/>
        <v>0.44999999999999996</v>
      </c>
      <c r="L17" s="47">
        <f t="shared" si="3"/>
        <v>5.3833333333333337</v>
      </c>
      <c r="M17" s="28">
        <f t="shared" si="4"/>
        <v>107.66666666666667</v>
      </c>
      <c r="N17" s="48">
        <f t="shared" si="5"/>
        <v>0.4</v>
      </c>
      <c r="O17" s="71">
        <v>4.6500000000000004</v>
      </c>
      <c r="P17" s="31">
        <f t="shared" si="6"/>
        <v>93</v>
      </c>
      <c r="Q17" s="37">
        <f t="shared" si="7"/>
        <v>0.30537634408602155</v>
      </c>
      <c r="R17" s="51">
        <v>125</v>
      </c>
      <c r="S17" s="51">
        <v>100</v>
      </c>
      <c r="T17" s="74">
        <v>4.6500000000000004</v>
      </c>
      <c r="U17" s="77"/>
      <c r="V17" s="77"/>
      <c r="W17" s="77"/>
      <c r="X17" s="77"/>
      <c r="Y17" s="82">
        <v>153154</v>
      </c>
      <c r="AA17" s="77"/>
      <c r="AB17" s="77"/>
      <c r="AC17" s="136"/>
      <c r="AD17" s="137"/>
    </row>
    <row r="18" spans="1:30">
      <c r="A18" s="33" t="s">
        <v>352</v>
      </c>
      <c r="B18" s="33"/>
      <c r="C18" s="33" t="s">
        <v>110</v>
      </c>
      <c r="D18" s="33" t="s">
        <v>111</v>
      </c>
      <c r="E18" s="34">
        <v>20</v>
      </c>
      <c r="F18" s="34" t="s">
        <v>2</v>
      </c>
      <c r="G18" s="34">
        <v>32</v>
      </c>
      <c r="H18" s="57">
        <v>3.23</v>
      </c>
      <c r="I18" s="42">
        <f t="shared" si="0"/>
        <v>5.8727272727272721</v>
      </c>
      <c r="J18" s="27">
        <f t="shared" si="1"/>
        <v>117.45454545454544</v>
      </c>
      <c r="K18" s="41">
        <f t="shared" si="2"/>
        <v>0.44999999999999996</v>
      </c>
      <c r="L18" s="47">
        <f t="shared" si="3"/>
        <v>5.3833333333333337</v>
      </c>
      <c r="M18" s="28">
        <f t="shared" si="4"/>
        <v>107.66666666666667</v>
      </c>
      <c r="N18" s="48">
        <f t="shared" si="5"/>
        <v>0.4</v>
      </c>
      <c r="O18" s="71">
        <v>4.6500000000000004</v>
      </c>
      <c r="P18" s="31">
        <f t="shared" si="6"/>
        <v>93</v>
      </c>
      <c r="Q18" s="37">
        <f t="shared" si="7"/>
        <v>0.30537634408602155</v>
      </c>
      <c r="R18" s="51">
        <v>125</v>
      </c>
      <c r="S18" s="51">
        <v>100</v>
      </c>
      <c r="T18" s="74">
        <v>4.6500000000000004</v>
      </c>
      <c r="U18" s="77"/>
      <c r="V18" s="77"/>
      <c r="W18" s="77"/>
      <c r="X18" s="77"/>
      <c r="Y18" s="82">
        <v>153154</v>
      </c>
      <c r="AA18" s="77" t="s">
        <v>387</v>
      </c>
      <c r="AB18" s="77">
        <f>VLOOKUP(AA18,'CFN HPV'!A:L,12,FALSE)</f>
        <v>6.5</v>
      </c>
      <c r="AC18" s="136">
        <f>I18</f>
        <v>5.8727272727272721</v>
      </c>
      <c r="AD18" s="137">
        <f t="shared" si="8"/>
        <v>0.62727272727272787</v>
      </c>
    </row>
    <row r="19" spans="1:30">
      <c r="A19" s="33" t="s">
        <v>352</v>
      </c>
      <c r="B19" s="33"/>
      <c r="C19" s="33" t="s">
        <v>112</v>
      </c>
      <c r="D19" s="33" t="s">
        <v>113</v>
      </c>
      <c r="E19" s="34">
        <v>20</v>
      </c>
      <c r="F19" s="34" t="s">
        <v>2</v>
      </c>
      <c r="G19" s="34">
        <v>32</v>
      </c>
      <c r="H19" s="57">
        <v>3.23</v>
      </c>
      <c r="I19" s="42">
        <f t="shared" si="0"/>
        <v>5.8727272727272721</v>
      </c>
      <c r="J19" s="27">
        <f t="shared" si="1"/>
        <v>117.45454545454544</v>
      </c>
      <c r="K19" s="41">
        <f t="shared" si="2"/>
        <v>0.44999999999999996</v>
      </c>
      <c r="L19" s="47">
        <f t="shared" si="3"/>
        <v>5.3833333333333337</v>
      </c>
      <c r="M19" s="28">
        <f t="shared" si="4"/>
        <v>107.66666666666667</v>
      </c>
      <c r="N19" s="48">
        <f t="shared" si="5"/>
        <v>0.4</v>
      </c>
      <c r="O19" s="71">
        <v>4.6500000000000004</v>
      </c>
      <c r="P19" s="31">
        <f t="shared" si="6"/>
        <v>93</v>
      </c>
      <c r="Q19" s="37">
        <f t="shared" si="7"/>
        <v>0.30537634408602155</v>
      </c>
      <c r="R19" s="51">
        <v>125</v>
      </c>
      <c r="S19" s="51">
        <v>100</v>
      </c>
      <c r="T19" s="74">
        <v>4.6500000000000004</v>
      </c>
      <c r="U19" s="77"/>
      <c r="V19" s="77"/>
      <c r="W19" s="77"/>
      <c r="X19" s="77"/>
      <c r="Y19" s="82">
        <v>153154</v>
      </c>
      <c r="AA19" s="77" t="s">
        <v>388</v>
      </c>
      <c r="AB19" s="77">
        <f>VLOOKUP(AA19,'CFN HPV'!A:L,12,FALSE)</f>
        <v>6.8</v>
      </c>
      <c r="AC19" s="136">
        <f>I19</f>
        <v>5.8727272727272721</v>
      </c>
      <c r="AD19" s="137">
        <f t="shared" si="8"/>
        <v>0.92727272727272769</v>
      </c>
    </row>
    <row r="20" spans="1:30">
      <c r="A20" s="33" t="s">
        <v>352</v>
      </c>
      <c r="B20" s="33"/>
      <c r="C20" s="33" t="s">
        <v>114</v>
      </c>
      <c r="D20" s="33" t="s">
        <v>115</v>
      </c>
      <c r="E20" s="34">
        <v>20</v>
      </c>
      <c r="F20" s="34" t="s">
        <v>2</v>
      </c>
      <c r="G20" s="34">
        <v>32</v>
      </c>
      <c r="H20" s="57">
        <v>3.23</v>
      </c>
      <c r="I20" s="42">
        <f t="shared" si="0"/>
        <v>5.8727272727272721</v>
      </c>
      <c r="J20" s="27">
        <f t="shared" si="1"/>
        <v>117.45454545454544</v>
      </c>
      <c r="K20" s="41">
        <f t="shared" si="2"/>
        <v>0.44999999999999996</v>
      </c>
      <c r="L20" s="47">
        <f t="shared" si="3"/>
        <v>5.3833333333333337</v>
      </c>
      <c r="M20" s="28">
        <f t="shared" si="4"/>
        <v>107.66666666666667</v>
      </c>
      <c r="N20" s="48">
        <f t="shared" si="5"/>
        <v>0.4</v>
      </c>
      <c r="O20" s="71">
        <v>4.6500000000000004</v>
      </c>
      <c r="P20" s="31">
        <f t="shared" si="6"/>
        <v>93</v>
      </c>
      <c r="Q20" s="37">
        <f t="shared" si="7"/>
        <v>0.30537634408602155</v>
      </c>
      <c r="R20" s="51">
        <v>125</v>
      </c>
      <c r="S20" s="51">
        <v>100</v>
      </c>
      <c r="T20" s="74">
        <v>4.6500000000000004</v>
      </c>
      <c r="U20" s="77"/>
      <c r="V20" s="77"/>
      <c r="W20" s="77"/>
      <c r="X20" s="77"/>
      <c r="Y20" s="82">
        <v>153154</v>
      </c>
      <c r="AA20" s="77" t="s">
        <v>389</v>
      </c>
      <c r="AB20" s="77">
        <f>VLOOKUP(AA20,'CFN HPV'!A:L,12,FALSE)</f>
        <v>7.5</v>
      </c>
      <c r="AC20" s="136">
        <f>I20</f>
        <v>5.8727272727272721</v>
      </c>
      <c r="AD20" s="137">
        <f t="shared" si="8"/>
        <v>1.6272727272727279</v>
      </c>
    </row>
    <row r="21" spans="1:30">
      <c r="A21" s="33" t="s">
        <v>352</v>
      </c>
      <c r="B21" s="33"/>
      <c r="C21" s="33" t="s">
        <v>137</v>
      </c>
      <c r="D21" s="33" t="s">
        <v>138</v>
      </c>
      <c r="E21" s="34">
        <v>20</v>
      </c>
      <c r="F21" s="34" t="s">
        <v>2</v>
      </c>
      <c r="G21" s="34">
        <v>32</v>
      </c>
      <c r="H21" s="57">
        <v>4.58</v>
      </c>
      <c r="I21" s="42">
        <f t="shared" si="0"/>
        <v>8.3272727272727263</v>
      </c>
      <c r="J21" s="27">
        <f t="shared" si="1"/>
        <v>166.54545454545453</v>
      </c>
      <c r="K21" s="41">
        <f t="shared" si="2"/>
        <v>0.4499999999999999</v>
      </c>
      <c r="L21" s="47">
        <f t="shared" si="3"/>
        <v>7.6333333333333337</v>
      </c>
      <c r="M21" s="28">
        <f t="shared" si="4"/>
        <v>152.66666666666669</v>
      </c>
      <c r="N21" s="48">
        <f t="shared" si="5"/>
        <v>0.4</v>
      </c>
      <c r="O21" s="71">
        <v>6.75</v>
      </c>
      <c r="P21" s="31">
        <f t="shared" si="6"/>
        <v>135</v>
      </c>
      <c r="Q21" s="37">
        <f t="shared" si="7"/>
        <v>0.32148148148148148</v>
      </c>
      <c r="R21" s="51">
        <v>195</v>
      </c>
      <c r="S21" s="51">
        <v>156</v>
      </c>
      <c r="T21" s="74">
        <v>6.75</v>
      </c>
      <c r="U21" s="77"/>
      <c r="V21" s="77"/>
      <c r="W21" s="77"/>
      <c r="X21" s="77">
        <v>6.5</v>
      </c>
      <c r="Y21" s="82">
        <v>153154</v>
      </c>
      <c r="AA21" s="77"/>
      <c r="AB21" s="77"/>
      <c r="AC21" s="136"/>
      <c r="AD21" s="137"/>
    </row>
    <row r="22" spans="1:30">
      <c r="A22" s="33" t="s">
        <v>352</v>
      </c>
      <c r="B22" s="33"/>
      <c r="C22" s="33" t="s">
        <v>139</v>
      </c>
      <c r="D22" s="33" t="s">
        <v>140</v>
      </c>
      <c r="E22" s="34">
        <v>20</v>
      </c>
      <c r="F22" s="34" t="s">
        <v>2</v>
      </c>
      <c r="G22" s="34">
        <v>32</v>
      </c>
      <c r="H22" s="57">
        <v>4.58</v>
      </c>
      <c r="I22" s="42">
        <f t="shared" si="0"/>
        <v>8.3272727272727263</v>
      </c>
      <c r="J22" s="27">
        <f t="shared" si="1"/>
        <v>166.54545454545453</v>
      </c>
      <c r="K22" s="41">
        <f t="shared" si="2"/>
        <v>0.4499999999999999</v>
      </c>
      <c r="L22" s="47">
        <f t="shared" si="3"/>
        <v>7.6333333333333337</v>
      </c>
      <c r="M22" s="28">
        <f t="shared" si="4"/>
        <v>152.66666666666669</v>
      </c>
      <c r="N22" s="48">
        <f t="shared" si="5"/>
        <v>0.4</v>
      </c>
      <c r="O22" s="71">
        <v>6.75</v>
      </c>
      <c r="P22" s="31">
        <f t="shared" si="6"/>
        <v>135</v>
      </c>
      <c r="Q22" s="37">
        <f t="shared" si="7"/>
        <v>0.32148148148148148</v>
      </c>
      <c r="R22" s="51">
        <v>195</v>
      </c>
      <c r="S22" s="51">
        <v>156</v>
      </c>
      <c r="T22" s="74">
        <v>6.75</v>
      </c>
      <c r="U22" s="77"/>
      <c r="V22" s="77"/>
      <c r="W22" s="77"/>
      <c r="X22" s="77">
        <v>6.5</v>
      </c>
      <c r="Y22" s="82">
        <v>153154</v>
      </c>
      <c r="AA22" s="77" t="s">
        <v>390</v>
      </c>
      <c r="AB22" s="77">
        <f>VLOOKUP(AA22,'CFN HPV'!A:L,12,FALSE)</f>
        <v>8</v>
      </c>
      <c r="AC22" s="136">
        <f>I22</f>
        <v>8.3272727272727263</v>
      </c>
      <c r="AD22" s="137">
        <f t="shared" si="8"/>
        <v>-0.32727272727272627</v>
      </c>
    </row>
    <row r="23" spans="1:30">
      <c r="A23" s="33" t="s">
        <v>352</v>
      </c>
      <c r="B23" s="33"/>
      <c r="C23" s="33" t="s">
        <v>141</v>
      </c>
      <c r="D23" s="33" t="s">
        <v>142</v>
      </c>
      <c r="E23" s="34">
        <v>20</v>
      </c>
      <c r="F23" s="34" t="s">
        <v>2</v>
      </c>
      <c r="G23" s="34">
        <v>32</v>
      </c>
      <c r="H23" s="57">
        <v>4.58</v>
      </c>
      <c r="I23" s="42">
        <f t="shared" si="0"/>
        <v>8.3272727272727263</v>
      </c>
      <c r="J23" s="27">
        <f t="shared" si="1"/>
        <v>166.54545454545453</v>
      </c>
      <c r="K23" s="41">
        <f t="shared" si="2"/>
        <v>0.4499999999999999</v>
      </c>
      <c r="L23" s="47">
        <f t="shared" si="3"/>
        <v>7.6333333333333337</v>
      </c>
      <c r="M23" s="28">
        <f t="shared" si="4"/>
        <v>152.66666666666669</v>
      </c>
      <c r="N23" s="48">
        <f t="shared" si="5"/>
        <v>0.4</v>
      </c>
      <c r="O23" s="71">
        <v>6.75</v>
      </c>
      <c r="P23" s="31">
        <f t="shared" si="6"/>
        <v>135</v>
      </c>
      <c r="Q23" s="37">
        <f t="shared" si="7"/>
        <v>0.32148148148148148</v>
      </c>
      <c r="R23" s="51">
        <v>195</v>
      </c>
      <c r="S23" s="51">
        <v>156</v>
      </c>
      <c r="T23" s="74">
        <v>6.75</v>
      </c>
      <c r="U23" s="77"/>
      <c r="V23" s="77"/>
      <c r="W23" s="77"/>
      <c r="X23" s="77">
        <v>6.5</v>
      </c>
      <c r="Y23" s="82">
        <v>153154</v>
      </c>
      <c r="AA23" s="77" t="s">
        <v>391</v>
      </c>
      <c r="AB23" s="77">
        <f>VLOOKUP(AA23,'CFN HPV'!A:L,12,FALSE)</f>
        <v>8.75</v>
      </c>
      <c r="AC23" s="136">
        <f>I23</f>
        <v>8.3272727272727263</v>
      </c>
      <c r="AD23" s="137">
        <f t="shared" si="8"/>
        <v>0.42272727272727373</v>
      </c>
    </row>
    <row r="24" spans="1:30">
      <c r="A24" s="33" t="s">
        <v>352</v>
      </c>
      <c r="B24" s="33"/>
      <c r="C24" s="33" t="s">
        <v>143</v>
      </c>
      <c r="D24" s="33" t="s">
        <v>144</v>
      </c>
      <c r="E24" s="34">
        <v>20</v>
      </c>
      <c r="F24" s="34" t="s">
        <v>2</v>
      </c>
      <c r="G24" s="34">
        <v>32</v>
      </c>
      <c r="H24" s="57">
        <v>4.58</v>
      </c>
      <c r="I24" s="42">
        <f t="shared" si="0"/>
        <v>8.3272727272727263</v>
      </c>
      <c r="J24" s="27">
        <f t="shared" si="1"/>
        <v>166.54545454545453</v>
      </c>
      <c r="K24" s="41">
        <f t="shared" si="2"/>
        <v>0.4499999999999999</v>
      </c>
      <c r="L24" s="47">
        <f t="shared" si="3"/>
        <v>7.6333333333333337</v>
      </c>
      <c r="M24" s="28">
        <f t="shared" si="4"/>
        <v>152.66666666666669</v>
      </c>
      <c r="N24" s="48">
        <f t="shared" si="5"/>
        <v>0.4</v>
      </c>
      <c r="O24" s="71">
        <v>6.75</v>
      </c>
      <c r="P24" s="31">
        <f t="shared" si="6"/>
        <v>135</v>
      </c>
      <c r="Q24" s="37">
        <f t="shared" si="7"/>
        <v>0.32148148148148148</v>
      </c>
      <c r="R24" s="51">
        <v>195</v>
      </c>
      <c r="S24" s="51">
        <v>156</v>
      </c>
      <c r="T24" s="74">
        <v>6.75</v>
      </c>
      <c r="U24" s="77"/>
      <c r="V24" s="77"/>
      <c r="W24" s="77"/>
      <c r="X24" s="77">
        <v>6.5</v>
      </c>
      <c r="Y24" s="82">
        <v>153154</v>
      </c>
      <c r="AA24" s="77" t="s">
        <v>393</v>
      </c>
      <c r="AB24" s="77">
        <f>VLOOKUP(AA24,'CFN HPV'!A:L,12,FALSE)</f>
        <v>10.25</v>
      </c>
      <c r="AC24" s="136">
        <f>I24</f>
        <v>8.3272727272727263</v>
      </c>
      <c r="AD24" s="137">
        <f t="shared" si="8"/>
        <v>1.9227272727272737</v>
      </c>
    </row>
    <row r="25" spans="1:30" s="10" customFormat="1">
      <c r="A25" s="33" t="s">
        <v>352</v>
      </c>
      <c r="B25" s="33"/>
      <c r="C25" s="33" t="s">
        <v>135</v>
      </c>
      <c r="D25" s="33" t="s">
        <v>136</v>
      </c>
      <c r="E25" s="34">
        <v>30</v>
      </c>
      <c r="F25" s="34" t="s">
        <v>2</v>
      </c>
      <c r="G25" s="34">
        <v>32</v>
      </c>
      <c r="H25" s="57">
        <v>1.0900000000000001</v>
      </c>
      <c r="I25" s="42">
        <f t="shared" si="0"/>
        <v>1.9818181818181817</v>
      </c>
      <c r="J25" s="27">
        <f t="shared" si="1"/>
        <v>59.454545454545453</v>
      </c>
      <c r="K25" s="41">
        <f t="shared" si="2"/>
        <v>0.4499999999999999</v>
      </c>
      <c r="L25" s="47">
        <f t="shared" si="3"/>
        <v>1.8166666666666669</v>
      </c>
      <c r="M25" s="28">
        <f t="shared" si="4"/>
        <v>54.500000000000007</v>
      </c>
      <c r="N25" s="48">
        <f t="shared" si="5"/>
        <v>0.4</v>
      </c>
      <c r="O25" s="71">
        <v>1.6</v>
      </c>
      <c r="P25" s="31">
        <f t="shared" si="6"/>
        <v>48</v>
      </c>
      <c r="Q25" s="37">
        <f t="shared" si="7"/>
        <v>0.31874999999999998</v>
      </c>
      <c r="R25" s="52">
        <v>73.5</v>
      </c>
      <c r="S25" s="52">
        <v>58.8</v>
      </c>
      <c r="T25" s="75">
        <v>1.6</v>
      </c>
      <c r="U25" s="78"/>
      <c r="V25" s="78"/>
      <c r="W25" s="78"/>
      <c r="X25" s="78"/>
      <c r="Y25" s="84">
        <v>153154</v>
      </c>
      <c r="AA25" s="7"/>
      <c r="AB25" s="7"/>
      <c r="AC25" s="136"/>
      <c r="AD25" s="137"/>
    </row>
    <row r="26" spans="1:30" s="10" customFormat="1">
      <c r="A26" s="4" t="s">
        <v>367</v>
      </c>
      <c r="B26" s="4"/>
      <c r="C26" s="4" t="s">
        <v>52</v>
      </c>
      <c r="D26" s="4" t="s">
        <v>53</v>
      </c>
      <c r="E26" s="12">
        <v>120</v>
      </c>
      <c r="F26" s="12" t="s">
        <v>2</v>
      </c>
      <c r="G26" s="12"/>
      <c r="H26" s="59">
        <v>1.19</v>
      </c>
      <c r="I26" s="40">
        <f t="shared" si="0"/>
        <v>2.1636363636363636</v>
      </c>
      <c r="J26" s="80">
        <f t="shared" si="1"/>
        <v>259.63636363636363</v>
      </c>
      <c r="K26" s="39">
        <f t="shared" si="2"/>
        <v>0.45</v>
      </c>
      <c r="L26" s="45">
        <f t="shared" si="3"/>
        <v>1.9833333333333334</v>
      </c>
      <c r="M26" s="29">
        <f t="shared" si="4"/>
        <v>238</v>
      </c>
      <c r="N26" s="46">
        <f t="shared" si="5"/>
        <v>0.4</v>
      </c>
      <c r="O26" s="73">
        <v>1.79</v>
      </c>
      <c r="P26" s="73">
        <v>214.2</v>
      </c>
      <c r="Q26" s="99">
        <f t="shared" si="7"/>
        <v>0.33519553072625702</v>
      </c>
      <c r="R26" s="62">
        <v>259.89999999999998</v>
      </c>
      <c r="S26" s="53">
        <v>238.48</v>
      </c>
      <c r="T26" s="77"/>
      <c r="U26" s="77"/>
      <c r="V26" s="77"/>
      <c r="W26" s="77">
        <v>2.1</v>
      </c>
      <c r="X26" s="77"/>
      <c r="Y26" s="83">
        <v>153155</v>
      </c>
      <c r="AA26" s="77"/>
      <c r="AB26" s="77"/>
      <c r="AC26" s="136"/>
      <c r="AD26" s="137"/>
    </row>
    <row r="27" spans="1:30">
      <c r="A27" s="33" t="s">
        <v>367</v>
      </c>
      <c r="B27" s="33"/>
      <c r="C27" s="33" t="s">
        <v>50</v>
      </c>
      <c r="D27" s="33" t="s">
        <v>51</v>
      </c>
      <c r="E27" s="34">
        <v>80</v>
      </c>
      <c r="F27" s="34" t="s">
        <v>2</v>
      </c>
      <c r="G27" s="34"/>
      <c r="H27" s="57">
        <v>1.78</v>
      </c>
      <c r="I27" s="42">
        <f t="shared" si="0"/>
        <v>3.2363636363636363</v>
      </c>
      <c r="J27" s="27">
        <f t="shared" si="1"/>
        <v>258.90909090909088</v>
      </c>
      <c r="K27" s="41">
        <f t="shared" si="2"/>
        <v>0.45</v>
      </c>
      <c r="L27" s="47">
        <f t="shared" si="3"/>
        <v>2.9666666666666668</v>
      </c>
      <c r="M27" s="28">
        <f t="shared" si="4"/>
        <v>237.33333333333334</v>
      </c>
      <c r="N27" s="48">
        <f t="shared" si="5"/>
        <v>0.4</v>
      </c>
      <c r="O27" s="71">
        <v>2.67</v>
      </c>
      <c r="P27" s="71">
        <f>E27*O27</f>
        <v>213.6</v>
      </c>
      <c r="Q27" s="37">
        <f t="shared" si="7"/>
        <v>0.33333333333333331</v>
      </c>
      <c r="R27" s="61">
        <v>259.17</v>
      </c>
      <c r="S27" s="51">
        <v>237.81</v>
      </c>
      <c r="T27" s="77"/>
      <c r="U27" s="77"/>
      <c r="V27" s="77"/>
      <c r="W27" s="77"/>
      <c r="X27" s="77"/>
      <c r="Y27" s="82">
        <v>153155</v>
      </c>
      <c r="AA27" s="77"/>
      <c r="AB27" s="77"/>
      <c r="AC27" s="136"/>
      <c r="AD27" s="137"/>
    </row>
    <row r="28" spans="1:30">
      <c r="A28" s="7" t="s">
        <v>367</v>
      </c>
      <c r="B28" s="7"/>
      <c r="C28" s="7" t="s">
        <v>48</v>
      </c>
      <c r="D28" s="7" t="s">
        <v>49</v>
      </c>
      <c r="E28" s="14">
        <v>40</v>
      </c>
      <c r="F28" s="14" t="s">
        <v>2</v>
      </c>
      <c r="G28" s="14"/>
      <c r="H28" s="58">
        <v>3.56</v>
      </c>
      <c r="I28" s="44">
        <f t="shared" si="0"/>
        <v>6.4727272727272727</v>
      </c>
      <c r="J28" s="81">
        <f t="shared" si="1"/>
        <v>258.90909090909088</v>
      </c>
      <c r="K28" s="43">
        <f t="shared" si="2"/>
        <v>0.45</v>
      </c>
      <c r="L28" s="49">
        <f t="shared" si="3"/>
        <v>5.9333333333333336</v>
      </c>
      <c r="M28" s="30">
        <f t="shared" si="4"/>
        <v>237.33333333333334</v>
      </c>
      <c r="N28" s="50">
        <f t="shared" si="5"/>
        <v>0.4</v>
      </c>
      <c r="O28" s="72">
        <v>5.34</v>
      </c>
      <c r="P28" s="72">
        <f>E28*O28</f>
        <v>213.6</v>
      </c>
      <c r="Q28" s="38">
        <f t="shared" si="7"/>
        <v>0.33333333333333331</v>
      </c>
      <c r="R28" s="63">
        <v>259.17</v>
      </c>
      <c r="S28" s="52">
        <v>237.81</v>
      </c>
      <c r="T28" s="78"/>
      <c r="U28" s="78"/>
      <c r="V28" s="78"/>
      <c r="W28" s="78"/>
      <c r="X28" s="78"/>
      <c r="Y28" s="84">
        <v>153155</v>
      </c>
      <c r="AA28" s="78"/>
      <c r="AB28" s="78"/>
      <c r="AC28" s="136"/>
      <c r="AD28" s="137"/>
    </row>
    <row r="29" spans="1:30">
      <c r="A29" s="86" t="s">
        <v>353</v>
      </c>
      <c r="B29" s="86"/>
      <c r="C29" s="86" t="s">
        <v>145</v>
      </c>
      <c r="D29" s="86" t="s">
        <v>146</v>
      </c>
      <c r="E29" s="87">
        <v>100</v>
      </c>
      <c r="F29" s="87" t="s">
        <v>2</v>
      </c>
      <c r="G29" s="34"/>
      <c r="H29" s="57">
        <v>0.28999999999999998</v>
      </c>
      <c r="I29" s="42">
        <f t="shared" si="0"/>
        <v>0.52727272727272723</v>
      </c>
      <c r="J29" s="27">
        <f t="shared" si="1"/>
        <v>52.72727272727272</v>
      </c>
      <c r="K29" s="41">
        <f t="shared" si="2"/>
        <v>0.45</v>
      </c>
      <c r="L29" s="47">
        <f t="shared" si="3"/>
        <v>0.48333333333333334</v>
      </c>
      <c r="M29" s="28">
        <f t="shared" si="4"/>
        <v>48.333333333333336</v>
      </c>
      <c r="N29" s="48">
        <f t="shared" si="5"/>
        <v>0.4</v>
      </c>
      <c r="O29" s="71">
        <f t="shared" ref="O29:O60" si="9">P29/E29</f>
        <v>0.435</v>
      </c>
      <c r="P29" s="71">
        <v>43.5</v>
      </c>
      <c r="Q29" s="37">
        <f t="shared" si="7"/>
        <v>0.33333333333333337</v>
      </c>
      <c r="R29" s="51">
        <v>52.78</v>
      </c>
      <c r="S29" s="51">
        <v>48.43</v>
      </c>
      <c r="T29" s="77"/>
      <c r="U29" s="77"/>
      <c r="V29" s="77"/>
      <c r="W29" s="77"/>
      <c r="X29" s="77"/>
      <c r="Y29" s="83">
        <v>153153</v>
      </c>
      <c r="AA29" s="77"/>
      <c r="AB29" s="77"/>
      <c r="AC29" s="136"/>
      <c r="AD29" s="137"/>
    </row>
    <row r="30" spans="1:30">
      <c r="A30" s="86" t="s">
        <v>353</v>
      </c>
      <c r="B30" s="86"/>
      <c r="C30" s="86" t="s">
        <v>155</v>
      </c>
      <c r="D30" s="86" t="s">
        <v>156</v>
      </c>
      <c r="E30" s="87">
        <v>25</v>
      </c>
      <c r="F30" s="87" t="s">
        <v>2</v>
      </c>
      <c r="G30" s="34"/>
      <c r="H30" s="57">
        <v>1.6</v>
      </c>
      <c r="I30" s="42">
        <f t="shared" si="0"/>
        <v>2.9090909090909092</v>
      </c>
      <c r="J30" s="27">
        <f t="shared" si="1"/>
        <v>72.727272727272734</v>
      </c>
      <c r="K30" s="41">
        <f t="shared" si="2"/>
        <v>0.45</v>
      </c>
      <c r="L30" s="47">
        <f t="shared" si="3"/>
        <v>2.666666666666667</v>
      </c>
      <c r="M30" s="28">
        <f t="shared" si="4"/>
        <v>66.666666666666671</v>
      </c>
      <c r="N30" s="48">
        <f t="shared" si="5"/>
        <v>0.4</v>
      </c>
      <c r="O30" s="71">
        <f t="shared" si="9"/>
        <v>2.4032</v>
      </c>
      <c r="P30" s="71">
        <v>60.08</v>
      </c>
      <c r="Q30" s="37">
        <f t="shared" si="7"/>
        <v>0.33422103861517971</v>
      </c>
      <c r="R30" s="51">
        <v>72.89</v>
      </c>
      <c r="S30" s="51">
        <v>66.88</v>
      </c>
      <c r="T30" s="77"/>
      <c r="U30" s="77"/>
      <c r="V30" s="77"/>
      <c r="W30" s="77"/>
      <c r="X30" s="77"/>
      <c r="Y30" s="82">
        <v>153153</v>
      </c>
      <c r="AA30" s="77" t="s">
        <v>402</v>
      </c>
      <c r="AB30" s="77">
        <f>VLOOKUP(AA30,'CFN HPV'!A:L,12,FALSE)</f>
        <v>3.02</v>
      </c>
      <c r="AC30" s="136">
        <f t="shared" ref="AC30:AC36" si="10">I30</f>
        <v>2.9090909090909092</v>
      </c>
      <c r="AD30" s="137">
        <f t="shared" si="8"/>
        <v>0.11090909090909085</v>
      </c>
    </row>
    <row r="31" spans="1:30">
      <c r="A31" s="86" t="s">
        <v>353</v>
      </c>
      <c r="B31" s="86"/>
      <c r="C31" s="86" t="s">
        <v>157</v>
      </c>
      <c r="D31" s="86" t="s">
        <v>158</v>
      </c>
      <c r="E31" s="87">
        <v>20</v>
      </c>
      <c r="F31" s="87" t="s">
        <v>2</v>
      </c>
      <c r="G31" s="34"/>
      <c r="H31" s="57">
        <v>1.88</v>
      </c>
      <c r="I31" s="42">
        <f t="shared" si="0"/>
        <v>3.4181818181818175</v>
      </c>
      <c r="J31" s="27">
        <f t="shared" si="1"/>
        <v>68.363636363636346</v>
      </c>
      <c r="K31" s="41">
        <f t="shared" si="2"/>
        <v>0.44999999999999996</v>
      </c>
      <c r="L31" s="47">
        <f t="shared" si="3"/>
        <v>3.1333333333333333</v>
      </c>
      <c r="M31" s="28">
        <f t="shared" si="4"/>
        <v>62.666666666666664</v>
      </c>
      <c r="N31" s="48">
        <f t="shared" si="5"/>
        <v>0.4</v>
      </c>
      <c r="O31" s="71">
        <f t="shared" si="9"/>
        <v>2.8214999999999999</v>
      </c>
      <c r="P31" s="71">
        <v>56.43</v>
      </c>
      <c r="Q31" s="37">
        <f t="shared" si="7"/>
        <v>0.33368775474038631</v>
      </c>
      <c r="R31" s="51">
        <v>68.47</v>
      </c>
      <c r="S31" s="51">
        <v>62.83</v>
      </c>
      <c r="T31" s="77"/>
      <c r="U31" s="77"/>
      <c r="V31" s="77"/>
      <c r="W31" s="77"/>
      <c r="X31" s="77"/>
      <c r="Y31" s="82">
        <v>153153</v>
      </c>
      <c r="AA31" s="77" t="s">
        <v>403</v>
      </c>
      <c r="AB31" s="77">
        <f>VLOOKUP(AA31,'CFN HPV'!A:L,12,FALSE)</f>
        <v>3.35</v>
      </c>
      <c r="AC31" s="136">
        <f t="shared" si="10"/>
        <v>3.4181818181818175</v>
      </c>
      <c r="AD31" s="137">
        <f t="shared" si="8"/>
        <v>-6.8181818181817455E-2</v>
      </c>
    </row>
    <row r="32" spans="1:30">
      <c r="A32" s="86" t="s">
        <v>353</v>
      </c>
      <c r="B32" s="86"/>
      <c r="C32" s="86" t="s">
        <v>159</v>
      </c>
      <c r="D32" s="86" t="s">
        <v>160</v>
      </c>
      <c r="E32" s="87">
        <v>15</v>
      </c>
      <c r="F32" s="87" t="s">
        <v>2</v>
      </c>
      <c r="G32" s="34"/>
      <c r="H32" s="57">
        <v>2.72</v>
      </c>
      <c r="I32" s="42">
        <f t="shared" si="0"/>
        <v>4.9454545454545453</v>
      </c>
      <c r="J32" s="27">
        <f t="shared" si="1"/>
        <v>74.181818181818187</v>
      </c>
      <c r="K32" s="41">
        <f t="shared" si="2"/>
        <v>0.44999999999999996</v>
      </c>
      <c r="L32" s="47">
        <f t="shared" si="3"/>
        <v>4.5333333333333341</v>
      </c>
      <c r="M32" s="28">
        <f t="shared" si="4"/>
        <v>68.000000000000014</v>
      </c>
      <c r="N32" s="48">
        <f t="shared" si="5"/>
        <v>0.40000000000000008</v>
      </c>
      <c r="O32" s="71">
        <f t="shared" si="9"/>
        <v>4.0773333333333328</v>
      </c>
      <c r="P32" s="71">
        <v>61.16</v>
      </c>
      <c r="Q32" s="37">
        <f t="shared" si="7"/>
        <v>0.33289731850882914</v>
      </c>
      <c r="R32" s="51">
        <v>74.2</v>
      </c>
      <c r="S32" s="51">
        <v>68.09</v>
      </c>
      <c r="T32" s="77"/>
      <c r="U32" s="77"/>
      <c r="V32" s="77"/>
      <c r="W32" s="77"/>
      <c r="X32" s="77"/>
      <c r="Y32" s="82">
        <v>153153</v>
      </c>
      <c r="AA32" s="77" t="s">
        <v>544</v>
      </c>
      <c r="AB32" s="77">
        <f>VLOOKUP(AA32,'CFN HPV'!A:L,12,FALSE)</f>
        <v>4.09</v>
      </c>
      <c r="AC32" s="136">
        <f t="shared" si="10"/>
        <v>4.9454545454545453</v>
      </c>
      <c r="AD32" s="137">
        <f t="shared" si="8"/>
        <v>-0.85545454545454547</v>
      </c>
    </row>
    <row r="33" spans="1:30">
      <c r="A33" s="86" t="s">
        <v>353</v>
      </c>
      <c r="B33" s="86"/>
      <c r="C33" s="86" t="s">
        <v>161</v>
      </c>
      <c r="D33" s="86" t="s">
        <v>162</v>
      </c>
      <c r="E33" s="87">
        <v>15</v>
      </c>
      <c r="F33" s="87" t="s">
        <v>2</v>
      </c>
      <c r="G33" s="34"/>
      <c r="H33" s="57">
        <v>3.39</v>
      </c>
      <c r="I33" s="42">
        <f t="shared" si="0"/>
        <v>6.1636363636363631</v>
      </c>
      <c r="J33" s="27">
        <f t="shared" si="1"/>
        <v>92.454545454545453</v>
      </c>
      <c r="K33" s="41">
        <f t="shared" si="2"/>
        <v>0.44999999999999996</v>
      </c>
      <c r="L33" s="47">
        <f t="shared" si="3"/>
        <v>5.65</v>
      </c>
      <c r="M33" s="28">
        <f t="shared" si="4"/>
        <v>84.75</v>
      </c>
      <c r="N33" s="48">
        <f t="shared" si="5"/>
        <v>0.4</v>
      </c>
      <c r="O33" s="71">
        <f t="shared" si="9"/>
        <v>5.09</v>
      </c>
      <c r="P33" s="71">
        <v>76.349999999999994</v>
      </c>
      <c r="Q33" s="37">
        <f t="shared" si="7"/>
        <v>0.33398821218074654</v>
      </c>
      <c r="R33" s="51">
        <v>92.64</v>
      </c>
      <c r="S33" s="51">
        <v>85</v>
      </c>
      <c r="T33" s="77"/>
      <c r="U33" s="77"/>
      <c r="V33" s="77"/>
      <c r="W33" s="77"/>
      <c r="X33" s="77"/>
      <c r="Y33" s="82">
        <v>153153</v>
      </c>
      <c r="AA33" s="77" t="s">
        <v>404</v>
      </c>
      <c r="AB33" s="77">
        <f>VLOOKUP(AA33,'CFN HPV'!A:L,12,FALSE)</f>
        <v>6.58</v>
      </c>
      <c r="AC33" s="136">
        <f t="shared" si="10"/>
        <v>6.1636363636363631</v>
      </c>
      <c r="AD33" s="137">
        <f t="shared" si="8"/>
        <v>0.41636363636363694</v>
      </c>
    </row>
    <row r="34" spans="1:30">
      <c r="A34" s="86" t="s">
        <v>353</v>
      </c>
      <c r="B34" s="86"/>
      <c r="C34" s="86" t="s">
        <v>163</v>
      </c>
      <c r="D34" s="86" t="s">
        <v>164</v>
      </c>
      <c r="E34" s="87">
        <v>12</v>
      </c>
      <c r="F34" s="87" t="s">
        <v>2</v>
      </c>
      <c r="G34" s="34"/>
      <c r="H34" s="57">
        <v>5.0199999999999996</v>
      </c>
      <c r="I34" s="42">
        <f t="shared" si="0"/>
        <v>9.1272727272727252</v>
      </c>
      <c r="J34" s="27">
        <f t="shared" si="1"/>
        <v>109.5272727272727</v>
      </c>
      <c r="K34" s="41">
        <f t="shared" si="2"/>
        <v>0.4499999999999999</v>
      </c>
      <c r="L34" s="47">
        <f t="shared" si="3"/>
        <v>8.3666666666666671</v>
      </c>
      <c r="M34" s="28">
        <f t="shared" si="4"/>
        <v>100.4</v>
      </c>
      <c r="N34" s="48">
        <f t="shared" si="5"/>
        <v>0.40000000000000008</v>
      </c>
      <c r="O34" s="71">
        <f t="shared" si="9"/>
        <v>7.5324999999999998</v>
      </c>
      <c r="P34" s="71">
        <v>90.39</v>
      </c>
      <c r="Q34" s="37">
        <f t="shared" si="7"/>
        <v>0.33355459674742782</v>
      </c>
      <c r="R34" s="51">
        <v>109.67</v>
      </c>
      <c r="S34" s="51">
        <v>100.63</v>
      </c>
      <c r="T34" s="77"/>
      <c r="U34" s="77"/>
      <c r="V34" s="77"/>
      <c r="W34" s="77"/>
      <c r="X34" s="77"/>
      <c r="Y34" s="82">
        <v>153153</v>
      </c>
      <c r="AA34" s="77" t="s">
        <v>405</v>
      </c>
      <c r="AB34" s="77">
        <f>VLOOKUP(AA34,'CFN HPV'!A:L,12,FALSE)</f>
        <v>7.52</v>
      </c>
      <c r="AC34" s="136">
        <f t="shared" si="10"/>
        <v>9.1272727272727252</v>
      </c>
      <c r="AD34" s="137">
        <f t="shared" si="8"/>
        <v>-1.6072727272727256</v>
      </c>
    </row>
    <row r="35" spans="1:30">
      <c r="A35" s="86" t="s">
        <v>353</v>
      </c>
      <c r="B35" s="86"/>
      <c r="C35" s="86" t="s">
        <v>165</v>
      </c>
      <c r="D35" s="86" t="s">
        <v>166</v>
      </c>
      <c r="E35" s="87">
        <v>50</v>
      </c>
      <c r="F35" s="87" t="s">
        <v>2</v>
      </c>
      <c r="G35" s="34"/>
      <c r="H35" s="57">
        <v>1.27</v>
      </c>
      <c r="I35" s="42">
        <f t="shared" si="0"/>
        <v>2.3090909090909091</v>
      </c>
      <c r="J35" s="27">
        <f t="shared" si="1"/>
        <v>115.45454545454545</v>
      </c>
      <c r="K35" s="41">
        <f t="shared" si="2"/>
        <v>0.45</v>
      </c>
      <c r="L35" s="47">
        <f t="shared" si="3"/>
        <v>2.1166666666666667</v>
      </c>
      <c r="M35" s="28">
        <f t="shared" si="4"/>
        <v>105.83333333333333</v>
      </c>
      <c r="N35" s="48">
        <f t="shared" si="5"/>
        <v>0.4</v>
      </c>
      <c r="O35" s="71">
        <f t="shared" si="9"/>
        <v>1.9036000000000002</v>
      </c>
      <c r="P35" s="31">
        <v>95.18</v>
      </c>
      <c r="Q35" s="37">
        <f t="shared" si="7"/>
        <v>0.33284303425089312</v>
      </c>
      <c r="R35" s="51">
        <v>115.48</v>
      </c>
      <c r="S35" s="51">
        <v>105.96</v>
      </c>
      <c r="T35" s="77"/>
      <c r="U35" s="77"/>
      <c r="V35" s="77"/>
      <c r="W35" s="77">
        <v>1.68</v>
      </c>
      <c r="X35" s="77"/>
      <c r="Y35" s="82">
        <v>153153</v>
      </c>
      <c r="AA35" s="77" t="s">
        <v>406</v>
      </c>
      <c r="AB35" s="77">
        <f>VLOOKUP(AA35,'CFN HPV'!A:L,12,FALSE)</f>
        <v>2.37</v>
      </c>
      <c r="AC35" s="136">
        <f t="shared" si="10"/>
        <v>2.3090909090909091</v>
      </c>
      <c r="AD35" s="137">
        <f t="shared" si="8"/>
        <v>6.0909090909091024E-2</v>
      </c>
    </row>
    <row r="36" spans="1:30">
      <c r="A36" s="86" t="s">
        <v>353</v>
      </c>
      <c r="B36" s="86"/>
      <c r="C36" s="86" t="s">
        <v>175</v>
      </c>
      <c r="D36" s="86" t="s">
        <v>176</v>
      </c>
      <c r="E36" s="87">
        <v>20</v>
      </c>
      <c r="F36" s="87" t="s">
        <v>2</v>
      </c>
      <c r="G36" s="34"/>
      <c r="H36" s="57">
        <v>1.98</v>
      </c>
      <c r="I36" s="42">
        <f t="shared" si="0"/>
        <v>3.5999999999999996</v>
      </c>
      <c r="J36" s="27">
        <f t="shared" si="1"/>
        <v>72</v>
      </c>
      <c r="K36" s="41">
        <f t="shared" si="2"/>
        <v>0.44999999999999996</v>
      </c>
      <c r="L36" s="47">
        <f t="shared" si="3"/>
        <v>3.3000000000000003</v>
      </c>
      <c r="M36" s="28">
        <f t="shared" si="4"/>
        <v>66</v>
      </c>
      <c r="N36" s="48">
        <f t="shared" si="5"/>
        <v>0.40000000000000008</v>
      </c>
      <c r="O36" s="71">
        <f t="shared" si="9"/>
        <v>2.9699999999999998</v>
      </c>
      <c r="P36" s="71">
        <v>59.4</v>
      </c>
      <c r="Q36" s="37">
        <f t="shared" si="7"/>
        <v>0.33333333333333326</v>
      </c>
      <c r="R36" s="51">
        <v>72.069999999999993</v>
      </c>
      <c r="S36" s="51">
        <v>66.13</v>
      </c>
      <c r="T36" s="77"/>
      <c r="U36" s="77"/>
      <c r="V36" s="77"/>
      <c r="W36" s="77"/>
      <c r="X36" s="77"/>
      <c r="Y36" s="82">
        <v>153153</v>
      </c>
      <c r="AA36" s="77" t="s">
        <v>407</v>
      </c>
      <c r="AB36" s="77">
        <f>VLOOKUP(AA36,'CFN HPV'!A:L,12,FALSE)</f>
        <v>5.67</v>
      </c>
      <c r="AC36" s="136">
        <f t="shared" si="10"/>
        <v>3.5999999999999996</v>
      </c>
      <c r="AD36" s="137">
        <f t="shared" si="8"/>
        <v>2.0700000000000003</v>
      </c>
    </row>
    <row r="37" spans="1:30">
      <c r="A37" s="86" t="s">
        <v>353</v>
      </c>
      <c r="B37" s="86"/>
      <c r="C37" s="86" t="s">
        <v>195</v>
      </c>
      <c r="D37" s="86" t="s">
        <v>196</v>
      </c>
      <c r="E37" s="87">
        <v>100</v>
      </c>
      <c r="F37" s="87" t="s">
        <v>2</v>
      </c>
      <c r="G37" s="34"/>
      <c r="H37" s="57">
        <v>0.96</v>
      </c>
      <c r="I37" s="42">
        <f t="shared" si="0"/>
        <v>1.7454545454545451</v>
      </c>
      <c r="J37" s="27">
        <f t="shared" si="1"/>
        <v>174.5454545454545</v>
      </c>
      <c r="K37" s="41">
        <f t="shared" si="2"/>
        <v>0.4499999999999999</v>
      </c>
      <c r="L37" s="47">
        <f t="shared" si="3"/>
        <v>1.6</v>
      </c>
      <c r="M37" s="28">
        <f t="shared" si="4"/>
        <v>160</v>
      </c>
      <c r="N37" s="48">
        <f t="shared" si="5"/>
        <v>0.40000000000000008</v>
      </c>
      <c r="O37" s="71">
        <f t="shared" si="9"/>
        <v>1.44</v>
      </c>
      <c r="P37" s="71">
        <v>144</v>
      </c>
      <c r="Q37" s="37">
        <f t="shared" si="7"/>
        <v>0.33333333333333331</v>
      </c>
      <c r="R37" s="51">
        <v>174.72</v>
      </c>
      <c r="S37" s="51">
        <v>160.32</v>
      </c>
      <c r="T37" s="77"/>
      <c r="U37" s="77"/>
      <c r="V37" s="77"/>
      <c r="W37" s="77"/>
      <c r="X37" s="77"/>
      <c r="Y37" s="82">
        <v>153153</v>
      </c>
      <c r="AA37" s="77"/>
      <c r="AB37" s="77"/>
      <c r="AC37" s="136"/>
      <c r="AD37" s="137"/>
    </row>
    <row r="38" spans="1:30">
      <c r="A38" s="86" t="s">
        <v>353</v>
      </c>
      <c r="B38" s="86"/>
      <c r="C38" s="86" t="s">
        <v>197</v>
      </c>
      <c r="D38" s="86" t="s">
        <v>198</v>
      </c>
      <c r="E38" s="87">
        <v>100</v>
      </c>
      <c r="F38" s="87" t="s">
        <v>2</v>
      </c>
      <c r="G38" s="34"/>
      <c r="H38" s="57">
        <v>1.1499999999999999</v>
      </c>
      <c r="I38" s="42">
        <f t="shared" si="0"/>
        <v>2.0909090909090904</v>
      </c>
      <c r="J38" s="27">
        <f t="shared" si="1"/>
        <v>209.09090909090904</v>
      </c>
      <c r="K38" s="41">
        <f t="shared" si="2"/>
        <v>0.4499999999999999</v>
      </c>
      <c r="L38" s="47">
        <f t="shared" si="3"/>
        <v>1.9166666666666665</v>
      </c>
      <c r="M38" s="28">
        <f t="shared" si="4"/>
        <v>191.66666666666666</v>
      </c>
      <c r="N38" s="48">
        <f t="shared" si="5"/>
        <v>0.4</v>
      </c>
      <c r="O38" s="71">
        <f t="shared" si="9"/>
        <v>1.7250000000000001</v>
      </c>
      <c r="P38" s="71">
        <v>172.5</v>
      </c>
      <c r="Q38" s="37">
        <f t="shared" si="7"/>
        <v>0.33333333333333343</v>
      </c>
      <c r="R38" s="51">
        <v>209.3</v>
      </c>
      <c r="S38" s="51">
        <v>192.05</v>
      </c>
      <c r="T38" s="77"/>
      <c r="U38" s="77"/>
      <c r="V38" s="77"/>
      <c r="W38" s="77"/>
      <c r="X38" s="77"/>
      <c r="Y38" s="82">
        <v>153153</v>
      </c>
      <c r="AA38" s="77"/>
      <c r="AB38" s="77"/>
      <c r="AC38" s="136"/>
      <c r="AD38" s="137"/>
    </row>
    <row r="39" spans="1:30">
      <c r="A39" s="86" t="s">
        <v>353</v>
      </c>
      <c r="B39" s="86"/>
      <c r="C39" s="86" t="s">
        <v>199</v>
      </c>
      <c r="D39" s="86" t="s">
        <v>200</v>
      </c>
      <c r="E39" s="87">
        <v>100</v>
      </c>
      <c r="F39" s="87" t="s">
        <v>2</v>
      </c>
      <c r="G39" s="34"/>
      <c r="H39" s="57">
        <v>2.0299999999999998</v>
      </c>
      <c r="I39" s="42">
        <f t="shared" si="0"/>
        <v>3.6909090909090905</v>
      </c>
      <c r="J39" s="27">
        <f t="shared" si="1"/>
        <v>369.09090909090907</v>
      </c>
      <c r="K39" s="41">
        <f t="shared" si="2"/>
        <v>0.45</v>
      </c>
      <c r="L39" s="47">
        <f t="shared" si="3"/>
        <v>3.3833333333333333</v>
      </c>
      <c r="M39" s="28">
        <f t="shared" si="4"/>
        <v>338.33333333333331</v>
      </c>
      <c r="N39" s="48">
        <f t="shared" si="5"/>
        <v>0.40000000000000008</v>
      </c>
      <c r="O39" s="71">
        <f t="shared" si="9"/>
        <v>3.0449999999999999</v>
      </c>
      <c r="P39" s="71">
        <v>304.5</v>
      </c>
      <c r="Q39" s="37">
        <f t="shared" si="7"/>
        <v>0.33333333333333337</v>
      </c>
      <c r="R39" s="51">
        <v>369.46</v>
      </c>
      <c r="S39" s="51">
        <v>339.01</v>
      </c>
      <c r="T39" s="77"/>
      <c r="U39" s="77"/>
      <c r="V39" s="77"/>
      <c r="W39" s="77"/>
      <c r="X39" s="77"/>
      <c r="Y39" s="82">
        <v>153153</v>
      </c>
      <c r="AA39" s="77" t="s">
        <v>408</v>
      </c>
      <c r="AB39" s="77">
        <f>VLOOKUP(AA39,'CFN HPV'!A:L,12,FALSE)</f>
        <v>4.0999999999999996</v>
      </c>
      <c r="AC39" s="136">
        <f t="shared" ref="AC39:AC51" si="11">I39</f>
        <v>3.6909090909090905</v>
      </c>
      <c r="AD39" s="137">
        <f t="shared" si="8"/>
        <v>0.40909090909090917</v>
      </c>
    </row>
    <row r="40" spans="1:30">
      <c r="A40" s="86" t="s">
        <v>353</v>
      </c>
      <c r="B40" s="86"/>
      <c r="C40" s="86" t="s">
        <v>213</v>
      </c>
      <c r="D40" s="86" t="s">
        <v>214</v>
      </c>
      <c r="E40" s="87">
        <v>30</v>
      </c>
      <c r="F40" s="87" t="s">
        <v>2</v>
      </c>
      <c r="G40" s="34"/>
      <c r="H40" s="57">
        <v>2.08</v>
      </c>
      <c r="I40" s="42">
        <f t="shared" si="0"/>
        <v>3.7818181818181817</v>
      </c>
      <c r="J40" s="27">
        <f t="shared" si="1"/>
        <v>113.45454545454545</v>
      </c>
      <c r="K40" s="41">
        <f t="shared" si="2"/>
        <v>0.44999999999999996</v>
      </c>
      <c r="L40" s="47">
        <f t="shared" si="3"/>
        <v>3.4666666666666668</v>
      </c>
      <c r="M40" s="28">
        <f t="shared" si="4"/>
        <v>104</v>
      </c>
      <c r="N40" s="48">
        <f t="shared" si="5"/>
        <v>0.4</v>
      </c>
      <c r="O40" s="71">
        <f t="shared" si="9"/>
        <v>3.1199999999999997</v>
      </c>
      <c r="P40" s="71">
        <v>93.6</v>
      </c>
      <c r="Q40" s="37">
        <f t="shared" si="7"/>
        <v>0.33333333333333326</v>
      </c>
      <c r="R40" s="51">
        <v>113.57</v>
      </c>
      <c r="S40" s="51">
        <v>104.21</v>
      </c>
      <c r="T40" s="77"/>
      <c r="U40" s="77"/>
      <c r="V40" s="77"/>
      <c r="W40" s="77"/>
      <c r="X40" s="77"/>
      <c r="Y40" s="82">
        <v>153153</v>
      </c>
      <c r="AA40" s="77" t="s">
        <v>432</v>
      </c>
      <c r="AB40" s="77">
        <f>VLOOKUP(AA40,'CFN HPV'!A:L,12,FALSE)</f>
        <v>3.94</v>
      </c>
      <c r="AC40" s="136">
        <f t="shared" si="11"/>
        <v>3.7818181818181817</v>
      </c>
      <c r="AD40" s="137">
        <f t="shared" si="8"/>
        <v>0.1581818181818182</v>
      </c>
    </row>
    <row r="41" spans="1:30">
      <c r="A41" s="86" t="s">
        <v>353</v>
      </c>
      <c r="B41" s="86"/>
      <c r="C41" s="86" t="s">
        <v>215</v>
      </c>
      <c r="D41" s="86" t="s">
        <v>216</v>
      </c>
      <c r="E41" s="87">
        <v>30</v>
      </c>
      <c r="F41" s="87" t="s">
        <v>2</v>
      </c>
      <c r="G41" s="34"/>
      <c r="H41" s="57">
        <v>2.3199999999999998</v>
      </c>
      <c r="I41" s="42">
        <f t="shared" si="0"/>
        <v>4.2181818181818178</v>
      </c>
      <c r="J41" s="27">
        <f t="shared" si="1"/>
        <v>126.54545454545453</v>
      </c>
      <c r="K41" s="41">
        <f t="shared" si="2"/>
        <v>0.45</v>
      </c>
      <c r="L41" s="47">
        <f t="shared" si="3"/>
        <v>3.8666666666666667</v>
      </c>
      <c r="M41" s="28">
        <f t="shared" si="4"/>
        <v>116</v>
      </c>
      <c r="N41" s="48">
        <f t="shared" si="5"/>
        <v>0.4</v>
      </c>
      <c r="O41" s="71">
        <f t="shared" si="9"/>
        <v>3.48</v>
      </c>
      <c r="P41" s="71">
        <v>104.4</v>
      </c>
      <c r="Q41" s="37">
        <f t="shared" si="7"/>
        <v>0.33333333333333337</v>
      </c>
      <c r="R41" s="51">
        <v>126.67</v>
      </c>
      <c r="S41" s="51">
        <v>116.23</v>
      </c>
      <c r="T41" s="77"/>
      <c r="U41" s="77"/>
      <c r="V41" s="77"/>
      <c r="W41" s="77"/>
      <c r="X41" s="77"/>
      <c r="Y41" s="82">
        <v>153153</v>
      </c>
      <c r="AA41" s="77" t="s">
        <v>433</v>
      </c>
      <c r="AB41" s="77">
        <f>VLOOKUP(AA41,'CFN HPV'!A:L,12,FALSE)</f>
        <v>3.69</v>
      </c>
      <c r="AC41" s="136">
        <f t="shared" si="11"/>
        <v>4.2181818181818178</v>
      </c>
      <c r="AD41" s="137">
        <f t="shared" si="8"/>
        <v>-0.52818181818181786</v>
      </c>
    </row>
    <row r="42" spans="1:30">
      <c r="A42" s="86" t="s">
        <v>353</v>
      </c>
      <c r="B42" s="86"/>
      <c r="C42" s="86" t="s">
        <v>223</v>
      </c>
      <c r="D42" s="86" t="s">
        <v>224</v>
      </c>
      <c r="E42" s="87">
        <v>30</v>
      </c>
      <c r="F42" s="87" t="s">
        <v>2</v>
      </c>
      <c r="G42" s="34"/>
      <c r="H42" s="57">
        <v>2.9</v>
      </c>
      <c r="I42" s="42">
        <f t="shared" si="0"/>
        <v>5.2727272727272725</v>
      </c>
      <c r="J42" s="27">
        <f t="shared" si="1"/>
        <v>158.18181818181819</v>
      </c>
      <c r="K42" s="41">
        <f t="shared" si="2"/>
        <v>0.45</v>
      </c>
      <c r="L42" s="47">
        <f t="shared" si="3"/>
        <v>4.833333333333333</v>
      </c>
      <c r="M42" s="28">
        <f t="shared" si="4"/>
        <v>145</v>
      </c>
      <c r="N42" s="48">
        <f t="shared" si="5"/>
        <v>0.39999999999999997</v>
      </c>
      <c r="O42" s="71">
        <f t="shared" si="9"/>
        <v>4.3499999999999996</v>
      </c>
      <c r="P42" s="31">
        <v>130.5</v>
      </c>
      <c r="Q42" s="37">
        <f t="shared" si="7"/>
        <v>0.33333333333333331</v>
      </c>
      <c r="R42" s="51">
        <v>158.34</v>
      </c>
      <c r="S42" s="51">
        <v>145.29</v>
      </c>
      <c r="T42" s="77"/>
      <c r="U42" s="77">
        <v>4.1500000000000004</v>
      </c>
      <c r="V42" s="77"/>
      <c r="W42" s="77"/>
      <c r="X42" s="77"/>
      <c r="Y42" s="82">
        <v>153153</v>
      </c>
      <c r="AA42" s="77" t="s">
        <v>434</v>
      </c>
      <c r="AB42" s="77">
        <f>VLOOKUP(AA42,'CFN HPV'!A:L,12,FALSE)</f>
        <v>4.25</v>
      </c>
      <c r="AC42" s="136">
        <f t="shared" si="11"/>
        <v>5.2727272727272725</v>
      </c>
      <c r="AD42" s="137">
        <f t="shared" si="8"/>
        <v>-1.0227272727272725</v>
      </c>
    </row>
    <row r="43" spans="1:30">
      <c r="A43" s="86" t="s">
        <v>353</v>
      </c>
      <c r="B43" s="86"/>
      <c r="C43" s="86" t="s">
        <v>225</v>
      </c>
      <c r="D43" s="86" t="s">
        <v>226</v>
      </c>
      <c r="E43" s="87">
        <v>20</v>
      </c>
      <c r="F43" s="87" t="s">
        <v>2</v>
      </c>
      <c r="G43" s="34"/>
      <c r="H43" s="57">
        <v>3.2</v>
      </c>
      <c r="I43" s="42">
        <f t="shared" si="0"/>
        <v>5.8181818181818183</v>
      </c>
      <c r="J43" s="27">
        <f t="shared" si="1"/>
        <v>116.36363636363637</v>
      </c>
      <c r="K43" s="41">
        <f t="shared" si="2"/>
        <v>0.45</v>
      </c>
      <c r="L43" s="47">
        <f t="shared" si="3"/>
        <v>5.3333333333333339</v>
      </c>
      <c r="M43" s="28">
        <f t="shared" si="4"/>
        <v>106.66666666666669</v>
      </c>
      <c r="N43" s="48">
        <f t="shared" si="5"/>
        <v>0.4</v>
      </c>
      <c r="O43" s="71">
        <f t="shared" si="9"/>
        <v>4.8</v>
      </c>
      <c r="P43" s="31">
        <v>96</v>
      </c>
      <c r="Q43" s="37">
        <f t="shared" si="7"/>
        <v>0.33333333333333326</v>
      </c>
      <c r="R43" s="51">
        <v>116.48</v>
      </c>
      <c r="S43" s="51">
        <v>106.88</v>
      </c>
      <c r="T43" s="77"/>
      <c r="U43" s="77">
        <v>4.8</v>
      </c>
      <c r="V43" s="77"/>
      <c r="W43" s="77">
        <v>4.83</v>
      </c>
      <c r="X43" s="77"/>
      <c r="Y43" s="82">
        <v>153153</v>
      </c>
      <c r="AA43" s="77" t="s">
        <v>435</v>
      </c>
      <c r="AB43" s="77">
        <f>VLOOKUP(AA43,'CFN HPV'!A:L,12,FALSE)</f>
        <v>4.75</v>
      </c>
      <c r="AC43" s="136">
        <f t="shared" si="11"/>
        <v>5.8181818181818183</v>
      </c>
      <c r="AD43" s="137">
        <f t="shared" si="8"/>
        <v>-1.0681818181818183</v>
      </c>
    </row>
    <row r="44" spans="1:30">
      <c r="A44" s="86" t="s">
        <v>353</v>
      </c>
      <c r="B44" s="86"/>
      <c r="C44" s="86" t="s">
        <v>227</v>
      </c>
      <c r="D44" s="86" t="s">
        <v>228</v>
      </c>
      <c r="E44" s="87">
        <v>20</v>
      </c>
      <c r="F44" s="87" t="s">
        <v>2</v>
      </c>
      <c r="G44" s="34"/>
      <c r="H44" s="57">
        <v>3.66</v>
      </c>
      <c r="I44" s="42">
        <f t="shared" si="0"/>
        <v>6.6545454545454543</v>
      </c>
      <c r="J44" s="27">
        <f t="shared" si="1"/>
        <v>133.09090909090909</v>
      </c>
      <c r="K44" s="41">
        <f t="shared" si="2"/>
        <v>0.44999999999999996</v>
      </c>
      <c r="L44" s="47">
        <f t="shared" si="3"/>
        <v>6.1000000000000005</v>
      </c>
      <c r="M44" s="28">
        <f t="shared" si="4"/>
        <v>122.00000000000001</v>
      </c>
      <c r="N44" s="48">
        <f t="shared" si="5"/>
        <v>0.4</v>
      </c>
      <c r="O44" s="71">
        <f t="shared" si="9"/>
        <v>5.49</v>
      </c>
      <c r="P44" s="31">
        <v>109.8</v>
      </c>
      <c r="Q44" s="37">
        <f t="shared" si="7"/>
        <v>0.33333333333333331</v>
      </c>
      <c r="R44" s="51">
        <v>133.22</v>
      </c>
      <c r="S44" s="51">
        <v>122.24</v>
      </c>
      <c r="T44" s="77"/>
      <c r="U44" s="77"/>
      <c r="V44" s="77"/>
      <c r="W44" s="77">
        <v>3.92</v>
      </c>
      <c r="X44" s="77"/>
      <c r="Y44" s="82">
        <v>153153</v>
      </c>
      <c r="AA44" s="77" t="s">
        <v>422</v>
      </c>
      <c r="AB44" s="77">
        <f>VLOOKUP(AA44,'CFN HPV'!A:L,12,FALSE)</f>
        <v>4.7699999999999996</v>
      </c>
      <c r="AC44" s="136">
        <f t="shared" si="11"/>
        <v>6.6545454545454543</v>
      </c>
      <c r="AD44" s="137">
        <f t="shared" si="8"/>
        <v>-1.8845454545454547</v>
      </c>
    </row>
    <row r="45" spans="1:30">
      <c r="A45" s="86" t="s">
        <v>353</v>
      </c>
      <c r="B45" s="86"/>
      <c r="C45" s="86" t="s">
        <v>233</v>
      </c>
      <c r="D45" s="86" t="s">
        <v>234</v>
      </c>
      <c r="E45" s="87">
        <v>8</v>
      </c>
      <c r="F45" s="87" t="s">
        <v>2</v>
      </c>
      <c r="G45" s="34"/>
      <c r="H45" s="57">
        <v>12.09</v>
      </c>
      <c r="I45" s="42">
        <f t="shared" si="0"/>
        <v>21.981818181818181</v>
      </c>
      <c r="J45" s="27">
        <f t="shared" si="1"/>
        <v>175.85454545454544</v>
      </c>
      <c r="K45" s="41">
        <f t="shared" si="2"/>
        <v>0.44999999999999996</v>
      </c>
      <c r="L45" s="47">
        <f t="shared" si="3"/>
        <v>20.150000000000002</v>
      </c>
      <c r="M45" s="28">
        <f t="shared" si="4"/>
        <v>161.20000000000002</v>
      </c>
      <c r="N45" s="48">
        <f t="shared" si="5"/>
        <v>0.40000000000000008</v>
      </c>
      <c r="O45" s="71">
        <f t="shared" si="9"/>
        <v>18.135000000000002</v>
      </c>
      <c r="P45" s="31">
        <v>145.08000000000001</v>
      </c>
      <c r="Q45" s="37">
        <f t="shared" si="7"/>
        <v>0.33333333333333343</v>
      </c>
      <c r="R45" s="51">
        <v>176.03</v>
      </c>
      <c r="S45" s="51">
        <v>161.52000000000001</v>
      </c>
      <c r="T45" s="77"/>
      <c r="U45" s="77">
        <v>18.600000000000001</v>
      </c>
      <c r="V45" s="77"/>
      <c r="W45" s="77">
        <v>18.03</v>
      </c>
      <c r="X45" s="77"/>
      <c r="Y45" s="82">
        <v>153153</v>
      </c>
      <c r="AA45" s="77" t="s">
        <v>424</v>
      </c>
      <c r="AB45" s="77">
        <f>VLOOKUP(AA45,'CFN HPV'!A:L,12,FALSE)</f>
        <v>15.77</v>
      </c>
      <c r="AC45" s="136">
        <f t="shared" si="11"/>
        <v>21.981818181818181</v>
      </c>
      <c r="AD45" s="137">
        <f t="shared" si="8"/>
        <v>-6.211818181818181</v>
      </c>
    </row>
    <row r="46" spans="1:30">
      <c r="A46" s="86" t="s">
        <v>353</v>
      </c>
      <c r="B46" s="86"/>
      <c r="C46" s="86" t="s">
        <v>235</v>
      </c>
      <c r="D46" s="86" t="s">
        <v>236</v>
      </c>
      <c r="E46" s="87">
        <v>10</v>
      </c>
      <c r="F46" s="87" t="s">
        <v>2</v>
      </c>
      <c r="G46" s="34"/>
      <c r="H46" s="57">
        <v>10.220000000000001</v>
      </c>
      <c r="I46" s="42">
        <f t="shared" si="0"/>
        <v>18.581818181818182</v>
      </c>
      <c r="J46" s="27">
        <f t="shared" si="1"/>
        <v>185.81818181818181</v>
      </c>
      <c r="K46" s="41">
        <f t="shared" si="2"/>
        <v>0.44999999999999996</v>
      </c>
      <c r="L46" s="47">
        <f t="shared" si="3"/>
        <v>17.033333333333335</v>
      </c>
      <c r="M46" s="28">
        <f t="shared" si="4"/>
        <v>170.33333333333334</v>
      </c>
      <c r="N46" s="48">
        <f t="shared" si="5"/>
        <v>0.4</v>
      </c>
      <c r="O46" s="71">
        <f t="shared" si="9"/>
        <v>15.330000000000002</v>
      </c>
      <c r="P46" s="31">
        <v>153.30000000000001</v>
      </c>
      <c r="Q46" s="37">
        <f t="shared" si="7"/>
        <v>0.33333333333333337</v>
      </c>
      <c r="R46" s="51">
        <v>186</v>
      </c>
      <c r="S46" s="51">
        <v>170.67</v>
      </c>
      <c r="T46" s="77"/>
      <c r="U46" s="77">
        <v>15.06</v>
      </c>
      <c r="V46" s="77"/>
      <c r="W46" s="77">
        <v>14.6</v>
      </c>
      <c r="X46" s="77"/>
      <c r="Y46" s="82">
        <v>153153</v>
      </c>
      <c r="AA46" s="77" t="s">
        <v>425</v>
      </c>
      <c r="AB46" s="77">
        <f>VLOOKUP(AA46,'CFN HPV'!A:L,12,FALSE)</f>
        <v>12.31</v>
      </c>
      <c r="AC46" s="136">
        <f t="shared" si="11"/>
        <v>18.581818181818182</v>
      </c>
      <c r="AD46" s="137">
        <f t="shared" si="8"/>
        <v>-6.2718181818181815</v>
      </c>
    </row>
    <row r="47" spans="1:30">
      <c r="A47" s="86" t="s">
        <v>353</v>
      </c>
      <c r="B47" s="86"/>
      <c r="C47" s="86" t="s">
        <v>237</v>
      </c>
      <c r="D47" s="86" t="s">
        <v>238</v>
      </c>
      <c r="E47" s="87">
        <v>7</v>
      </c>
      <c r="F47" s="87" t="s">
        <v>2</v>
      </c>
      <c r="G47" s="34"/>
      <c r="H47" s="57">
        <v>12.5</v>
      </c>
      <c r="I47" s="42">
        <f t="shared" si="0"/>
        <v>22.727272727272727</v>
      </c>
      <c r="J47" s="27">
        <f t="shared" si="1"/>
        <v>159.09090909090909</v>
      </c>
      <c r="K47" s="41">
        <f t="shared" si="2"/>
        <v>0.45</v>
      </c>
      <c r="L47" s="47">
        <f t="shared" si="3"/>
        <v>20.833333333333336</v>
      </c>
      <c r="M47" s="28">
        <f t="shared" si="4"/>
        <v>145.83333333333334</v>
      </c>
      <c r="N47" s="48">
        <f t="shared" si="5"/>
        <v>0.40000000000000008</v>
      </c>
      <c r="O47" s="71">
        <f t="shared" si="9"/>
        <v>18.75</v>
      </c>
      <c r="P47" s="31">
        <v>131.25</v>
      </c>
      <c r="Q47" s="37">
        <f t="shared" si="7"/>
        <v>0.33333333333333331</v>
      </c>
      <c r="R47" s="51">
        <v>159.25</v>
      </c>
      <c r="S47" s="51">
        <v>146.13</v>
      </c>
      <c r="T47" s="77"/>
      <c r="U47" s="77">
        <v>16.82</v>
      </c>
      <c r="V47" s="77"/>
      <c r="W47" s="77"/>
      <c r="X47" s="77"/>
      <c r="Y47" s="82">
        <v>153153</v>
      </c>
      <c r="AA47" s="77" t="s">
        <v>426</v>
      </c>
      <c r="AB47" s="77">
        <f>VLOOKUP(AA47,'CFN HPV'!A:L,12,FALSE)</f>
        <v>17.28</v>
      </c>
      <c r="AC47" s="136">
        <f t="shared" si="11"/>
        <v>22.727272727272727</v>
      </c>
      <c r="AD47" s="137">
        <f t="shared" si="8"/>
        <v>-5.4472727272727255</v>
      </c>
    </row>
    <row r="48" spans="1:30">
      <c r="A48" s="86" t="s">
        <v>353</v>
      </c>
      <c r="B48" s="86"/>
      <c r="C48" s="86" t="s">
        <v>245</v>
      </c>
      <c r="D48" s="86" t="s">
        <v>246</v>
      </c>
      <c r="E48" s="87">
        <v>7</v>
      </c>
      <c r="F48" s="87" t="s">
        <v>2</v>
      </c>
      <c r="G48" s="34"/>
      <c r="H48" s="57">
        <v>14.2</v>
      </c>
      <c r="I48" s="42">
        <f t="shared" si="0"/>
        <v>25.818181818181817</v>
      </c>
      <c r="J48" s="27">
        <f t="shared" si="1"/>
        <v>180.72727272727272</v>
      </c>
      <c r="K48" s="41">
        <f t="shared" si="2"/>
        <v>0.45</v>
      </c>
      <c r="L48" s="47">
        <f t="shared" si="3"/>
        <v>23.666666666666668</v>
      </c>
      <c r="M48" s="28">
        <f t="shared" si="4"/>
        <v>165.66666666666669</v>
      </c>
      <c r="N48" s="48">
        <f t="shared" si="5"/>
        <v>0.40000000000000008</v>
      </c>
      <c r="O48" s="71">
        <f t="shared" si="9"/>
        <v>21.3</v>
      </c>
      <c r="P48" s="31">
        <v>149.1</v>
      </c>
      <c r="Q48" s="37">
        <f t="shared" si="7"/>
        <v>0.33333333333333337</v>
      </c>
      <c r="R48" s="51">
        <v>180.91</v>
      </c>
      <c r="S48" s="51">
        <v>166</v>
      </c>
      <c r="T48" s="77"/>
      <c r="U48" s="77">
        <v>23.76</v>
      </c>
      <c r="V48" s="77"/>
      <c r="W48" s="77"/>
      <c r="X48" s="77"/>
      <c r="Y48" s="82">
        <v>153153</v>
      </c>
      <c r="AA48" s="77" t="s">
        <v>428</v>
      </c>
      <c r="AB48" s="77">
        <f>VLOOKUP(AA48,'CFN HPV'!A:L,12,FALSE)</f>
        <v>23.48</v>
      </c>
      <c r="AC48" s="136">
        <f t="shared" si="11"/>
        <v>25.818181818181817</v>
      </c>
      <c r="AD48" s="137">
        <f t="shared" si="8"/>
        <v>-2.3381818181818161</v>
      </c>
    </row>
    <row r="49" spans="1:30">
      <c r="A49" s="86" t="s">
        <v>353</v>
      </c>
      <c r="B49" s="86"/>
      <c r="C49" s="86" t="s">
        <v>249</v>
      </c>
      <c r="D49" s="86" t="s">
        <v>250</v>
      </c>
      <c r="E49" s="87">
        <v>10</v>
      </c>
      <c r="F49" s="87" t="s">
        <v>2</v>
      </c>
      <c r="G49" s="34"/>
      <c r="H49" s="57">
        <v>12</v>
      </c>
      <c r="I49" s="42">
        <f t="shared" si="0"/>
        <v>21.818181818181817</v>
      </c>
      <c r="J49" s="27">
        <f t="shared" si="1"/>
        <v>218.18181818181816</v>
      </c>
      <c r="K49" s="41">
        <f t="shared" si="2"/>
        <v>0.44999999999999996</v>
      </c>
      <c r="L49" s="47">
        <f t="shared" si="3"/>
        <v>20</v>
      </c>
      <c r="M49" s="28">
        <f t="shared" si="4"/>
        <v>200</v>
      </c>
      <c r="N49" s="48">
        <f t="shared" si="5"/>
        <v>0.4</v>
      </c>
      <c r="O49" s="71">
        <f t="shared" si="9"/>
        <v>18</v>
      </c>
      <c r="P49" s="31">
        <v>180</v>
      </c>
      <c r="Q49" s="37">
        <f t="shared" si="7"/>
        <v>0.33333333333333331</v>
      </c>
      <c r="R49" s="51">
        <v>218.4</v>
      </c>
      <c r="S49" s="51">
        <v>200.4</v>
      </c>
      <c r="T49" s="77"/>
      <c r="U49" s="77">
        <v>17.600000000000001</v>
      </c>
      <c r="V49" s="77"/>
      <c r="W49" s="77"/>
      <c r="X49" s="77"/>
      <c r="Y49" s="82">
        <v>153153</v>
      </c>
      <c r="AA49" s="77" t="s">
        <v>429</v>
      </c>
      <c r="AB49" s="77">
        <f>VLOOKUP(AA49,'CFN HPV'!A:L,12,FALSE)</f>
        <v>21.92</v>
      </c>
      <c r="AC49" s="136">
        <f t="shared" si="11"/>
        <v>21.818181818181817</v>
      </c>
      <c r="AD49" s="137">
        <f t="shared" si="8"/>
        <v>0.10181818181818514</v>
      </c>
    </row>
    <row r="50" spans="1:30">
      <c r="A50" s="86" t="s">
        <v>353</v>
      </c>
      <c r="B50" s="86"/>
      <c r="C50" s="86" t="s">
        <v>259</v>
      </c>
      <c r="D50" s="86" t="s">
        <v>260</v>
      </c>
      <c r="E50" s="87">
        <v>10</v>
      </c>
      <c r="F50" s="87" t="s">
        <v>2</v>
      </c>
      <c r="G50" s="34"/>
      <c r="H50" s="57">
        <v>15</v>
      </c>
      <c r="I50" s="42">
        <f t="shared" si="0"/>
        <v>27.27272727272727</v>
      </c>
      <c r="J50" s="27">
        <f t="shared" si="1"/>
        <v>272.72727272727269</v>
      </c>
      <c r="K50" s="41">
        <f t="shared" si="2"/>
        <v>0.44999999999999996</v>
      </c>
      <c r="L50" s="47">
        <f t="shared" si="3"/>
        <v>25</v>
      </c>
      <c r="M50" s="28">
        <f t="shared" si="4"/>
        <v>250</v>
      </c>
      <c r="N50" s="48">
        <f t="shared" si="5"/>
        <v>0.4</v>
      </c>
      <c r="O50" s="71">
        <f t="shared" si="9"/>
        <v>22.5</v>
      </c>
      <c r="P50" s="31">
        <v>225</v>
      </c>
      <c r="Q50" s="37">
        <f t="shared" si="7"/>
        <v>0.33333333333333331</v>
      </c>
      <c r="R50" s="51">
        <v>273</v>
      </c>
      <c r="S50" s="51">
        <v>250.5</v>
      </c>
      <c r="T50" s="77"/>
      <c r="U50" s="77">
        <v>25</v>
      </c>
      <c r="V50" s="77"/>
      <c r="W50" s="77"/>
      <c r="X50" s="77"/>
      <c r="Y50" s="82">
        <v>153153</v>
      </c>
      <c r="AA50" s="77" t="s">
        <v>430</v>
      </c>
      <c r="AB50" s="77">
        <f>VLOOKUP(AA50,'CFN HPV'!A:L,12,FALSE)</f>
        <v>26.08</v>
      </c>
      <c r="AC50" s="136">
        <f t="shared" si="11"/>
        <v>27.27272727272727</v>
      </c>
      <c r="AD50" s="137">
        <f t="shared" si="8"/>
        <v>-1.1927272727272715</v>
      </c>
    </row>
    <row r="51" spans="1:30">
      <c r="A51" s="86" t="s">
        <v>353</v>
      </c>
      <c r="B51" s="86"/>
      <c r="C51" s="86" t="s">
        <v>275</v>
      </c>
      <c r="D51" s="86" t="s">
        <v>276</v>
      </c>
      <c r="E51" s="87">
        <v>10</v>
      </c>
      <c r="F51" s="87" t="s">
        <v>2</v>
      </c>
      <c r="G51" s="34"/>
      <c r="H51" s="57">
        <v>12.8</v>
      </c>
      <c r="I51" s="42">
        <f t="shared" si="0"/>
        <v>23.272727272727273</v>
      </c>
      <c r="J51" s="27">
        <f t="shared" si="1"/>
        <v>232.72727272727275</v>
      </c>
      <c r="K51" s="41">
        <f t="shared" si="2"/>
        <v>0.45</v>
      </c>
      <c r="L51" s="47">
        <f t="shared" si="3"/>
        <v>21.333333333333336</v>
      </c>
      <c r="M51" s="28">
        <f t="shared" si="4"/>
        <v>213.33333333333337</v>
      </c>
      <c r="N51" s="48">
        <f t="shared" si="5"/>
        <v>0.4</v>
      </c>
      <c r="O51" s="71">
        <f t="shared" si="9"/>
        <v>19.2</v>
      </c>
      <c r="P51" s="71">
        <v>192</v>
      </c>
      <c r="Q51" s="37">
        <f t="shared" si="7"/>
        <v>0.33333333333333326</v>
      </c>
      <c r="R51" s="51">
        <v>232.96</v>
      </c>
      <c r="S51" s="51">
        <v>213.76</v>
      </c>
      <c r="T51" s="77"/>
      <c r="U51" s="77"/>
      <c r="V51" s="77"/>
      <c r="W51" s="77"/>
      <c r="X51" s="77"/>
      <c r="Y51" s="82">
        <v>153153</v>
      </c>
      <c r="AA51" s="77" t="s">
        <v>419</v>
      </c>
      <c r="AB51" s="77">
        <f>VLOOKUP(AA51,'CFN HPV'!A:L,12,FALSE)</f>
        <v>31.94</v>
      </c>
      <c r="AC51" s="136">
        <f t="shared" si="11"/>
        <v>23.272727272727273</v>
      </c>
      <c r="AD51" s="137">
        <f t="shared" si="8"/>
        <v>8.6672727272727279</v>
      </c>
    </row>
    <row r="52" spans="1:30">
      <c r="A52" s="86" t="s">
        <v>353</v>
      </c>
      <c r="B52" s="86"/>
      <c r="C52" s="86" t="s">
        <v>287</v>
      </c>
      <c r="D52" s="86" t="s">
        <v>288</v>
      </c>
      <c r="E52" s="87">
        <v>20</v>
      </c>
      <c r="F52" s="87" t="s">
        <v>2</v>
      </c>
      <c r="G52" s="34"/>
      <c r="H52" s="57">
        <v>5.04</v>
      </c>
      <c r="I52" s="42">
        <f t="shared" si="0"/>
        <v>9.1636363636363622</v>
      </c>
      <c r="J52" s="27">
        <f t="shared" si="1"/>
        <v>183.27272727272725</v>
      </c>
      <c r="K52" s="41">
        <f t="shared" si="2"/>
        <v>0.4499999999999999</v>
      </c>
      <c r="L52" s="47">
        <f t="shared" si="3"/>
        <v>8.4</v>
      </c>
      <c r="M52" s="28">
        <f t="shared" si="4"/>
        <v>168</v>
      </c>
      <c r="N52" s="48">
        <f t="shared" si="5"/>
        <v>0.4</v>
      </c>
      <c r="O52" s="71">
        <f t="shared" si="9"/>
        <v>7.56</v>
      </c>
      <c r="P52" s="71">
        <v>151.19999999999999</v>
      </c>
      <c r="Q52" s="37">
        <f t="shared" si="7"/>
        <v>0.33333333333333331</v>
      </c>
      <c r="R52" s="51">
        <v>183.46</v>
      </c>
      <c r="S52" s="51">
        <v>168.34</v>
      </c>
      <c r="T52" s="77"/>
      <c r="U52" s="77"/>
      <c r="V52" s="77"/>
      <c r="W52" s="77"/>
      <c r="X52" s="77"/>
      <c r="Y52" s="82">
        <v>153153</v>
      </c>
      <c r="AA52" s="77"/>
      <c r="AB52" s="77"/>
      <c r="AC52" s="136"/>
      <c r="AD52" s="137"/>
    </row>
    <row r="53" spans="1:30">
      <c r="A53" s="86" t="s">
        <v>353</v>
      </c>
      <c r="B53" s="86"/>
      <c r="C53" s="86" t="s">
        <v>291</v>
      </c>
      <c r="D53" s="86" t="s">
        <v>292</v>
      </c>
      <c r="E53" s="87">
        <v>30</v>
      </c>
      <c r="F53" s="87" t="s">
        <v>2</v>
      </c>
      <c r="G53" s="34"/>
      <c r="H53" s="57">
        <v>1.22</v>
      </c>
      <c r="I53" s="42">
        <f t="shared" si="0"/>
        <v>2.2181818181818178</v>
      </c>
      <c r="J53" s="27">
        <f t="shared" si="1"/>
        <v>66.545454545454533</v>
      </c>
      <c r="K53" s="41">
        <f t="shared" si="2"/>
        <v>0.4499999999999999</v>
      </c>
      <c r="L53" s="47">
        <f t="shared" si="3"/>
        <v>2.0333333333333332</v>
      </c>
      <c r="M53" s="28">
        <f t="shared" si="4"/>
        <v>61</v>
      </c>
      <c r="N53" s="48">
        <f t="shared" si="5"/>
        <v>0.39999999999999997</v>
      </c>
      <c r="O53" s="71">
        <f t="shared" si="9"/>
        <v>1.8299999999999998</v>
      </c>
      <c r="P53" s="71">
        <v>54.9</v>
      </c>
      <c r="Q53" s="37">
        <f t="shared" si="7"/>
        <v>0.33333333333333331</v>
      </c>
      <c r="R53" s="64">
        <v>66.61</v>
      </c>
      <c r="S53" s="51">
        <v>61.12</v>
      </c>
      <c r="T53" s="77"/>
      <c r="U53" s="77"/>
      <c r="V53" s="77"/>
      <c r="W53" s="77"/>
      <c r="X53" s="77"/>
      <c r="Y53" s="82">
        <v>153153</v>
      </c>
      <c r="AA53" s="77" t="s">
        <v>394</v>
      </c>
      <c r="AB53" s="77">
        <f>VLOOKUP(AA53,'CFN HPV'!A:L,12,FALSE)</f>
        <v>1.99</v>
      </c>
      <c r="AC53" s="136">
        <f>I53</f>
        <v>2.2181818181818178</v>
      </c>
      <c r="AD53" s="137">
        <f t="shared" si="8"/>
        <v>-0.22818181818181782</v>
      </c>
    </row>
    <row r="54" spans="1:30">
      <c r="A54" s="86" t="s">
        <v>353</v>
      </c>
      <c r="B54" s="86"/>
      <c r="C54" s="86" t="s">
        <v>293</v>
      </c>
      <c r="D54" s="86" t="s">
        <v>294</v>
      </c>
      <c r="E54" s="87">
        <v>25</v>
      </c>
      <c r="F54" s="87" t="s">
        <v>2</v>
      </c>
      <c r="G54" s="34"/>
      <c r="H54" s="57">
        <v>1.49</v>
      </c>
      <c r="I54" s="42">
        <f t="shared" si="0"/>
        <v>2.709090909090909</v>
      </c>
      <c r="J54" s="27">
        <f t="shared" si="1"/>
        <v>67.72727272727272</v>
      </c>
      <c r="K54" s="41">
        <f t="shared" si="2"/>
        <v>0.45</v>
      </c>
      <c r="L54" s="47">
        <f t="shared" si="3"/>
        <v>2.4833333333333334</v>
      </c>
      <c r="M54" s="28">
        <f t="shared" si="4"/>
        <v>62.083333333333336</v>
      </c>
      <c r="N54" s="48">
        <f t="shared" si="5"/>
        <v>0.4</v>
      </c>
      <c r="O54" s="71">
        <f t="shared" si="9"/>
        <v>2.2352000000000003</v>
      </c>
      <c r="P54" s="71">
        <v>55.88</v>
      </c>
      <c r="Q54" s="37">
        <f t="shared" si="7"/>
        <v>0.33339298496778819</v>
      </c>
      <c r="R54" s="64">
        <v>67.8</v>
      </c>
      <c r="S54" s="51">
        <v>62.21</v>
      </c>
      <c r="T54" s="77"/>
      <c r="U54" s="77"/>
      <c r="V54" s="77"/>
      <c r="W54" s="77"/>
      <c r="X54" s="77"/>
      <c r="Y54" s="82">
        <v>153153</v>
      </c>
      <c r="AA54" s="77" t="s">
        <v>395</v>
      </c>
      <c r="AB54" s="77">
        <f>VLOOKUP(AA54,'CFN HPV'!A:L,12,FALSE)</f>
        <v>2.79</v>
      </c>
      <c r="AC54" s="136">
        <f>I54</f>
        <v>2.709090909090909</v>
      </c>
      <c r="AD54" s="137">
        <f t="shared" si="8"/>
        <v>8.0909090909091042E-2</v>
      </c>
    </row>
    <row r="55" spans="1:30">
      <c r="A55" s="86" t="s">
        <v>353</v>
      </c>
      <c r="B55" s="86"/>
      <c r="C55" s="86" t="s">
        <v>295</v>
      </c>
      <c r="D55" s="86" t="s">
        <v>296</v>
      </c>
      <c r="E55" s="87">
        <v>25</v>
      </c>
      <c r="F55" s="87" t="s">
        <v>2</v>
      </c>
      <c r="G55" s="34"/>
      <c r="H55" s="57">
        <v>1.71</v>
      </c>
      <c r="I55" s="42">
        <f t="shared" si="0"/>
        <v>3.1090909090909089</v>
      </c>
      <c r="J55" s="27">
        <f t="shared" si="1"/>
        <v>77.72727272727272</v>
      </c>
      <c r="K55" s="41">
        <f t="shared" si="2"/>
        <v>0.44999999999999996</v>
      </c>
      <c r="L55" s="47">
        <f t="shared" si="3"/>
        <v>2.85</v>
      </c>
      <c r="M55" s="28">
        <f t="shared" si="4"/>
        <v>71.25</v>
      </c>
      <c r="N55" s="48">
        <f t="shared" si="5"/>
        <v>0.4</v>
      </c>
      <c r="O55" s="71">
        <f t="shared" si="9"/>
        <v>2.5651999999999999</v>
      </c>
      <c r="P55" s="31">
        <v>64.13</v>
      </c>
      <c r="Q55" s="37">
        <f t="shared" si="7"/>
        <v>0.33338531108685482</v>
      </c>
      <c r="R55" s="64">
        <v>77.81</v>
      </c>
      <c r="S55" s="51">
        <v>71.39</v>
      </c>
      <c r="T55" s="77"/>
      <c r="U55" s="77"/>
      <c r="V55" s="77"/>
      <c r="W55" s="77">
        <v>2.2799999999999998</v>
      </c>
      <c r="X55" s="77"/>
      <c r="Y55" s="82">
        <v>153153</v>
      </c>
      <c r="AA55" s="77"/>
      <c r="AB55" s="77"/>
      <c r="AC55" s="136"/>
      <c r="AD55" s="137"/>
    </row>
    <row r="56" spans="1:30">
      <c r="A56" s="86" t="s">
        <v>353</v>
      </c>
      <c r="B56" s="86"/>
      <c r="C56" s="86" t="s">
        <v>297</v>
      </c>
      <c r="D56" s="86" t="s">
        <v>298</v>
      </c>
      <c r="E56" s="87">
        <v>20</v>
      </c>
      <c r="F56" s="87" t="s">
        <v>2</v>
      </c>
      <c r="G56" s="34"/>
      <c r="H56" s="57">
        <v>2.2000000000000002</v>
      </c>
      <c r="I56" s="42">
        <f t="shared" si="0"/>
        <v>4</v>
      </c>
      <c r="J56" s="27">
        <f t="shared" si="1"/>
        <v>80</v>
      </c>
      <c r="K56" s="41">
        <f t="shared" si="2"/>
        <v>0.44999999999999996</v>
      </c>
      <c r="L56" s="47">
        <f t="shared" si="3"/>
        <v>3.666666666666667</v>
      </c>
      <c r="M56" s="28">
        <f t="shared" si="4"/>
        <v>73.333333333333343</v>
      </c>
      <c r="N56" s="48">
        <f t="shared" si="5"/>
        <v>0.4</v>
      </c>
      <c r="O56" s="71">
        <f t="shared" si="9"/>
        <v>3.3</v>
      </c>
      <c r="P56" s="71">
        <v>66</v>
      </c>
      <c r="Q56" s="37">
        <f t="shared" si="7"/>
        <v>0.33333333333333326</v>
      </c>
      <c r="R56" s="51">
        <v>80.08</v>
      </c>
      <c r="S56" s="51">
        <v>73.48</v>
      </c>
      <c r="T56" s="77"/>
      <c r="U56" s="77"/>
      <c r="V56" s="77"/>
      <c r="W56" s="77"/>
      <c r="X56" s="77"/>
      <c r="Y56" s="82">
        <v>153153</v>
      </c>
      <c r="AA56" s="77" t="s">
        <v>396</v>
      </c>
      <c r="AB56" s="77">
        <f>VLOOKUP(AA56,'CFN HPV'!A:L,12,FALSE)</f>
        <v>3.2</v>
      </c>
      <c r="AC56" s="136">
        <f>I56</f>
        <v>4</v>
      </c>
      <c r="AD56" s="137">
        <f t="shared" si="8"/>
        <v>-0.79999999999999982</v>
      </c>
    </row>
    <row r="57" spans="1:30">
      <c r="A57" s="86" t="s">
        <v>353</v>
      </c>
      <c r="B57" s="86"/>
      <c r="C57" s="86" t="s">
        <v>299</v>
      </c>
      <c r="D57" s="86" t="s">
        <v>300</v>
      </c>
      <c r="E57" s="87">
        <v>20</v>
      </c>
      <c r="F57" s="87" t="s">
        <v>2</v>
      </c>
      <c r="G57" s="34"/>
      <c r="H57" s="57">
        <v>2.6</v>
      </c>
      <c r="I57" s="42">
        <f t="shared" si="0"/>
        <v>4.7272727272727266</v>
      </c>
      <c r="J57" s="27">
        <f t="shared" si="1"/>
        <v>94.545454545454533</v>
      </c>
      <c r="K57" s="41">
        <f t="shared" si="2"/>
        <v>0.4499999999999999</v>
      </c>
      <c r="L57" s="47">
        <f t="shared" si="3"/>
        <v>4.3333333333333339</v>
      </c>
      <c r="M57" s="28">
        <f t="shared" si="4"/>
        <v>86.666666666666686</v>
      </c>
      <c r="N57" s="48">
        <f t="shared" si="5"/>
        <v>0.40000000000000008</v>
      </c>
      <c r="O57" s="71">
        <f t="shared" si="9"/>
        <v>3.9</v>
      </c>
      <c r="P57" s="71">
        <v>78</v>
      </c>
      <c r="Q57" s="37">
        <f t="shared" si="7"/>
        <v>0.33333333333333331</v>
      </c>
      <c r="R57" s="51">
        <v>94.64</v>
      </c>
      <c r="S57" s="51">
        <v>86.84</v>
      </c>
      <c r="T57" s="77"/>
      <c r="U57" s="77"/>
      <c r="V57" s="77"/>
      <c r="W57" s="77">
        <v>3.7</v>
      </c>
      <c r="X57" s="77"/>
      <c r="Y57" s="82">
        <v>153153</v>
      </c>
      <c r="AA57" s="77" t="s">
        <v>397</v>
      </c>
      <c r="AB57" s="77">
        <f>VLOOKUP(AA57,'CFN HPV'!A:L,12,FALSE)</f>
        <v>3.86</v>
      </c>
      <c r="AC57" s="136">
        <f>I57</f>
        <v>4.7272727272727266</v>
      </c>
      <c r="AD57" s="137">
        <f t="shared" si="8"/>
        <v>-0.86727272727272675</v>
      </c>
    </row>
    <row r="58" spans="1:30">
      <c r="A58" s="86" t="s">
        <v>353</v>
      </c>
      <c r="B58" s="86"/>
      <c r="C58" s="86" t="s">
        <v>315</v>
      </c>
      <c r="D58" s="86" t="s">
        <v>316</v>
      </c>
      <c r="E58" s="87">
        <v>8</v>
      </c>
      <c r="F58" s="87" t="s">
        <v>2</v>
      </c>
      <c r="G58" s="34"/>
      <c r="H58" s="57">
        <v>23.09</v>
      </c>
      <c r="I58" s="42">
        <f t="shared" si="0"/>
        <v>41.981818181818177</v>
      </c>
      <c r="J58" s="27">
        <f t="shared" si="1"/>
        <v>335.85454545454542</v>
      </c>
      <c r="K58" s="41">
        <f t="shared" si="2"/>
        <v>0.44999999999999996</v>
      </c>
      <c r="L58" s="47">
        <f t="shared" si="3"/>
        <v>38.483333333333334</v>
      </c>
      <c r="M58" s="28">
        <f t="shared" si="4"/>
        <v>307.86666666666667</v>
      </c>
      <c r="N58" s="48">
        <f t="shared" si="5"/>
        <v>0.4</v>
      </c>
      <c r="O58" s="71">
        <f t="shared" si="9"/>
        <v>34.634999999999998</v>
      </c>
      <c r="P58" s="71">
        <v>277.08</v>
      </c>
      <c r="Q58" s="37">
        <f t="shared" si="7"/>
        <v>0.33333333333333331</v>
      </c>
      <c r="R58" s="64">
        <v>336.19</v>
      </c>
      <c r="S58" s="51">
        <v>308.48</v>
      </c>
      <c r="T58" s="77">
        <v>43.76</v>
      </c>
      <c r="U58" s="77"/>
      <c r="V58" s="77"/>
      <c r="W58" s="77"/>
      <c r="X58" s="77"/>
      <c r="Y58" s="82">
        <v>153153</v>
      </c>
      <c r="AA58" s="77" t="s">
        <v>414</v>
      </c>
      <c r="AB58" s="77">
        <f>VLOOKUP(AA58,'CFN HPV'!A:L,12,FALSE)</f>
        <v>17.5</v>
      </c>
      <c r="AC58" s="136">
        <f>I58</f>
        <v>41.981818181818177</v>
      </c>
      <c r="AD58" s="137">
        <f t="shared" si="8"/>
        <v>-24.481818181818177</v>
      </c>
    </row>
    <row r="59" spans="1:30">
      <c r="A59" s="86" t="s">
        <v>353</v>
      </c>
      <c r="B59" s="86"/>
      <c r="C59" s="86" t="s">
        <v>330</v>
      </c>
      <c r="D59" s="86" t="s">
        <v>331</v>
      </c>
      <c r="E59" s="87">
        <v>8</v>
      </c>
      <c r="F59" s="87" t="s">
        <v>2</v>
      </c>
      <c r="G59" s="34"/>
      <c r="H59" s="57">
        <v>15.6</v>
      </c>
      <c r="I59" s="42">
        <f t="shared" si="0"/>
        <v>28.36363636363636</v>
      </c>
      <c r="J59" s="27">
        <f t="shared" si="1"/>
        <v>226.90909090909088</v>
      </c>
      <c r="K59" s="41">
        <f t="shared" si="2"/>
        <v>0.44999999999999996</v>
      </c>
      <c r="L59" s="47">
        <f t="shared" si="3"/>
        <v>26</v>
      </c>
      <c r="M59" s="28">
        <f t="shared" si="4"/>
        <v>208</v>
      </c>
      <c r="N59" s="48">
        <f t="shared" si="5"/>
        <v>0.4</v>
      </c>
      <c r="O59" s="71">
        <f t="shared" si="9"/>
        <v>23.4</v>
      </c>
      <c r="P59" s="31">
        <v>187.2</v>
      </c>
      <c r="Q59" s="37">
        <f t="shared" si="7"/>
        <v>0.33333333333333331</v>
      </c>
      <c r="R59" s="64">
        <v>227.14</v>
      </c>
      <c r="S59" s="51">
        <v>208.42</v>
      </c>
      <c r="T59" s="77"/>
      <c r="U59" s="77"/>
      <c r="V59" s="77"/>
      <c r="W59" s="77">
        <v>23.95</v>
      </c>
      <c r="X59" s="77"/>
      <c r="Y59" s="82">
        <v>153153</v>
      </c>
      <c r="AA59" s="77" t="s">
        <v>411</v>
      </c>
      <c r="AB59" s="77">
        <f>VLOOKUP(AA59,'CFN HPV'!A:L,12,FALSE)</f>
        <v>31.7</v>
      </c>
      <c r="AC59" s="136">
        <f>I59</f>
        <v>28.36363636363636</v>
      </c>
      <c r="AD59" s="137">
        <f t="shared" si="8"/>
        <v>3.3363636363636395</v>
      </c>
    </row>
    <row r="60" spans="1:30">
      <c r="A60" s="86" t="s">
        <v>353</v>
      </c>
      <c r="B60" s="86"/>
      <c r="C60" s="86" t="s">
        <v>332</v>
      </c>
      <c r="D60" s="86" t="s">
        <v>333</v>
      </c>
      <c r="E60" s="87">
        <v>7</v>
      </c>
      <c r="F60" s="87" t="s">
        <v>2</v>
      </c>
      <c r="G60" s="34"/>
      <c r="H60" s="57">
        <v>15.86</v>
      </c>
      <c r="I60" s="42">
        <f t="shared" si="0"/>
        <v>28.836363636363632</v>
      </c>
      <c r="J60" s="27">
        <f t="shared" si="1"/>
        <v>201.85454545454542</v>
      </c>
      <c r="K60" s="41">
        <f t="shared" si="2"/>
        <v>0.44999999999999996</v>
      </c>
      <c r="L60" s="47">
        <f t="shared" si="3"/>
        <v>26.433333333333334</v>
      </c>
      <c r="M60" s="28">
        <f t="shared" si="4"/>
        <v>185.03333333333333</v>
      </c>
      <c r="N60" s="48">
        <f t="shared" si="5"/>
        <v>0.4</v>
      </c>
      <c r="O60" s="71">
        <f t="shared" si="9"/>
        <v>23.79</v>
      </c>
      <c r="P60" s="31">
        <v>166.53</v>
      </c>
      <c r="Q60" s="37">
        <f t="shared" si="7"/>
        <v>0.33333333333333331</v>
      </c>
      <c r="R60" s="64">
        <v>202.06</v>
      </c>
      <c r="S60" s="51">
        <v>185.4</v>
      </c>
      <c r="T60" s="77"/>
      <c r="U60" s="77">
        <v>27.39</v>
      </c>
      <c r="V60" s="77"/>
      <c r="W60" s="77"/>
      <c r="X60" s="77"/>
      <c r="Y60" s="82">
        <v>153153</v>
      </c>
      <c r="AA60" s="77" t="s">
        <v>436</v>
      </c>
      <c r="AB60" s="77">
        <f>VLOOKUP(AA60,'CFN HPV'!A:L,12,FALSE)</f>
        <v>21.54</v>
      </c>
      <c r="AC60" s="136">
        <f>I60</f>
        <v>28.836363636363632</v>
      </c>
      <c r="AD60" s="137">
        <f t="shared" si="8"/>
        <v>-7.2963636363636333</v>
      </c>
    </row>
    <row r="61" spans="1:30">
      <c r="A61" s="100" t="s">
        <v>370</v>
      </c>
      <c r="B61" s="100"/>
      <c r="C61" s="100" t="s">
        <v>334</v>
      </c>
      <c r="D61" s="100" t="s">
        <v>335</v>
      </c>
      <c r="E61" s="101">
        <v>8</v>
      </c>
      <c r="F61" s="101" t="s">
        <v>2</v>
      </c>
      <c r="G61" s="34"/>
      <c r="H61" s="57">
        <v>25.21</v>
      </c>
      <c r="I61" s="42">
        <f>J61/E61</f>
        <v>45.875</v>
      </c>
      <c r="J61" s="27">
        <f>R61</f>
        <v>367</v>
      </c>
      <c r="K61" s="41">
        <f t="shared" si="2"/>
        <v>0.45046321525885558</v>
      </c>
      <c r="L61" s="47">
        <f>M61/E61</f>
        <v>42.10125</v>
      </c>
      <c r="M61" s="28">
        <f>S61</f>
        <v>336.81</v>
      </c>
      <c r="N61" s="48">
        <f t="shared" si="5"/>
        <v>0.40120542739229831</v>
      </c>
      <c r="O61" s="71"/>
      <c r="P61" s="71"/>
      <c r="Q61" s="37"/>
      <c r="R61" s="51">
        <v>367</v>
      </c>
      <c r="S61" s="61">
        <v>336.81</v>
      </c>
      <c r="T61" s="77"/>
      <c r="U61" s="77"/>
      <c r="V61" s="77"/>
      <c r="W61" s="77"/>
      <c r="X61" s="77"/>
      <c r="Y61" s="82">
        <v>153153</v>
      </c>
      <c r="AA61" s="77"/>
      <c r="AB61" s="77"/>
      <c r="AC61" s="136"/>
      <c r="AD61" s="137"/>
    </row>
    <row r="62" spans="1:30">
      <c r="A62" s="100" t="s">
        <v>370</v>
      </c>
      <c r="B62" s="100"/>
      <c r="C62" s="100" t="s">
        <v>336</v>
      </c>
      <c r="D62" s="100" t="s">
        <v>337</v>
      </c>
      <c r="E62" s="101">
        <v>12</v>
      </c>
      <c r="F62" s="101" t="s">
        <v>2</v>
      </c>
      <c r="G62" s="34"/>
      <c r="H62" s="57">
        <v>20.58</v>
      </c>
      <c r="I62" s="42">
        <f>J62/E62</f>
        <v>37.455833333333338</v>
      </c>
      <c r="J62" s="27">
        <f>R62</f>
        <v>449.47</v>
      </c>
      <c r="K62" s="41">
        <f t="shared" si="2"/>
        <v>0.45055287338420819</v>
      </c>
      <c r="L62" s="47">
        <f>M62/E62</f>
        <v>34.368333333333332</v>
      </c>
      <c r="M62" s="28">
        <f>S62</f>
        <v>412.42</v>
      </c>
      <c r="N62" s="48">
        <f t="shared" si="5"/>
        <v>0.40119295863440185</v>
      </c>
      <c r="O62" s="71"/>
      <c r="P62" s="71"/>
      <c r="Q62" s="37"/>
      <c r="R62" s="51">
        <v>449.47</v>
      </c>
      <c r="S62" s="61">
        <v>412.42</v>
      </c>
      <c r="T62" s="77"/>
      <c r="U62" s="77"/>
      <c r="V62" s="77"/>
      <c r="W62" s="77"/>
      <c r="X62" s="77"/>
      <c r="Y62" s="82">
        <v>153153</v>
      </c>
      <c r="AA62" s="77"/>
      <c r="AB62" s="77"/>
      <c r="AC62" s="136"/>
      <c r="AD62" s="137"/>
    </row>
    <row r="63" spans="1:30">
      <c r="A63" s="100" t="s">
        <v>370</v>
      </c>
      <c r="B63" s="100"/>
      <c r="C63" s="100" t="s">
        <v>338</v>
      </c>
      <c r="D63" s="100" t="s">
        <v>339</v>
      </c>
      <c r="E63" s="101">
        <v>8</v>
      </c>
      <c r="F63" s="101" t="s">
        <v>2</v>
      </c>
      <c r="G63" s="34"/>
      <c r="H63" s="57">
        <v>24.7</v>
      </c>
      <c r="I63" s="42">
        <f>J63/E63</f>
        <v>44.953749999999999</v>
      </c>
      <c r="J63" s="27">
        <f>R63</f>
        <v>359.63</v>
      </c>
      <c r="K63" s="41">
        <f t="shared" si="2"/>
        <v>0.4505463949058755</v>
      </c>
      <c r="L63" s="47">
        <f>M63/E63</f>
        <v>41.248750000000001</v>
      </c>
      <c r="M63" s="28">
        <f>S63</f>
        <v>329.99</v>
      </c>
      <c r="N63" s="48">
        <f t="shared" si="5"/>
        <v>0.40119397557501746</v>
      </c>
      <c r="O63" s="71"/>
      <c r="P63" s="71"/>
      <c r="Q63" s="37"/>
      <c r="R63" s="51">
        <v>359.63</v>
      </c>
      <c r="S63" s="61">
        <v>329.99</v>
      </c>
      <c r="T63" s="77"/>
      <c r="U63" s="77"/>
      <c r="V63" s="77"/>
      <c r="W63" s="77"/>
      <c r="X63" s="77"/>
      <c r="Y63" s="82">
        <v>153153</v>
      </c>
      <c r="AA63" s="77"/>
      <c r="AB63" s="77"/>
      <c r="AC63" s="136"/>
      <c r="AD63" s="137"/>
    </row>
    <row r="64" spans="1:30">
      <c r="A64" s="100" t="s">
        <v>370</v>
      </c>
      <c r="B64" s="100"/>
      <c r="C64" s="100" t="s">
        <v>340</v>
      </c>
      <c r="D64" s="100" t="s">
        <v>341</v>
      </c>
      <c r="E64" s="101">
        <v>12</v>
      </c>
      <c r="F64" s="101" t="s">
        <v>2</v>
      </c>
      <c r="G64" s="34"/>
      <c r="H64" s="57">
        <v>13.79</v>
      </c>
      <c r="I64" s="42">
        <f>J64/E64</f>
        <v>25.0975</v>
      </c>
      <c r="J64" s="27">
        <f>R64</f>
        <v>301.17</v>
      </c>
      <c r="K64" s="41">
        <f t="shared" si="2"/>
        <v>0.4505428827572468</v>
      </c>
      <c r="L64" s="47">
        <f>M64/E64</f>
        <v>23.029166666666669</v>
      </c>
      <c r="M64" s="28">
        <f>S64</f>
        <v>276.35000000000002</v>
      </c>
      <c r="N64" s="48">
        <f t="shared" si="5"/>
        <v>0.40119413786864494</v>
      </c>
      <c r="O64" s="71"/>
      <c r="P64" s="71"/>
      <c r="Q64" s="37"/>
      <c r="R64" s="51">
        <v>301.17</v>
      </c>
      <c r="S64" s="61">
        <v>276.35000000000002</v>
      </c>
      <c r="T64" s="77"/>
      <c r="U64" s="77"/>
      <c r="V64" s="77"/>
      <c r="W64" s="77"/>
      <c r="X64" s="77"/>
      <c r="Y64" s="82">
        <v>153153</v>
      </c>
      <c r="AA64" s="77"/>
      <c r="AB64" s="77"/>
      <c r="AC64" s="136"/>
      <c r="AD64" s="137"/>
    </row>
    <row r="65" spans="1:30" s="10" customFormat="1">
      <c r="A65" s="100" t="s">
        <v>370</v>
      </c>
      <c r="B65" s="100"/>
      <c r="C65" s="100" t="s">
        <v>342</v>
      </c>
      <c r="D65" s="100" t="s">
        <v>343</v>
      </c>
      <c r="E65" s="101">
        <v>4</v>
      </c>
      <c r="F65" s="101" t="s">
        <v>2</v>
      </c>
      <c r="G65" s="34"/>
      <c r="H65" s="57">
        <v>41.5</v>
      </c>
      <c r="I65" s="42">
        <f>J65/E65</f>
        <v>72</v>
      </c>
      <c r="J65" s="27">
        <f>R65</f>
        <v>288</v>
      </c>
      <c r="K65" s="41">
        <f t="shared" si="2"/>
        <v>0.4236111111111111</v>
      </c>
      <c r="L65" s="47">
        <f>M65/E65</f>
        <v>69.305000000000007</v>
      </c>
      <c r="M65" s="28">
        <f>S65</f>
        <v>277.22000000000003</v>
      </c>
      <c r="N65" s="48">
        <f t="shared" si="5"/>
        <v>0.40119760479041922</v>
      </c>
      <c r="O65" s="71"/>
      <c r="P65" s="71"/>
      <c r="Q65" s="37"/>
      <c r="R65" s="51">
        <v>288</v>
      </c>
      <c r="S65" s="51">
        <v>277.22000000000003</v>
      </c>
      <c r="T65" s="77"/>
      <c r="U65" s="77"/>
      <c r="V65" s="77"/>
      <c r="W65" s="77"/>
      <c r="X65" s="77"/>
      <c r="Y65" s="82">
        <v>153153</v>
      </c>
      <c r="AA65" s="77"/>
      <c r="AB65" s="77"/>
      <c r="AC65" s="136"/>
      <c r="AD65" s="137"/>
    </row>
    <row r="66" spans="1:30">
      <c r="A66" s="86" t="s">
        <v>353</v>
      </c>
      <c r="B66" s="86"/>
      <c r="C66" s="86" t="s">
        <v>147</v>
      </c>
      <c r="D66" s="86" t="s">
        <v>148</v>
      </c>
      <c r="E66" s="87">
        <v>100</v>
      </c>
      <c r="F66" s="87" t="s">
        <v>2</v>
      </c>
      <c r="G66" s="34"/>
      <c r="H66" s="57"/>
      <c r="I66" s="42"/>
      <c r="J66" s="65"/>
      <c r="K66" s="41"/>
      <c r="L66" s="47"/>
      <c r="M66" s="68"/>
      <c r="N66" s="48"/>
      <c r="O66" s="71"/>
      <c r="P66" s="71"/>
      <c r="Q66" s="36"/>
      <c r="R66" s="35" t="s">
        <v>3</v>
      </c>
      <c r="S66" s="35" t="s">
        <v>3</v>
      </c>
      <c r="T66" s="77"/>
      <c r="U66" s="77"/>
      <c r="V66" s="77"/>
      <c r="W66" s="77"/>
      <c r="X66" s="77"/>
      <c r="Y66" s="82">
        <v>153153</v>
      </c>
      <c r="AA66" s="77"/>
      <c r="AB66" s="77"/>
      <c r="AC66" s="136"/>
      <c r="AD66" s="137"/>
    </row>
    <row r="67" spans="1:30">
      <c r="A67" s="86" t="s">
        <v>353</v>
      </c>
      <c r="B67" s="86"/>
      <c r="C67" s="86" t="s">
        <v>149</v>
      </c>
      <c r="D67" s="86" t="s">
        <v>150</v>
      </c>
      <c r="E67" s="87">
        <v>100</v>
      </c>
      <c r="F67" s="87" t="s">
        <v>2</v>
      </c>
      <c r="G67" s="34"/>
      <c r="H67" s="57"/>
      <c r="I67" s="42"/>
      <c r="J67" s="65"/>
      <c r="K67" s="41"/>
      <c r="L67" s="47"/>
      <c r="M67" s="68"/>
      <c r="N67" s="48"/>
      <c r="O67" s="71"/>
      <c r="P67" s="71"/>
      <c r="Q67" s="36"/>
      <c r="R67" s="35" t="s">
        <v>3</v>
      </c>
      <c r="S67" s="35" t="s">
        <v>3</v>
      </c>
      <c r="T67" s="77"/>
      <c r="U67" s="77"/>
      <c r="V67" s="77"/>
      <c r="W67" s="77"/>
      <c r="X67" s="77"/>
      <c r="Y67" s="82">
        <v>153153</v>
      </c>
      <c r="AA67" s="77"/>
      <c r="AB67" s="77"/>
      <c r="AC67" s="136"/>
      <c r="AD67" s="137"/>
    </row>
    <row r="68" spans="1:30">
      <c r="A68" s="86" t="s">
        <v>353</v>
      </c>
      <c r="B68" s="86"/>
      <c r="C68" s="86" t="s">
        <v>151</v>
      </c>
      <c r="D68" s="86" t="s">
        <v>152</v>
      </c>
      <c r="E68" s="87">
        <v>50</v>
      </c>
      <c r="F68" s="87" t="s">
        <v>2</v>
      </c>
      <c r="G68" s="34"/>
      <c r="H68" s="57"/>
      <c r="I68" s="42"/>
      <c r="J68" s="65"/>
      <c r="K68" s="41"/>
      <c r="L68" s="47"/>
      <c r="M68" s="68"/>
      <c r="N68" s="48"/>
      <c r="O68" s="71"/>
      <c r="P68" s="71"/>
      <c r="Q68" s="36"/>
      <c r="R68" s="35" t="s">
        <v>3</v>
      </c>
      <c r="S68" s="35" t="s">
        <v>3</v>
      </c>
      <c r="T68" s="77"/>
      <c r="U68" s="77"/>
      <c r="V68" s="77"/>
      <c r="W68" s="77"/>
      <c r="X68" s="77"/>
      <c r="Y68" s="82">
        <v>153153</v>
      </c>
      <c r="AA68" s="77"/>
      <c r="AB68" s="77"/>
      <c r="AC68" s="136"/>
      <c r="AD68" s="137"/>
    </row>
    <row r="69" spans="1:30">
      <c r="A69" s="86" t="s">
        <v>353</v>
      </c>
      <c r="B69" s="86"/>
      <c r="C69" s="86" t="s">
        <v>153</v>
      </c>
      <c r="D69" s="86" t="s">
        <v>154</v>
      </c>
      <c r="E69" s="87">
        <v>45</v>
      </c>
      <c r="F69" s="87" t="s">
        <v>2</v>
      </c>
      <c r="G69" s="34"/>
      <c r="H69" s="57"/>
      <c r="I69" s="42"/>
      <c r="J69" s="65"/>
      <c r="K69" s="41"/>
      <c r="L69" s="47"/>
      <c r="M69" s="68"/>
      <c r="N69" s="48"/>
      <c r="O69" s="71"/>
      <c r="P69" s="71"/>
      <c r="Q69" s="36"/>
      <c r="R69" s="35" t="s">
        <v>3</v>
      </c>
      <c r="S69" s="35" t="s">
        <v>3</v>
      </c>
      <c r="T69" s="77"/>
      <c r="U69" s="77"/>
      <c r="V69" s="77"/>
      <c r="W69" s="77"/>
      <c r="X69" s="77"/>
      <c r="Y69" s="82">
        <v>153153</v>
      </c>
      <c r="AA69" s="77"/>
      <c r="AB69" s="77"/>
      <c r="AC69" s="136"/>
      <c r="AD69" s="137"/>
    </row>
    <row r="70" spans="1:30">
      <c r="A70" s="86" t="s">
        <v>353</v>
      </c>
      <c r="B70" s="86"/>
      <c r="C70" s="86" t="s">
        <v>167</v>
      </c>
      <c r="D70" s="86" t="s">
        <v>168</v>
      </c>
      <c r="E70" s="87">
        <v>120</v>
      </c>
      <c r="F70" s="87" t="s">
        <v>2</v>
      </c>
      <c r="G70" s="34"/>
      <c r="H70" s="57"/>
      <c r="I70" s="42"/>
      <c r="J70" s="65"/>
      <c r="K70" s="41"/>
      <c r="L70" s="47"/>
      <c r="M70" s="68"/>
      <c r="N70" s="48"/>
      <c r="O70" s="71"/>
      <c r="P70" s="71"/>
      <c r="Q70" s="36"/>
      <c r="R70" s="35" t="s">
        <v>3</v>
      </c>
      <c r="S70" s="35" t="s">
        <v>3</v>
      </c>
      <c r="T70" s="77"/>
      <c r="U70" s="77"/>
      <c r="V70" s="77"/>
      <c r="W70" s="77"/>
      <c r="X70" s="77"/>
      <c r="Y70" s="82">
        <v>153153</v>
      </c>
      <c r="AA70" s="77" t="s">
        <v>439</v>
      </c>
      <c r="AB70" s="77">
        <f>VLOOKUP(AA70,'CFN HPV'!A:L,12,FALSE)</f>
        <v>2.58</v>
      </c>
      <c r="AC70" s="136">
        <f>I70</f>
        <v>0</v>
      </c>
      <c r="AD70" s="137">
        <f t="shared" ref="AD70:AD95" si="12">AB70-AC70</f>
        <v>2.58</v>
      </c>
    </row>
    <row r="71" spans="1:30">
      <c r="A71" s="86" t="s">
        <v>353</v>
      </c>
      <c r="B71" s="86"/>
      <c r="C71" s="86" t="s">
        <v>169</v>
      </c>
      <c r="D71" s="86" t="s">
        <v>170</v>
      </c>
      <c r="E71" s="87">
        <v>120</v>
      </c>
      <c r="F71" s="87" t="s">
        <v>2</v>
      </c>
      <c r="G71" s="34"/>
      <c r="H71" s="57"/>
      <c r="I71" s="42"/>
      <c r="J71" s="65"/>
      <c r="K71" s="41"/>
      <c r="L71" s="47"/>
      <c r="M71" s="68"/>
      <c r="N71" s="48"/>
      <c r="O71" s="71"/>
      <c r="P71" s="71"/>
      <c r="Q71" s="36"/>
      <c r="R71" s="35" t="s">
        <v>3</v>
      </c>
      <c r="S71" s="35" t="s">
        <v>3</v>
      </c>
      <c r="T71" s="77"/>
      <c r="U71" s="77"/>
      <c r="V71" s="77"/>
      <c r="W71" s="77"/>
      <c r="X71" s="77"/>
      <c r="Y71" s="82">
        <v>153153</v>
      </c>
      <c r="AA71" s="77"/>
      <c r="AB71" s="77"/>
      <c r="AC71" s="136"/>
      <c r="AD71" s="137"/>
    </row>
    <row r="72" spans="1:30">
      <c r="A72" s="86" t="s">
        <v>353</v>
      </c>
      <c r="B72" s="86"/>
      <c r="C72" s="86" t="s">
        <v>171</v>
      </c>
      <c r="D72" s="86" t="s">
        <v>172</v>
      </c>
      <c r="E72" s="87">
        <v>100</v>
      </c>
      <c r="F72" s="87" t="s">
        <v>2</v>
      </c>
      <c r="G72" s="34"/>
      <c r="H72" s="57"/>
      <c r="I72" s="42"/>
      <c r="J72" s="65"/>
      <c r="K72" s="41"/>
      <c r="L72" s="47"/>
      <c r="M72" s="68"/>
      <c r="N72" s="48"/>
      <c r="O72" s="71"/>
      <c r="P72" s="71"/>
      <c r="Q72" s="36"/>
      <c r="R72" s="35" t="s">
        <v>3</v>
      </c>
      <c r="S72" s="35" t="s">
        <v>3</v>
      </c>
      <c r="T72" s="77"/>
      <c r="U72" s="77"/>
      <c r="V72" s="77"/>
      <c r="W72" s="77"/>
      <c r="X72" s="77"/>
      <c r="Y72" s="82">
        <v>153153</v>
      </c>
      <c r="AA72" s="77"/>
      <c r="AB72" s="77"/>
      <c r="AC72" s="136"/>
      <c r="AD72" s="137"/>
    </row>
    <row r="73" spans="1:30">
      <c r="A73" s="86" t="s">
        <v>353</v>
      </c>
      <c r="B73" s="86"/>
      <c r="C73" s="86" t="s">
        <v>173</v>
      </c>
      <c r="D73" s="86" t="s">
        <v>174</v>
      </c>
      <c r="E73" s="87">
        <v>100</v>
      </c>
      <c r="F73" s="87" t="s">
        <v>2</v>
      </c>
      <c r="G73" s="34"/>
      <c r="H73" s="57"/>
      <c r="I73" s="42"/>
      <c r="J73" s="65"/>
      <c r="K73" s="41"/>
      <c r="L73" s="47"/>
      <c r="M73" s="68"/>
      <c r="N73" s="48"/>
      <c r="O73" s="71"/>
      <c r="P73" s="71"/>
      <c r="Q73" s="36"/>
      <c r="R73" s="35" t="s">
        <v>3</v>
      </c>
      <c r="S73" s="35" t="s">
        <v>3</v>
      </c>
      <c r="T73" s="77"/>
      <c r="U73" s="77"/>
      <c r="V73" s="77"/>
      <c r="W73" s="77"/>
      <c r="X73" s="77"/>
      <c r="Y73" s="82">
        <v>153153</v>
      </c>
      <c r="AA73" s="77"/>
      <c r="AB73" s="77"/>
      <c r="AC73" s="136"/>
      <c r="AD73" s="137"/>
    </row>
    <row r="74" spans="1:30">
      <c r="A74" s="86" t="s">
        <v>353</v>
      </c>
      <c r="B74" s="86"/>
      <c r="C74" s="86" t="s">
        <v>189</v>
      </c>
      <c r="D74" s="86" t="s">
        <v>190</v>
      </c>
      <c r="E74" s="87">
        <v>20</v>
      </c>
      <c r="F74" s="87" t="s">
        <v>2</v>
      </c>
      <c r="G74" s="34"/>
      <c r="H74" s="57"/>
      <c r="I74" s="42"/>
      <c r="J74" s="65"/>
      <c r="K74" s="41"/>
      <c r="L74" s="47"/>
      <c r="M74" s="68"/>
      <c r="N74" s="48"/>
      <c r="O74" s="71"/>
      <c r="P74" s="71"/>
      <c r="Q74" s="36"/>
      <c r="R74" s="35" t="s">
        <v>3</v>
      </c>
      <c r="S74" s="35" t="s">
        <v>3</v>
      </c>
      <c r="T74" s="77"/>
      <c r="U74" s="77"/>
      <c r="V74" s="77"/>
      <c r="W74" s="77"/>
      <c r="X74" s="77"/>
      <c r="Y74" s="82">
        <v>153153</v>
      </c>
      <c r="AA74" s="77" t="s">
        <v>437</v>
      </c>
      <c r="AB74" s="77">
        <f>VLOOKUP(AA74,'CFN HPV'!A:L,12,FALSE)</f>
        <v>4.32</v>
      </c>
      <c r="AC74" s="136">
        <f>I74</f>
        <v>0</v>
      </c>
      <c r="AD74" s="137">
        <f t="shared" si="12"/>
        <v>4.32</v>
      </c>
    </row>
    <row r="75" spans="1:30">
      <c r="A75" s="86" t="s">
        <v>353</v>
      </c>
      <c r="B75" s="86"/>
      <c r="C75" s="86" t="s">
        <v>191</v>
      </c>
      <c r="D75" s="86" t="s">
        <v>192</v>
      </c>
      <c r="E75" s="87">
        <v>20</v>
      </c>
      <c r="F75" s="87" t="s">
        <v>2</v>
      </c>
      <c r="G75" s="34"/>
      <c r="H75" s="57"/>
      <c r="I75" s="42"/>
      <c r="J75" s="65"/>
      <c r="K75" s="41"/>
      <c r="L75" s="47"/>
      <c r="M75" s="68"/>
      <c r="N75" s="48"/>
      <c r="O75" s="71"/>
      <c r="P75" s="71"/>
      <c r="Q75" s="36"/>
      <c r="R75" s="35" t="s">
        <v>3</v>
      </c>
      <c r="S75" s="35" t="s">
        <v>3</v>
      </c>
      <c r="T75" s="77"/>
      <c r="U75" s="77"/>
      <c r="V75" s="77"/>
      <c r="W75" s="77"/>
      <c r="X75" s="77"/>
      <c r="Y75" s="82">
        <v>153153</v>
      </c>
      <c r="AA75" s="77" t="s">
        <v>438</v>
      </c>
      <c r="AB75" s="77">
        <f>VLOOKUP(AA75,'CFN HPV'!A:L,12,FALSE)</f>
        <v>8.94</v>
      </c>
      <c r="AC75" s="136">
        <f>I75</f>
        <v>0</v>
      </c>
      <c r="AD75" s="137">
        <f t="shared" si="12"/>
        <v>8.94</v>
      </c>
    </row>
    <row r="76" spans="1:30">
      <c r="A76" s="86" t="s">
        <v>353</v>
      </c>
      <c r="B76" s="86"/>
      <c r="C76" s="86" t="s">
        <v>201</v>
      </c>
      <c r="D76" s="86" t="s">
        <v>202</v>
      </c>
      <c r="E76" s="87">
        <v>80</v>
      </c>
      <c r="F76" s="87" t="s">
        <v>2</v>
      </c>
      <c r="G76" s="34"/>
      <c r="H76" s="57"/>
      <c r="I76" s="42"/>
      <c r="J76" s="65"/>
      <c r="K76" s="41"/>
      <c r="L76" s="47"/>
      <c r="M76" s="68"/>
      <c r="N76" s="48"/>
      <c r="O76" s="71"/>
      <c r="P76" s="71"/>
      <c r="Q76" s="36"/>
      <c r="R76" s="35" t="s">
        <v>3</v>
      </c>
      <c r="S76" s="35" t="s">
        <v>3</v>
      </c>
      <c r="T76" s="77"/>
      <c r="U76" s="77"/>
      <c r="V76" s="77"/>
      <c r="W76" s="77"/>
      <c r="X76" s="77"/>
      <c r="Y76" s="82">
        <v>153153</v>
      </c>
      <c r="AA76" s="74"/>
      <c r="AB76" s="77"/>
      <c r="AC76" s="136"/>
      <c r="AD76" s="137"/>
    </row>
    <row r="77" spans="1:30">
      <c r="A77" s="86" t="s">
        <v>353</v>
      </c>
      <c r="B77" s="86"/>
      <c r="C77" s="86" t="s">
        <v>203</v>
      </c>
      <c r="D77" s="86" t="s">
        <v>204</v>
      </c>
      <c r="E77" s="87">
        <v>80</v>
      </c>
      <c r="F77" s="87" t="s">
        <v>2</v>
      </c>
      <c r="G77" s="34"/>
      <c r="H77" s="57"/>
      <c r="I77" s="42"/>
      <c r="J77" s="65"/>
      <c r="K77" s="41"/>
      <c r="L77" s="47"/>
      <c r="M77" s="68"/>
      <c r="N77" s="48"/>
      <c r="O77" s="71"/>
      <c r="P77" s="71"/>
      <c r="Q77" s="36"/>
      <c r="R77" s="35" t="s">
        <v>3</v>
      </c>
      <c r="S77" s="35" t="s">
        <v>3</v>
      </c>
      <c r="T77" s="77"/>
      <c r="U77" s="77"/>
      <c r="V77" s="77"/>
      <c r="W77" s="77"/>
      <c r="X77" s="77"/>
      <c r="Y77" s="82">
        <v>153153</v>
      </c>
      <c r="AA77" s="74" t="s">
        <v>409</v>
      </c>
      <c r="AB77" s="77">
        <f>VLOOKUP(AA77,'CFN HPV'!A:L,12,FALSE)</f>
        <v>5.12</v>
      </c>
      <c r="AC77" s="136">
        <f>I77</f>
        <v>0</v>
      </c>
      <c r="AD77" s="137">
        <f t="shared" si="12"/>
        <v>5.12</v>
      </c>
    </row>
    <row r="78" spans="1:30">
      <c r="A78" s="86" t="s">
        <v>353</v>
      </c>
      <c r="B78" s="86"/>
      <c r="C78" s="86" t="s">
        <v>205</v>
      </c>
      <c r="D78" s="86" t="s">
        <v>206</v>
      </c>
      <c r="E78" s="87">
        <v>40</v>
      </c>
      <c r="F78" s="87" t="s">
        <v>2</v>
      </c>
      <c r="G78" s="34"/>
      <c r="H78" s="57"/>
      <c r="I78" s="42"/>
      <c r="J78" s="65"/>
      <c r="K78" s="41"/>
      <c r="L78" s="47"/>
      <c r="M78" s="68"/>
      <c r="N78" s="48"/>
      <c r="O78" s="71"/>
      <c r="P78" s="71"/>
      <c r="Q78" s="36"/>
      <c r="R78" s="35" t="s">
        <v>3</v>
      </c>
      <c r="S78" s="35" t="s">
        <v>3</v>
      </c>
      <c r="T78" s="77"/>
      <c r="U78" s="77"/>
      <c r="V78" s="77"/>
      <c r="W78" s="77"/>
      <c r="X78" s="77"/>
      <c r="Y78" s="82">
        <v>153153</v>
      </c>
      <c r="AA78" s="74"/>
      <c r="AB78" s="77"/>
      <c r="AC78" s="136"/>
      <c r="AD78" s="137"/>
    </row>
    <row r="79" spans="1:30">
      <c r="A79" s="86" t="s">
        <v>353</v>
      </c>
      <c r="B79" s="86"/>
      <c r="C79" s="86" t="s">
        <v>211</v>
      </c>
      <c r="D79" s="86" t="s">
        <v>212</v>
      </c>
      <c r="E79" s="87">
        <v>10</v>
      </c>
      <c r="F79" s="87" t="s">
        <v>2</v>
      </c>
      <c r="G79" s="34"/>
      <c r="H79" s="57"/>
      <c r="I79" s="42"/>
      <c r="J79" s="65"/>
      <c r="K79" s="41"/>
      <c r="L79" s="47"/>
      <c r="M79" s="68"/>
      <c r="N79" s="48"/>
      <c r="O79" s="71"/>
      <c r="P79" s="71"/>
      <c r="Q79" s="36"/>
      <c r="R79" s="35" t="s">
        <v>3</v>
      </c>
      <c r="S79" s="35" t="s">
        <v>3</v>
      </c>
      <c r="T79" s="77"/>
      <c r="U79" s="77"/>
      <c r="V79" s="77"/>
      <c r="W79" s="77"/>
      <c r="X79" s="77"/>
      <c r="Y79" s="82">
        <v>153153</v>
      </c>
      <c r="AA79" s="74" t="s">
        <v>412</v>
      </c>
      <c r="AB79" s="77">
        <f>VLOOKUP(AA79,'CFN HPV'!A:L,12,FALSE)</f>
        <v>13.38</v>
      </c>
      <c r="AC79" s="136">
        <f t="shared" ref="AC79:AC95" si="13">I79</f>
        <v>0</v>
      </c>
      <c r="AD79" s="137">
        <f t="shared" si="12"/>
        <v>13.38</v>
      </c>
    </row>
    <row r="80" spans="1:30">
      <c r="A80" s="86" t="s">
        <v>353</v>
      </c>
      <c r="B80" s="86"/>
      <c r="C80" s="86" t="s">
        <v>217</v>
      </c>
      <c r="D80" s="86" t="s">
        <v>218</v>
      </c>
      <c r="E80" s="87">
        <v>10</v>
      </c>
      <c r="F80" s="87" t="s">
        <v>2</v>
      </c>
      <c r="G80" s="34"/>
      <c r="H80" s="57"/>
      <c r="I80" s="42"/>
      <c r="J80" s="65"/>
      <c r="K80" s="41"/>
      <c r="L80" s="47"/>
      <c r="M80" s="68"/>
      <c r="N80" s="48"/>
      <c r="O80" s="71"/>
      <c r="P80" s="71"/>
      <c r="Q80" s="36"/>
      <c r="R80" s="35" t="s">
        <v>3</v>
      </c>
      <c r="S80" s="35" t="s">
        <v>3</v>
      </c>
      <c r="T80" s="77"/>
      <c r="U80" s="77"/>
      <c r="V80" s="77"/>
      <c r="W80" s="77"/>
      <c r="X80" s="77"/>
      <c r="Y80" s="82">
        <v>153153</v>
      </c>
      <c r="AA80" s="74" t="s">
        <v>410</v>
      </c>
      <c r="AB80" s="77">
        <f>VLOOKUP(AA80,'CFN HPV'!A:L,12,FALSE)</f>
        <v>9.14</v>
      </c>
      <c r="AC80" s="136">
        <f t="shared" si="13"/>
        <v>0</v>
      </c>
      <c r="AD80" s="137">
        <f t="shared" si="12"/>
        <v>9.14</v>
      </c>
    </row>
    <row r="81" spans="1:30">
      <c r="A81" s="86" t="s">
        <v>353</v>
      </c>
      <c r="B81" s="86"/>
      <c r="C81" s="86" t="s">
        <v>229</v>
      </c>
      <c r="D81" s="86" t="s">
        <v>230</v>
      </c>
      <c r="E81" s="87">
        <v>10</v>
      </c>
      <c r="F81" s="87" t="s">
        <v>2</v>
      </c>
      <c r="G81" s="34"/>
      <c r="H81" s="57"/>
      <c r="I81" s="42"/>
      <c r="J81" s="65"/>
      <c r="K81" s="41"/>
      <c r="L81" s="47"/>
      <c r="M81" s="68"/>
      <c r="N81" s="48"/>
      <c r="O81" s="71"/>
      <c r="P81" s="71"/>
      <c r="Q81" s="36"/>
      <c r="R81" s="35" t="s">
        <v>3</v>
      </c>
      <c r="S81" s="35" t="s">
        <v>3</v>
      </c>
      <c r="T81" s="77"/>
      <c r="U81" s="77"/>
      <c r="V81" s="77"/>
      <c r="W81" s="77"/>
      <c r="X81" s="77"/>
      <c r="Y81" s="82">
        <v>153153</v>
      </c>
      <c r="AA81" s="74" t="s">
        <v>440</v>
      </c>
      <c r="AB81" s="77">
        <f>VLOOKUP(AA81,'CFN HPV'!A:L,12,FALSE)</f>
        <v>9.66</v>
      </c>
      <c r="AC81" s="136">
        <f t="shared" si="13"/>
        <v>0</v>
      </c>
      <c r="AD81" s="137">
        <f t="shared" si="12"/>
        <v>9.66</v>
      </c>
    </row>
    <row r="82" spans="1:30">
      <c r="A82" s="86" t="s">
        <v>353</v>
      </c>
      <c r="B82" s="86"/>
      <c r="C82" s="86" t="s">
        <v>241</v>
      </c>
      <c r="D82" s="86" t="s">
        <v>242</v>
      </c>
      <c r="E82" s="87">
        <v>10</v>
      </c>
      <c r="F82" s="87" t="s">
        <v>2</v>
      </c>
      <c r="G82" s="34"/>
      <c r="H82" s="57"/>
      <c r="I82" s="42"/>
      <c r="J82" s="65"/>
      <c r="K82" s="41"/>
      <c r="L82" s="47"/>
      <c r="M82" s="68"/>
      <c r="N82" s="48"/>
      <c r="O82" s="71"/>
      <c r="P82" s="71"/>
      <c r="Q82" s="36"/>
      <c r="R82" s="35" t="s">
        <v>3</v>
      </c>
      <c r="S82" s="35" t="s">
        <v>3</v>
      </c>
      <c r="T82" s="77"/>
      <c r="U82" s="77"/>
      <c r="V82" s="77"/>
      <c r="W82" s="77"/>
      <c r="X82" s="77"/>
      <c r="Y82" s="82">
        <v>153153</v>
      </c>
      <c r="AA82" s="74" t="s">
        <v>427</v>
      </c>
      <c r="AB82" s="77">
        <f>VLOOKUP(AA82,'CFN HPV'!A:L,12,FALSE)</f>
        <v>18.32</v>
      </c>
      <c r="AC82" s="136">
        <f t="shared" si="13"/>
        <v>0</v>
      </c>
      <c r="AD82" s="137">
        <f t="shared" si="12"/>
        <v>18.32</v>
      </c>
    </row>
    <row r="83" spans="1:30">
      <c r="A83" s="86" t="s">
        <v>353</v>
      </c>
      <c r="B83" s="86"/>
      <c r="C83" s="86" t="s">
        <v>253</v>
      </c>
      <c r="D83" s="86" t="s">
        <v>254</v>
      </c>
      <c r="E83" s="87">
        <v>12</v>
      </c>
      <c r="F83" s="87" t="s">
        <v>2</v>
      </c>
      <c r="G83" s="34"/>
      <c r="H83" s="57"/>
      <c r="I83" s="42"/>
      <c r="J83" s="65"/>
      <c r="K83" s="41"/>
      <c r="L83" s="47"/>
      <c r="M83" s="68"/>
      <c r="N83" s="48"/>
      <c r="O83" s="71"/>
      <c r="P83" s="71"/>
      <c r="Q83" s="36"/>
      <c r="R83" s="35" t="s">
        <v>3</v>
      </c>
      <c r="S83" s="35" t="s">
        <v>3</v>
      </c>
      <c r="T83" s="77"/>
      <c r="U83" s="77"/>
      <c r="V83" s="77"/>
      <c r="W83" s="77"/>
      <c r="X83" s="77"/>
      <c r="Y83" s="82">
        <v>153153</v>
      </c>
      <c r="AA83" s="74" t="s">
        <v>431</v>
      </c>
      <c r="AB83" s="77">
        <f>VLOOKUP(AA83,'CFN HPV'!A:L,12,FALSE)</f>
        <v>9.84</v>
      </c>
      <c r="AC83" s="136">
        <f t="shared" si="13"/>
        <v>0</v>
      </c>
      <c r="AD83" s="137">
        <f t="shared" si="12"/>
        <v>9.84</v>
      </c>
    </row>
    <row r="84" spans="1:30">
      <c r="A84" s="86" t="s">
        <v>353</v>
      </c>
      <c r="B84" s="86"/>
      <c r="C84" s="86" t="s">
        <v>261</v>
      </c>
      <c r="D84" s="86" t="s">
        <v>262</v>
      </c>
      <c r="E84" s="87">
        <v>10</v>
      </c>
      <c r="F84" s="87" t="s">
        <v>2</v>
      </c>
      <c r="G84" s="34"/>
      <c r="H84" s="57"/>
      <c r="I84" s="42"/>
      <c r="J84" s="65"/>
      <c r="K84" s="41"/>
      <c r="L84" s="47"/>
      <c r="M84" s="68"/>
      <c r="N84" s="48"/>
      <c r="O84" s="71"/>
      <c r="P84" s="71"/>
      <c r="Q84" s="36"/>
      <c r="R84" s="35" t="s">
        <v>3</v>
      </c>
      <c r="S84" s="35" t="s">
        <v>3</v>
      </c>
      <c r="T84" s="77"/>
      <c r="U84" s="77"/>
      <c r="V84" s="77"/>
      <c r="W84" s="77"/>
      <c r="X84" s="77"/>
      <c r="Y84" s="82">
        <v>153153</v>
      </c>
      <c r="AA84" s="74" t="s">
        <v>415</v>
      </c>
      <c r="AB84" s="77">
        <f>VLOOKUP(AA84,'CFN HPV'!A:L,12,FALSE)</f>
        <v>22.68</v>
      </c>
      <c r="AC84" s="136">
        <f t="shared" si="13"/>
        <v>0</v>
      </c>
      <c r="AD84" s="137">
        <f t="shared" si="12"/>
        <v>22.68</v>
      </c>
    </row>
    <row r="85" spans="1:30">
      <c r="A85" s="86" t="s">
        <v>353</v>
      </c>
      <c r="B85" s="86"/>
      <c r="C85" s="86" t="s">
        <v>263</v>
      </c>
      <c r="D85" s="86" t="s">
        <v>264</v>
      </c>
      <c r="E85" s="87">
        <v>10</v>
      </c>
      <c r="F85" s="87" t="s">
        <v>2</v>
      </c>
      <c r="G85" s="34"/>
      <c r="H85" s="57"/>
      <c r="I85" s="42"/>
      <c r="J85" s="65"/>
      <c r="K85" s="41"/>
      <c r="L85" s="47"/>
      <c r="M85" s="68"/>
      <c r="N85" s="48"/>
      <c r="O85" s="71"/>
      <c r="P85" s="71"/>
      <c r="Q85" s="36"/>
      <c r="R85" s="35" t="s">
        <v>3</v>
      </c>
      <c r="S85" s="35" t="s">
        <v>3</v>
      </c>
      <c r="T85" s="77"/>
      <c r="U85" s="77"/>
      <c r="V85" s="77"/>
      <c r="W85" s="77"/>
      <c r="X85" s="77"/>
      <c r="Y85" s="82">
        <v>153153</v>
      </c>
      <c r="AA85" s="74" t="s">
        <v>416</v>
      </c>
      <c r="AB85" s="77">
        <f>VLOOKUP(AA85,'CFN HPV'!A:L,12,FALSE)</f>
        <v>22.64</v>
      </c>
      <c r="AC85" s="136">
        <f t="shared" si="13"/>
        <v>0</v>
      </c>
      <c r="AD85" s="137">
        <f t="shared" si="12"/>
        <v>22.64</v>
      </c>
    </row>
    <row r="86" spans="1:30">
      <c r="A86" s="86" t="s">
        <v>353</v>
      </c>
      <c r="B86" s="86"/>
      <c r="C86" s="86" t="s">
        <v>267</v>
      </c>
      <c r="D86" s="86" t="s">
        <v>268</v>
      </c>
      <c r="E86" s="87">
        <v>8</v>
      </c>
      <c r="F86" s="87" t="s">
        <v>2</v>
      </c>
      <c r="G86" s="34"/>
      <c r="H86" s="57"/>
      <c r="I86" s="42"/>
      <c r="J86" s="65"/>
      <c r="K86" s="41"/>
      <c r="L86" s="47"/>
      <c r="M86" s="68"/>
      <c r="N86" s="48"/>
      <c r="O86" s="71"/>
      <c r="P86" s="71"/>
      <c r="Q86" s="36"/>
      <c r="R86" s="35" t="s">
        <v>3</v>
      </c>
      <c r="S86" s="35" t="s">
        <v>3</v>
      </c>
      <c r="T86" s="77"/>
      <c r="U86" s="77"/>
      <c r="V86" s="77"/>
      <c r="W86" s="77"/>
      <c r="X86" s="77"/>
      <c r="Y86" s="82">
        <v>153153</v>
      </c>
      <c r="AA86" s="74" t="s">
        <v>418</v>
      </c>
      <c r="AB86" s="77">
        <f>VLOOKUP(AA86,'CFN HPV'!A:L,12,FALSE)</f>
        <v>16.05</v>
      </c>
      <c r="AC86" s="136">
        <f t="shared" si="13"/>
        <v>0</v>
      </c>
      <c r="AD86" s="137">
        <f t="shared" si="12"/>
        <v>16.05</v>
      </c>
    </row>
    <row r="87" spans="1:30">
      <c r="A87" s="86" t="s">
        <v>353</v>
      </c>
      <c r="B87" s="86"/>
      <c r="C87" s="86" t="s">
        <v>271</v>
      </c>
      <c r="D87" s="86" t="s">
        <v>272</v>
      </c>
      <c r="E87" s="87">
        <v>10</v>
      </c>
      <c r="F87" s="87" t="s">
        <v>2</v>
      </c>
      <c r="G87" s="34"/>
      <c r="H87" s="57"/>
      <c r="I87" s="42"/>
      <c r="J87" s="65"/>
      <c r="K87" s="41"/>
      <c r="L87" s="47"/>
      <c r="M87" s="68"/>
      <c r="N87" s="48"/>
      <c r="O87" s="71"/>
      <c r="P87" s="71"/>
      <c r="Q87" s="36"/>
      <c r="R87" s="35" t="s">
        <v>3</v>
      </c>
      <c r="S87" s="35" t="s">
        <v>3</v>
      </c>
      <c r="T87" s="77"/>
      <c r="U87" s="77"/>
      <c r="V87" s="77"/>
      <c r="W87" s="77"/>
      <c r="X87" s="77"/>
      <c r="Y87" s="82">
        <v>153153</v>
      </c>
      <c r="AA87" s="77" t="s">
        <v>417</v>
      </c>
      <c r="AB87" s="77">
        <f>VLOOKUP(AA87,'CFN HPV'!A:L,12,FALSE)</f>
        <v>29.96</v>
      </c>
      <c r="AC87" s="136">
        <f t="shared" si="13"/>
        <v>0</v>
      </c>
      <c r="AD87" s="137">
        <f t="shared" si="12"/>
        <v>29.96</v>
      </c>
    </row>
    <row r="88" spans="1:30">
      <c r="A88" s="86" t="s">
        <v>353</v>
      </c>
      <c r="B88" s="86"/>
      <c r="C88" s="86" t="s">
        <v>277</v>
      </c>
      <c r="D88" s="86" t="s">
        <v>278</v>
      </c>
      <c r="E88" s="87">
        <v>40</v>
      </c>
      <c r="F88" s="87" t="s">
        <v>2</v>
      </c>
      <c r="G88" s="34"/>
      <c r="H88" s="57"/>
      <c r="I88" s="42"/>
      <c r="J88" s="65"/>
      <c r="K88" s="41"/>
      <c r="L88" s="47"/>
      <c r="M88" s="68"/>
      <c r="N88" s="48"/>
      <c r="O88" s="71"/>
      <c r="P88" s="71"/>
      <c r="Q88" s="36"/>
      <c r="R88" s="35" t="s">
        <v>3</v>
      </c>
      <c r="S88" s="35" t="s">
        <v>3</v>
      </c>
      <c r="T88" s="77"/>
      <c r="U88" s="77"/>
      <c r="V88" s="77"/>
      <c r="W88" s="77"/>
      <c r="X88" s="77"/>
      <c r="Y88" s="82">
        <v>153153</v>
      </c>
      <c r="AA88" s="77" t="s">
        <v>401</v>
      </c>
      <c r="AB88" s="77">
        <f>VLOOKUP(AA88,'CFN HPV'!A:L,12,FALSE)</f>
        <v>4.53</v>
      </c>
      <c r="AC88" s="136">
        <f t="shared" si="13"/>
        <v>0</v>
      </c>
      <c r="AD88" s="137">
        <f t="shared" si="12"/>
        <v>4.53</v>
      </c>
    </row>
    <row r="89" spans="1:30">
      <c r="A89" s="33" t="s">
        <v>353</v>
      </c>
      <c r="B89" s="33"/>
      <c r="C89" s="33" t="s">
        <v>283</v>
      </c>
      <c r="D89" s="33" t="s">
        <v>284</v>
      </c>
      <c r="E89" s="34">
        <v>20</v>
      </c>
      <c r="F89" s="34" t="s">
        <v>2</v>
      </c>
      <c r="G89" s="34"/>
      <c r="H89" s="57"/>
      <c r="I89" s="42"/>
      <c r="J89" s="65"/>
      <c r="K89" s="41"/>
      <c r="L89" s="47"/>
      <c r="M89" s="68"/>
      <c r="N89" s="48"/>
      <c r="O89" s="71"/>
      <c r="P89" s="71"/>
      <c r="Q89" s="36"/>
      <c r="R89" s="35" t="s">
        <v>3</v>
      </c>
      <c r="S89" s="35" t="s">
        <v>3</v>
      </c>
      <c r="T89" s="77"/>
      <c r="U89" s="77"/>
      <c r="V89" s="77"/>
      <c r="W89" s="77"/>
      <c r="X89" s="77"/>
      <c r="Y89" s="82">
        <v>153153</v>
      </c>
      <c r="AA89" s="34" t="s">
        <v>423</v>
      </c>
      <c r="AB89" s="77">
        <f>VLOOKUP(AA89,'CFN HPV'!A:L,12,FALSE)</f>
        <v>9.68</v>
      </c>
      <c r="AC89" s="136">
        <f t="shared" si="13"/>
        <v>0</v>
      </c>
      <c r="AD89" s="137">
        <f t="shared" si="12"/>
        <v>9.68</v>
      </c>
    </row>
    <row r="90" spans="1:30">
      <c r="A90" s="86" t="s">
        <v>353</v>
      </c>
      <c r="B90" s="86"/>
      <c r="C90" s="86" t="s">
        <v>305</v>
      </c>
      <c r="D90" s="86" t="s">
        <v>306</v>
      </c>
      <c r="E90" s="87">
        <v>32</v>
      </c>
      <c r="F90" s="87" t="s">
        <v>2</v>
      </c>
      <c r="G90" s="34"/>
      <c r="H90" s="57"/>
      <c r="I90" s="42"/>
      <c r="J90" s="65"/>
      <c r="K90" s="41"/>
      <c r="L90" s="47"/>
      <c r="M90" s="68"/>
      <c r="N90" s="48"/>
      <c r="O90" s="71"/>
      <c r="P90" s="71"/>
      <c r="Q90" s="36"/>
      <c r="R90" s="35" t="s">
        <v>3</v>
      </c>
      <c r="S90" s="35" t="s">
        <v>3</v>
      </c>
      <c r="T90" s="77"/>
      <c r="U90" s="77"/>
      <c r="V90" s="77"/>
      <c r="W90" s="77"/>
      <c r="X90" s="77"/>
      <c r="Y90" s="82">
        <v>153153</v>
      </c>
      <c r="AA90" s="77" t="s">
        <v>398</v>
      </c>
      <c r="AB90" s="77">
        <f>VLOOKUP(AA90,'CFN HPV'!A:L,12,FALSE)</f>
        <v>5.64</v>
      </c>
      <c r="AC90" s="136">
        <f t="shared" si="13"/>
        <v>0</v>
      </c>
      <c r="AD90" s="137">
        <f t="shared" si="12"/>
        <v>5.64</v>
      </c>
    </row>
    <row r="91" spans="1:30">
      <c r="A91" s="86" t="s">
        <v>353</v>
      </c>
      <c r="B91" s="86"/>
      <c r="C91" s="86" t="s">
        <v>307</v>
      </c>
      <c r="D91" s="86" t="s">
        <v>308</v>
      </c>
      <c r="E91" s="87">
        <v>22</v>
      </c>
      <c r="F91" s="87" t="s">
        <v>2</v>
      </c>
      <c r="G91" s="34"/>
      <c r="H91" s="57"/>
      <c r="I91" s="42"/>
      <c r="J91" s="65"/>
      <c r="K91" s="41"/>
      <c r="L91" s="47"/>
      <c r="M91" s="68"/>
      <c r="N91" s="48"/>
      <c r="O91" s="71"/>
      <c r="P91" s="71"/>
      <c r="Q91" s="36"/>
      <c r="R91" s="35" t="s">
        <v>3</v>
      </c>
      <c r="S91" s="35" t="s">
        <v>3</v>
      </c>
      <c r="T91" s="77"/>
      <c r="U91" s="77"/>
      <c r="V91" s="77"/>
      <c r="W91" s="77"/>
      <c r="X91" s="77"/>
      <c r="Y91" s="82">
        <v>153153</v>
      </c>
      <c r="AA91" s="77" t="s">
        <v>399</v>
      </c>
      <c r="AB91" s="77">
        <f>VLOOKUP(AA91,'CFN HPV'!A:L,12,FALSE)</f>
        <v>6.5</v>
      </c>
      <c r="AC91" s="136">
        <f t="shared" si="13"/>
        <v>0</v>
      </c>
      <c r="AD91" s="137">
        <f t="shared" si="12"/>
        <v>6.5</v>
      </c>
    </row>
    <row r="92" spans="1:30">
      <c r="A92" s="86" t="s">
        <v>353</v>
      </c>
      <c r="B92" s="86"/>
      <c r="C92" s="86" t="s">
        <v>309</v>
      </c>
      <c r="D92" s="86" t="s">
        <v>310</v>
      </c>
      <c r="E92" s="87">
        <v>40</v>
      </c>
      <c r="F92" s="87" t="s">
        <v>2</v>
      </c>
      <c r="G92" s="34"/>
      <c r="H92" s="57"/>
      <c r="I92" s="42"/>
      <c r="J92" s="65"/>
      <c r="K92" s="41"/>
      <c r="L92" s="47"/>
      <c r="M92" s="68"/>
      <c r="N92" s="48"/>
      <c r="O92" s="71"/>
      <c r="P92" s="71"/>
      <c r="Q92" s="36"/>
      <c r="R92" s="35" t="s">
        <v>3</v>
      </c>
      <c r="S92" s="35" t="s">
        <v>3</v>
      </c>
      <c r="T92" s="77"/>
      <c r="U92" s="77"/>
      <c r="V92" s="77"/>
      <c r="W92" s="77"/>
      <c r="X92" s="77"/>
      <c r="Y92" s="82">
        <v>153153</v>
      </c>
      <c r="AA92" s="77" t="s">
        <v>420</v>
      </c>
      <c r="AB92" s="77">
        <f>VLOOKUP(AA92,'CFN HPV'!A:L,12,FALSE)</f>
        <v>3.73</v>
      </c>
      <c r="AC92" s="136">
        <f t="shared" si="13"/>
        <v>0</v>
      </c>
      <c r="AD92" s="137">
        <f t="shared" si="12"/>
        <v>3.73</v>
      </c>
    </row>
    <row r="93" spans="1:30">
      <c r="A93" s="86" t="s">
        <v>353</v>
      </c>
      <c r="B93" s="86"/>
      <c r="C93" s="86" t="s">
        <v>313</v>
      </c>
      <c r="D93" s="86" t="s">
        <v>314</v>
      </c>
      <c r="E93" s="87">
        <v>20</v>
      </c>
      <c r="F93" s="87" t="s">
        <v>2</v>
      </c>
      <c r="G93" s="34"/>
      <c r="H93" s="57"/>
      <c r="I93" s="42"/>
      <c r="J93" s="65"/>
      <c r="K93" s="41"/>
      <c r="L93" s="47"/>
      <c r="M93" s="68"/>
      <c r="N93" s="48"/>
      <c r="O93" s="71"/>
      <c r="P93" s="71"/>
      <c r="Q93" s="36"/>
      <c r="R93" s="35" t="s">
        <v>3</v>
      </c>
      <c r="S93" s="35" t="s">
        <v>3</v>
      </c>
      <c r="T93" s="77"/>
      <c r="U93" s="77"/>
      <c r="V93" s="77"/>
      <c r="W93" s="77"/>
      <c r="X93" s="77"/>
      <c r="Y93" s="82">
        <v>153153</v>
      </c>
      <c r="AA93" s="77" t="s">
        <v>421</v>
      </c>
      <c r="AB93" s="77">
        <f>VLOOKUP(AA93,'CFN HPV'!A:L,12,FALSE)</f>
        <v>3.67</v>
      </c>
      <c r="AC93" s="136">
        <f t="shared" si="13"/>
        <v>0</v>
      </c>
      <c r="AD93" s="137">
        <f t="shared" si="12"/>
        <v>3.67</v>
      </c>
    </row>
    <row r="94" spans="1:30">
      <c r="A94" s="86" t="s">
        <v>353</v>
      </c>
      <c r="B94" s="86"/>
      <c r="C94" s="86" t="s">
        <v>318</v>
      </c>
      <c r="D94" s="86" t="s">
        <v>319</v>
      </c>
      <c r="E94" s="87">
        <v>15</v>
      </c>
      <c r="F94" s="87" t="s">
        <v>2</v>
      </c>
      <c r="G94" s="34"/>
      <c r="H94" s="57"/>
      <c r="I94" s="42"/>
      <c r="J94" s="65"/>
      <c r="K94" s="41"/>
      <c r="L94" s="47"/>
      <c r="M94" s="68"/>
      <c r="N94" s="48"/>
      <c r="O94" s="71"/>
      <c r="P94" s="71"/>
      <c r="Q94" s="36"/>
      <c r="R94" s="35" t="s">
        <v>3</v>
      </c>
      <c r="S94" s="35" t="s">
        <v>3</v>
      </c>
      <c r="T94" s="77"/>
      <c r="U94" s="77"/>
      <c r="V94" s="77"/>
      <c r="W94" s="77"/>
      <c r="X94" s="77"/>
      <c r="Y94" s="82">
        <v>153153</v>
      </c>
      <c r="AA94" s="135">
        <v>9154</v>
      </c>
      <c r="AB94" s="77">
        <v>12.35</v>
      </c>
      <c r="AC94" s="136">
        <f t="shared" si="13"/>
        <v>0</v>
      </c>
      <c r="AD94" s="137">
        <f t="shared" si="12"/>
        <v>12.35</v>
      </c>
    </row>
    <row r="95" spans="1:30">
      <c r="A95" s="88" t="s">
        <v>353</v>
      </c>
      <c r="B95" s="88"/>
      <c r="C95" s="88" t="s">
        <v>322</v>
      </c>
      <c r="D95" s="88" t="s">
        <v>323</v>
      </c>
      <c r="E95" s="89">
        <v>15</v>
      </c>
      <c r="F95" s="89" t="s">
        <v>2</v>
      </c>
      <c r="G95" s="90"/>
      <c r="H95" s="91"/>
      <c r="I95" s="92"/>
      <c r="J95" s="93"/>
      <c r="K95" s="43"/>
      <c r="L95" s="94"/>
      <c r="M95" s="95"/>
      <c r="N95" s="50"/>
      <c r="O95" s="96"/>
      <c r="P95" s="96"/>
      <c r="Q95" s="97"/>
      <c r="R95" s="8" t="s">
        <v>3</v>
      </c>
      <c r="S95" s="35" t="s">
        <v>3</v>
      </c>
      <c r="T95" s="77"/>
      <c r="U95" s="77"/>
      <c r="V95" s="77"/>
      <c r="W95" s="77"/>
      <c r="X95" s="77"/>
      <c r="Y95" s="82">
        <v>153153</v>
      </c>
      <c r="AA95" s="77" t="s">
        <v>400</v>
      </c>
      <c r="AB95" s="77">
        <f>VLOOKUP(AA95,'CFN HPV'!A:L,12,FALSE)</f>
        <v>22.3</v>
      </c>
      <c r="AC95" s="136">
        <f t="shared" si="13"/>
        <v>0</v>
      </c>
      <c r="AD95" s="137">
        <f t="shared" si="12"/>
        <v>22.3</v>
      </c>
    </row>
    <row r="96" spans="1:30">
      <c r="A96" s="4" t="s">
        <v>351</v>
      </c>
      <c r="B96" s="4"/>
      <c r="C96" s="4" t="s">
        <v>0</v>
      </c>
      <c r="D96" s="4" t="s">
        <v>1</v>
      </c>
      <c r="E96" s="12">
        <v>1000</v>
      </c>
      <c r="F96" s="12" t="s">
        <v>2</v>
      </c>
      <c r="G96" s="12"/>
      <c r="H96" s="57">
        <v>0.03</v>
      </c>
      <c r="I96" s="42">
        <f>H96/(1-0.4)</f>
        <v>0.05</v>
      </c>
      <c r="J96" s="65">
        <f t="shared" ref="J96:J138" si="14">E96*I96</f>
        <v>50</v>
      </c>
      <c r="K96" s="41">
        <f t="shared" ref="K96:K118" si="15">(I96-H96)/I96</f>
        <v>0.40000000000000008</v>
      </c>
      <c r="L96" s="47">
        <f>H96/(1-0.35)</f>
        <v>4.6153846153846149E-2</v>
      </c>
      <c r="M96" s="68">
        <f t="shared" ref="M96:M138" si="16">E96*L96</f>
        <v>46.153846153846146</v>
      </c>
      <c r="N96" s="48">
        <f t="shared" ref="N96:N138" si="17">(L96-H96)/L96</f>
        <v>0.35</v>
      </c>
      <c r="O96" s="71">
        <f>H96/(1-0.3)</f>
        <v>4.2857142857142858E-2</v>
      </c>
      <c r="P96" s="73">
        <f>O96*E96</f>
        <v>42.857142857142854</v>
      </c>
      <c r="Q96" s="99">
        <f>(O96-H96)/O96</f>
        <v>0.30000000000000004</v>
      </c>
      <c r="R96" s="35" t="s">
        <v>3</v>
      </c>
      <c r="S96" s="9" t="s">
        <v>3</v>
      </c>
      <c r="T96" s="79"/>
      <c r="U96" s="79"/>
      <c r="V96" s="79"/>
      <c r="W96" s="79"/>
      <c r="X96" s="79"/>
      <c r="Y96" s="83">
        <v>153156</v>
      </c>
      <c r="AA96" s="79"/>
      <c r="AB96" s="79"/>
    </row>
    <row r="97" spans="1:28">
      <c r="A97" s="33" t="s">
        <v>351</v>
      </c>
      <c r="B97" s="33"/>
      <c r="C97" s="33" t="s">
        <v>4</v>
      </c>
      <c r="D97" s="33" t="s">
        <v>5</v>
      </c>
      <c r="E97" s="34">
        <v>500</v>
      </c>
      <c r="F97" s="34" t="s">
        <v>2</v>
      </c>
      <c r="G97" s="34"/>
      <c r="H97" s="57">
        <v>7.0000000000000007E-2</v>
      </c>
      <c r="I97" s="42">
        <f t="shared" ref="I97:I118" si="18">H97/(1-0.4)</f>
        <v>0.11666666666666668</v>
      </c>
      <c r="J97" s="65">
        <f t="shared" si="14"/>
        <v>58.333333333333343</v>
      </c>
      <c r="K97" s="41">
        <f t="shared" si="15"/>
        <v>0.4</v>
      </c>
      <c r="L97" s="47">
        <f t="shared" ref="L97:L118" si="19">H97/(1-0.35)</f>
        <v>0.1076923076923077</v>
      </c>
      <c r="M97" s="68">
        <f t="shared" si="16"/>
        <v>53.846153846153847</v>
      </c>
      <c r="N97" s="48">
        <f t="shared" si="17"/>
        <v>0.35</v>
      </c>
      <c r="O97" s="71">
        <f t="shared" ref="O97:O118" si="20">H97/(1-0.3)</f>
        <v>0.10000000000000002</v>
      </c>
      <c r="P97" s="71">
        <f t="shared" ref="P97:P118" si="21">O97*E97</f>
        <v>50.000000000000007</v>
      </c>
      <c r="Q97" s="37">
        <f t="shared" ref="Q97:Q118" si="22">(O97-H97)/O97</f>
        <v>0.30000000000000004</v>
      </c>
      <c r="R97" s="35" t="s">
        <v>3</v>
      </c>
      <c r="S97" s="35" t="s">
        <v>3</v>
      </c>
      <c r="T97" s="77"/>
      <c r="U97" s="77"/>
      <c r="V97" s="77"/>
      <c r="W97" s="77"/>
      <c r="X97" s="77"/>
      <c r="Y97" s="82">
        <v>153156</v>
      </c>
      <c r="AA97" s="77"/>
      <c r="AB97" s="77"/>
    </row>
    <row r="98" spans="1:28">
      <c r="A98" s="33" t="s">
        <v>351</v>
      </c>
      <c r="B98" s="33"/>
      <c r="C98" s="33" t="s">
        <v>6</v>
      </c>
      <c r="D98" s="33" t="s">
        <v>7</v>
      </c>
      <c r="E98" s="34">
        <v>500</v>
      </c>
      <c r="F98" s="34" t="s">
        <v>2</v>
      </c>
      <c r="G98" s="34"/>
      <c r="H98" s="57">
        <v>0.11</v>
      </c>
      <c r="I98" s="42">
        <f t="shared" si="18"/>
        <v>0.18333333333333335</v>
      </c>
      <c r="J98" s="65">
        <f t="shared" si="14"/>
        <v>91.666666666666671</v>
      </c>
      <c r="K98" s="41">
        <f t="shared" si="15"/>
        <v>0.4</v>
      </c>
      <c r="L98" s="47">
        <f t="shared" si="19"/>
        <v>0.16923076923076921</v>
      </c>
      <c r="M98" s="68">
        <f t="shared" si="16"/>
        <v>84.615384615384613</v>
      </c>
      <c r="N98" s="48">
        <f t="shared" si="17"/>
        <v>0.34999999999999992</v>
      </c>
      <c r="O98" s="71">
        <f t="shared" si="20"/>
        <v>0.15714285714285717</v>
      </c>
      <c r="P98" s="71">
        <f t="shared" si="21"/>
        <v>78.571428571428584</v>
      </c>
      <c r="Q98" s="37">
        <f t="shared" si="22"/>
        <v>0.3000000000000001</v>
      </c>
      <c r="R98" s="35" t="s">
        <v>3</v>
      </c>
      <c r="S98" s="35" t="s">
        <v>3</v>
      </c>
      <c r="T98" s="77"/>
      <c r="U98" s="77"/>
      <c r="V98" s="77"/>
      <c r="W98" s="77"/>
      <c r="X98" s="77"/>
      <c r="Y98" s="82">
        <v>153156</v>
      </c>
      <c r="AA98" s="77"/>
      <c r="AB98" s="77"/>
    </row>
    <row r="99" spans="1:28">
      <c r="A99" s="33" t="s">
        <v>351</v>
      </c>
      <c r="B99" s="33"/>
      <c r="C99" s="33" t="s">
        <v>8</v>
      </c>
      <c r="D99" s="33" t="s">
        <v>9</v>
      </c>
      <c r="E99" s="34">
        <v>300</v>
      </c>
      <c r="F99" s="34" t="s">
        <v>2</v>
      </c>
      <c r="G99" s="34"/>
      <c r="H99" s="57">
        <v>0.19</v>
      </c>
      <c r="I99" s="42">
        <f t="shared" si="18"/>
        <v>0.31666666666666671</v>
      </c>
      <c r="J99" s="65">
        <f t="shared" si="14"/>
        <v>95.000000000000014</v>
      </c>
      <c r="K99" s="41">
        <f t="shared" si="15"/>
        <v>0.40000000000000008</v>
      </c>
      <c r="L99" s="47">
        <f t="shared" si="19"/>
        <v>0.29230769230769232</v>
      </c>
      <c r="M99" s="68">
        <f t="shared" si="16"/>
        <v>87.692307692307693</v>
      </c>
      <c r="N99" s="48">
        <f t="shared" si="17"/>
        <v>0.35000000000000003</v>
      </c>
      <c r="O99" s="71">
        <f t="shared" si="20"/>
        <v>0.27142857142857146</v>
      </c>
      <c r="P99" s="71">
        <f t="shared" si="21"/>
        <v>81.428571428571445</v>
      </c>
      <c r="Q99" s="37">
        <f t="shared" si="22"/>
        <v>0.3000000000000001</v>
      </c>
      <c r="R99" s="35" t="s">
        <v>3</v>
      </c>
      <c r="S99" s="35" t="s">
        <v>3</v>
      </c>
      <c r="T99" s="77"/>
      <c r="U99" s="77"/>
      <c r="V99" s="77"/>
      <c r="W99" s="77"/>
      <c r="X99" s="77"/>
      <c r="Y99" s="82">
        <v>153156</v>
      </c>
      <c r="AA99" s="77"/>
      <c r="AB99" s="77"/>
    </row>
    <row r="100" spans="1:28">
      <c r="A100" s="33" t="s">
        <v>351</v>
      </c>
      <c r="B100" s="33"/>
      <c r="C100" s="33" t="s">
        <v>10</v>
      </c>
      <c r="D100" s="33" t="s">
        <v>11</v>
      </c>
      <c r="E100" s="34">
        <v>150</v>
      </c>
      <c r="F100" s="34" t="s">
        <v>2</v>
      </c>
      <c r="G100" s="34"/>
      <c r="H100" s="57">
        <v>0.32</v>
      </c>
      <c r="I100" s="42">
        <f t="shared" si="18"/>
        <v>0.53333333333333333</v>
      </c>
      <c r="J100" s="65">
        <f t="shared" si="14"/>
        <v>80</v>
      </c>
      <c r="K100" s="41">
        <f t="shared" si="15"/>
        <v>0.39999999999999997</v>
      </c>
      <c r="L100" s="47">
        <f t="shared" si="19"/>
        <v>0.49230769230769228</v>
      </c>
      <c r="M100" s="68">
        <f t="shared" si="16"/>
        <v>73.84615384615384</v>
      </c>
      <c r="N100" s="48">
        <f t="shared" si="17"/>
        <v>0.34999999999999992</v>
      </c>
      <c r="O100" s="71">
        <f t="shared" si="20"/>
        <v>0.45714285714285718</v>
      </c>
      <c r="P100" s="71">
        <f t="shared" si="21"/>
        <v>68.571428571428584</v>
      </c>
      <c r="Q100" s="37">
        <f t="shared" si="22"/>
        <v>0.30000000000000004</v>
      </c>
      <c r="R100" s="35" t="s">
        <v>3</v>
      </c>
      <c r="S100" s="35" t="s">
        <v>3</v>
      </c>
      <c r="T100" s="77"/>
      <c r="U100" s="77"/>
      <c r="V100" s="77"/>
      <c r="W100" s="77"/>
      <c r="X100" s="77"/>
      <c r="Y100" s="82">
        <v>153156</v>
      </c>
      <c r="AA100" s="77"/>
      <c r="AB100" s="77"/>
    </row>
    <row r="101" spans="1:28">
      <c r="A101" s="33" t="s">
        <v>351</v>
      </c>
      <c r="B101" s="33"/>
      <c r="C101" s="33" t="s">
        <v>12</v>
      </c>
      <c r="D101" s="33" t="s">
        <v>13</v>
      </c>
      <c r="E101" s="34">
        <v>150</v>
      </c>
      <c r="F101" s="34" t="s">
        <v>2</v>
      </c>
      <c r="G101" s="34"/>
      <c r="H101" s="57">
        <v>0.41</v>
      </c>
      <c r="I101" s="42">
        <f t="shared" si="18"/>
        <v>0.68333333333333335</v>
      </c>
      <c r="J101" s="65">
        <f t="shared" si="14"/>
        <v>102.5</v>
      </c>
      <c r="K101" s="41">
        <f t="shared" si="15"/>
        <v>0.4</v>
      </c>
      <c r="L101" s="47">
        <f t="shared" si="19"/>
        <v>0.63076923076923075</v>
      </c>
      <c r="M101" s="68">
        <f t="shared" si="16"/>
        <v>94.615384615384613</v>
      </c>
      <c r="N101" s="48">
        <f t="shared" si="17"/>
        <v>0.35000000000000003</v>
      </c>
      <c r="O101" s="71">
        <f t="shared" si="20"/>
        <v>0.58571428571428574</v>
      </c>
      <c r="P101" s="71">
        <f t="shared" si="21"/>
        <v>87.857142857142861</v>
      </c>
      <c r="Q101" s="37">
        <f t="shared" si="22"/>
        <v>0.3000000000000001</v>
      </c>
      <c r="R101" s="35" t="s">
        <v>3</v>
      </c>
      <c r="S101" s="35" t="s">
        <v>3</v>
      </c>
      <c r="T101" s="77"/>
      <c r="U101" s="77"/>
      <c r="V101" s="77"/>
      <c r="W101" s="77"/>
      <c r="X101" s="77"/>
      <c r="Y101" s="82">
        <v>153156</v>
      </c>
      <c r="AA101" s="77"/>
      <c r="AB101" s="77"/>
    </row>
    <row r="102" spans="1:28">
      <c r="A102" s="33" t="s">
        <v>351</v>
      </c>
      <c r="B102" s="33"/>
      <c r="C102" s="33" t="s">
        <v>14</v>
      </c>
      <c r="D102" s="33" t="s">
        <v>15</v>
      </c>
      <c r="E102" s="34">
        <v>100</v>
      </c>
      <c r="F102" s="34" t="s">
        <v>2</v>
      </c>
      <c r="G102" s="34"/>
      <c r="H102" s="57">
        <v>0.54</v>
      </c>
      <c r="I102" s="42">
        <f t="shared" si="18"/>
        <v>0.90000000000000013</v>
      </c>
      <c r="J102" s="65">
        <f t="shared" si="14"/>
        <v>90.000000000000014</v>
      </c>
      <c r="K102" s="41">
        <f t="shared" si="15"/>
        <v>0.4</v>
      </c>
      <c r="L102" s="47">
        <f t="shared" si="19"/>
        <v>0.83076923076923082</v>
      </c>
      <c r="M102" s="68">
        <f t="shared" si="16"/>
        <v>83.07692307692308</v>
      </c>
      <c r="N102" s="48">
        <f t="shared" si="17"/>
        <v>0.35</v>
      </c>
      <c r="O102" s="71">
        <f t="shared" si="20"/>
        <v>0.77142857142857157</v>
      </c>
      <c r="P102" s="71">
        <f t="shared" si="21"/>
        <v>77.142857142857153</v>
      </c>
      <c r="Q102" s="37">
        <f t="shared" si="22"/>
        <v>0.3000000000000001</v>
      </c>
      <c r="R102" s="35" t="s">
        <v>3</v>
      </c>
      <c r="S102" s="35" t="s">
        <v>3</v>
      </c>
      <c r="T102" s="77"/>
      <c r="U102" s="77"/>
      <c r="V102" s="77"/>
      <c r="W102" s="77"/>
      <c r="X102" s="77"/>
      <c r="Y102" s="82">
        <v>153156</v>
      </c>
      <c r="AA102" s="77"/>
      <c r="AB102" s="77"/>
    </row>
    <row r="103" spans="1:28">
      <c r="A103" s="33" t="s">
        <v>351</v>
      </c>
      <c r="B103" s="33"/>
      <c r="C103" s="33" t="s">
        <v>16</v>
      </c>
      <c r="D103" s="33" t="s">
        <v>17</v>
      </c>
      <c r="E103" s="34">
        <v>100</v>
      </c>
      <c r="F103" s="34" t="s">
        <v>2</v>
      </c>
      <c r="G103" s="34"/>
      <c r="H103" s="57">
        <v>0.56000000000000005</v>
      </c>
      <c r="I103" s="42">
        <f t="shared" si="18"/>
        <v>0.93333333333333346</v>
      </c>
      <c r="J103" s="65">
        <f t="shared" si="14"/>
        <v>93.333333333333343</v>
      </c>
      <c r="K103" s="41">
        <f t="shared" si="15"/>
        <v>0.4</v>
      </c>
      <c r="L103" s="47">
        <f t="shared" si="19"/>
        <v>0.86153846153846159</v>
      </c>
      <c r="M103" s="68">
        <f t="shared" si="16"/>
        <v>86.15384615384616</v>
      </c>
      <c r="N103" s="48">
        <f t="shared" si="17"/>
        <v>0.35</v>
      </c>
      <c r="O103" s="71">
        <f t="shared" si="20"/>
        <v>0.80000000000000016</v>
      </c>
      <c r="P103" s="71">
        <f t="shared" si="21"/>
        <v>80.000000000000014</v>
      </c>
      <c r="Q103" s="37">
        <f t="shared" si="22"/>
        <v>0.30000000000000004</v>
      </c>
      <c r="R103" s="35" t="s">
        <v>3</v>
      </c>
      <c r="S103" s="35" t="s">
        <v>3</v>
      </c>
      <c r="T103" s="77"/>
      <c r="U103" s="77"/>
      <c r="V103" s="77"/>
      <c r="W103" s="77"/>
      <c r="X103" s="77"/>
      <c r="Y103" s="82">
        <v>153156</v>
      </c>
      <c r="AA103" s="77"/>
      <c r="AB103" s="77"/>
    </row>
    <row r="104" spans="1:28">
      <c r="A104" s="33" t="s">
        <v>351</v>
      </c>
      <c r="B104" s="33"/>
      <c r="C104" s="33" t="s">
        <v>18</v>
      </c>
      <c r="D104" s="33" t="s">
        <v>19</v>
      </c>
      <c r="E104" s="34">
        <v>100</v>
      </c>
      <c r="F104" s="34" t="s">
        <v>2</v>
      </c>
      <c r="G104" s="34"/>
      <c r="H104" s="57">
        <v>0.76</v>
      </c>
      <c r="I104" s="42">
        <f t="shared" si="18"/>
        <v>1.2666666666666668</v>
      </c>
      <c r="J104" s="65">
        <f t="shared" si="14"/>
        <v>126.66666666666669</v>
      </c>
      <c r="K104" s="41">
        <f t="shared" si="15"/>
        <v>0.40000000000000008</v>
      </c>
      <c r="L104" s="47">
        <f t="shared" si="19"/>
        <v>1.1692307692307693</v>
      </c>
      <c r="M104" s="68">
        <f t="shared" si="16"/>
        <v>116.92307692307693</v>
      </c>
      <c r="N104" s="48">
        <f t="shared" si="17"/>
        <v>0.35000000000000003</v>
      </c>
      <c r="O104" s="71">
        <f t="shared" si="20"/>
        <v>1.0857142857142859</v>
      </c>
      <c r="P104" s="71">
        <f t="shared" si="21"/>
        <v>108.57142857142858</v>
      </c>
      <c r="Q104" s="37">
        <f t="shared" si="22"/>
        <v>0.3000000000000001</v>
      </c>
      <c r="R104" s="35" t="s">
        <v>3</v>
      </c>
      <c r="S104" s="35" t="s">
        <v>3</v>
      </c>
      <c r="T104" s="77"/>
      <c r="U104" s="77"/>
      <c r="V104" s="77"/>
      <c r="W104" s="77"/>
      <c r="X104" s="77"/>
      <c r="Y104" s="82">
        <v>153156</v>
      </c>
      <c r="AA104" s="77"/>
      <c r="AB104" s="77"/>
    </row>
    <row r="105" spans="1:28">
      <c r="A105" s="33" t="s">
        <v>351</v>
      </c>
      <c r="B105" s="33"/>
      <c r="C105" s="33" t="s">
        <v>20</v>
      </c>
      <c r="D105" s="33" t="s">
        <v>21</v>
      </c>
      <c r="E105" s="34">
        <v>100</v>
      </c>
      <c r="F105" s="34" t="s">
        <v>2</v>
      </c>
      <c r="G105" s="34"/>
      <c r="H105" s="57">
        <v>0.96</v>
      </c>
      <c r="I105" s="42">
        <f t="shared" si="18"/>
        <v>1.6</v>
      </c>
      <c r="J105" s="65">
        <f t="shared" si="14"/>
        <v>160</v>
      </c>
      <c r="K105" s="41">
        <f t="shared" si="15"/>
        <v>0.40000000000000008</v>
      </c>
      <c r="L105" s="47">
        <f t="shared" si="19"/>
        <v>1.4769230769230768</v>
      </c>
      <c r="M105" s="68">
        <f t="shared" si="16"/>
        <v>147.69230769230768</v>
      </c>
      <c r="N105" s="48">
        <f t="shared" si="17"/>
        <v>0.35</v>
      </c>
      <c r="O105" s="71">
        <f t="shared" si="20"/>
        <v>1.3714285714285714</v>
      </c>
      <c r="P105" s="71">
        <f t="shared" si="21"/>
        <v>137.14285714285714</v>
      </c>
      <c r="Q105" s="37">
        <f t="shared" si="22"/>
        <v>0.30000000000000004</v>
      </c>
      <c r="R105" s="35" t="s">
        <v>3</v>
      </c>
      <c r="S105" s="35" t="s">
        <v>3</v>
      </c>
      <c r="T105" s="77"/>
      <c r="U105" s="77"/>
      <c r="V105" s="77"/>
      <c r="W105" s="77"/>
      <c r="X105" s="77"/>
      <c r="Y105" s="82">
        <v>153156</v>
      </c>
      <c r="AA105" s="77"/>
      <c r="AB105" s="77"/>
    </row>
    <row r="106" spans="1:28">
      <c r="A106" s="33" t="s">
        <v>351</v>
      </c>
      <c r="B106" s="33"/>
      <c r="C106" s="33" t="s">
        <v>22</v>
      </c>
      <c r="D106" s="33" t="s">
        <v>23</v>
      </c>
      <c r="E106" s="34">
        <v>50</v>
      </c>
      <c r="F106" s="34" t="s">
        <v>2</v>
      </c>
      <c r="G106" s="34"/>
      <c r="H106" s="57">
        <v>1.74</v>
      </c>
      <c r="I106" s="42">
        <f t="shared" si="18"/>
        <v>2.9</v>
      </c>
      <c r="J106" s="65">
        <f t="shared" si="14"/>
        <v>145</v>
      </c>
      <c r="K106" s="41">
        <f t="shared" si="15"/>
        <v>0.39999999999999997</v>
      </c>
      <c r="L106" s="47">
        <f t="shared" si="19"/>
        <v>2.6769230769230767</v>
      </c>
      <c r="M106" s="68">
        <f t="shared" si="16"/>
        <v>133.84615384615384</v>
      </c>
      <c r="N106" s="48">
        <f t="shared" si="17"/>
        <v>0.35</v>
      </c>
      <c r="O106" s="71">
        <f t="shared" si="20"/>
        <v>2.4857142857142858</v>
      </c>
      <c r="P106" s="71">
        <f t="shared" si="21"/>
        <v>124.28571428571429</v>
      </c>
      <c r="Q106" s="37">
        <f t="shared" si="22"/>
        <v>0.30000000000000004</v>
      </c>
      <c r="R106" s="35" t="s">
        <v>3</v>
      </c>
      <c r="S106" s="35" t="s">
        <v>3</v>
      </c>
      <c r="T106" s="77"/>
      <c r="U106" s="77"/>
      <c r="V106" s="77"/>
      <c r="W106" s="77"/>
      <c r="X106" s="77"/>
      <c r="Y106" s="82">
        <v>153156</v>
      </c>
      <c r="AA106" s="77"/>
      <c r="AB106" s="77"/>
    </row>
    <row r="107" spans="1:28">
      <c r="A107" s="33" t="s">
        <v>351</v>
      </c>
      <c r="B107" s="33"/>
      <c r="C107" s="33" t="s">
        <v>24</v>
      </c>
      <c r="D107" s="33" t="s">
        <v>25</v>
      </c>
      <c r="E107" s="34">
        <v>200</v>
      </c>
      <c r="F107" s="34" t="s">
        <v>2</v>
      </c>
      <c r="G107" s="34"/>
      <c r="H107" s="57">
        <v>0.27</v>
      </c>
      <c r="I107" s="42">
        <f t="shared" si="18"/>
        <v>0.45000000000000007</v>
      </c>
      <c r="J107" s="65">
        <f t="shared" si="14"/>
        <v>90.000000000000014</v>
      </c>
      <c r="K107" s="41">
        <f t="shared" si="15"/>
        <v>0.4</v>
      </c>
      <c r="L107" s="47">
        <f t="shared" si="19"/>
        <v>0.41538461538461541</v>
      </c>
      <c r="M107" s="68">
        <f t="shared" si="16"/>
        <v>83.07692307692308</v>
      </c>
      <c r="N107" s="48">
        <f t="shared" si="17"/>
        <v>0.35</v>
      </c>
      <c r="O107" s="71">
        <f t="shared" si="20"/>
        <v>0.38571428571428579</v>
      </c>
      <c r="P107" s="71">
        <f t="shared" si="21"/>
        <v>77.142857142857153</v>
      </c>
      <c r="Q107" s="37">
        <f t="shared" si="22"/>
        <v>0.3000000000000001</v>
      </c>
      <c r="R107" s="35" t="s">
        <v>3</v>
      </c>
      <c r="S107" s="51">
        <v>76</v>
      </c>
      <c r="T107" s="77"/>
      <c r="U107" s="77"/>
      <c r="V107" s="77"/>
      <c r="W107" s="77"/>
      <c r="X107" s="77"/>
      <c r="Y107" s="82">
        <v>153156</v>
      </c>
      <c r="AA107" s="77"/>
      <c r="AB107" s="77"/>
    </row>
    <row r="108" spans="1:28">
      <c r="A108" s="33" t="s">
        <v>351</v>
      </c>
      <c r="B108" s="33"/>
      <c r="C108" s="33" t="s">
        <v>26</v>
      </c>
      <c r="D108" s="33" t="s">
        <v>27</v>
      </c>
      <c r="E108" s="34">
        <v>150</v>
      </c>
      <c r="F108" s="34" t="s">
        <v>2</v>
      </c>
      <c r="G108" s="34"/>
      <c r="H108" s="57">
        <v>0.46</v>
      </c>
      <c r="I108" s="42">
        <f t="shared" si="18"/>
        <v>0.76666666666666672</v>
      </c>
      <c r="J108" s="65">
        <f t="shared" si="14"/>
        <v>115.00000000000001</v>
      </c>
      <c r="K108" s="41">
        <f t="shared" si="15"/>
        <v>0.4</v>
      </c>
      <c r="L108" s="47">
        <f t="shared" si="19"/>
        <v>0.70769230769230773</v>
      </c>
      <c r="M108" s="68">
        <f t="shared" si="16"/>
        <v>106.15384615384616</v>
      </c>
      <c r="N108" s="48">
        <f t="shared" si="17"/>
        <v>0.35000000000000003</v>
      </c>
      <c r="O108" s="71">
        <f t="shared" si="20"/>
        <v>0.65714285714285725</v>
      </c>
      <c r="P108" s="71">
        <f t="shared" si="21"/>
        <v>98.571428571428584</v>
      </c>
      <c r="Q108" s="37">
        <f t="shared" si="22"/>
        <v>0.3000000000000001</v>
      </c>
      <c r="R108" s="35" t="s">
        <v>3</v>
      </c>
      <c r="S108" s="35" t="s">
        <v>3</v>
      </c>
      <c r="T108" s="77"/>
      <c r="U108" s="77"/>
      <c r="V108" s="77"/>
      <c r="W108" s="77"/>
      <c r="X108" s="77"/>
      <c r="Y108" s="82">
        <v>153156</v>
      </c>
      <c r="AA108" s="77"/>
      <c r="AB108" s="77"/>
    </row>
    <row r="109" spans="1:28">
      <c r="A109" s="33" t="s">
        <v>351</v>
      </c>
      <c r="B109" s="33"/>
      <c r="C109" s="33" t="s">
        <v>28</v>
      </c>
      <c r="D109" s="33" t="s">
        <v>29</v>
      </c>
      <c r="E109" s="34">
        <v>50</v>
      </c>
      <c r="F109" s="34" t="s">
        <v>2</v>
      </c>
      <c r="G109" s="34"/>
      <c r="H109" s="57">
        <v>0.69</v>
      </c>
      <c r="I109" s="42">
        <f t="shared" si="18"/>
        <v>1.1499999999999999</v>
      </c>
      <c r="J109" s="65">
        <f t="shared" si="14"/>
        <v>57.499999999999993</v>
      </c>
      <c r="K109" s="41">
        <f t="shared" si="15"/>
        <v>0.4</v>
      </c>
      <c r="L109" s="47">
        <f t="shared" si="19"/>
        <v>1.0615384615384613</v>
      </c>
      <c r="M109" s="68">
        <f t="shared" si="16"/>
        <v>53.076923076923066</v>
      </c>
      <c r="N109" s="48">
        <f t="shared" si="17"/>
        <v>0.34999999999999992</v>
      </c>
      <c r="O109" s="71">
        <f t="shared" si="20"/>
        <v>0.98571428571428565</v>
      </c>
      <c r="P109" s="71">
        <f t="shared" si="21"/>
        <v>49.285714285714285</v>
      </c>
      <c r="Q109" s="37">
        <f t="shared" si="22"/>
        <v>0.3</v>
      </c>
      <c r="R109" s="35" t="s">
        <v>3</v>
      </c>
      <c r="S109" s="35" t="s">
        <v>3</v>
      </c>
      <c r="T109" s="77"/>
      <c r="U109" s="77"/>
      <c r="V109" s="77"/>
      <c r="W109" s="77"/>
      <c r="X109" s="77"/>
      <c r="Y109" s="82">
        <v>153156</v>
      </c>
      <c r="AA109" s="77"/>
      <c r="AB109" s="77"/>
    </row>
    <row r="110" spans="1:28">
      <c r="A110" s="33" t="s">
        <v>351</v>
      </c>
      <c r="B110" s="33"/>
      <c r="C110" s="33" t="s">
        <v>30</v>
      </c>
      <c r="D110" s="33" t="s">
        <v>31</v>
      </c>
      <c r="E110" s="34">
        <v>50</v>
      </c>
      <c r="F110" s="34" t="s">
        <v>2</v>
      </c>
      <c r="G110" s="34"/>
      <c r="H110" s="57">
        <v>0.81</v>
      </c>
      <c r="I110" s="42">
        <f t="shared" si="18"/>
        <v>1.35</v>
      </c>
      <c r="J110" s="65">
        <f t="shared" si="14"/>
        <v>67.5</v>
      </c>
      <c r="K110" s="41">
        <f t="shared" si="15"/>
        <v>0.4</v>
      </c>
      <c r="L110" s="47">
        <f t="shared" si="19"/>
        <v>1.2461538461538462</v>
      </c>
      <c r="M110" s="68">
        <f t="shared" si="16"/>
        <v>62.307692307692307</v>
      </c>
      <c r="N110" s="48">
        <f t="shared" si="17"/>
        <v>0.35</v>
      </c>
      <c r="O110" s="71">
        <f t="shared" si="20"/>
        <v>1.1571428571428573</v>
      </c>
      <c r="P110" s="71">
        <f t="shared" si="21"/>
        <v>57.857142857142861</v>
      </c>
      <c r="Q110" s="37">
        <f t="shared" si="22"/>
        <v>0.30000000000000004</v>
      </c>
      <c r="R110" s="35" t="s">
        <v>3</v>
      </c>
      <c r="S110" s="35" t="s">
        <v>3</v>
      </c>
      <c r="T110" s="77"/>
      <c r="U110" s="77"/>
      <c r="V110" s="77"/>
      <c r="W110" s="77"/>
      <c r="X110" s="77"/>
      <c r="Y110" s="82">
        <v>153156</v>
      </c>
      <c r="AA110" s="77"/>
      <c r="AB110" s="77"/>
    </row>
    <row r="111" spans="1:28">
      <c r="A111" s="33" t="s">
        <v>351</v>
      </c>
      <c r="B111" s="33"/>
      <c r="C111" s="33" t="s">
        <v>32</v>
      </c>
      <c r="D111" s="33" t="s">
        <v>33</v>
      </c>
      <c r="E111" s="34">
        <v>50</v>
      </c>
      <c r="F111" s="34" t="s">
        <v>2</v>
      </c>
      <c r="G111" s="34"/>
      <c r="H111" s="57">
        <v>0.8</v>
      </c>
      <c r="I111" s="42">
        <f t="shared" si="18"/>
        <v>1.3333333333333335</v>
      </c>
      <c r="J111" s="65">
        <f t="shared" si="14"/>
        <v>66.666666666666671</v>
      </c>
      <c r="K111" s="41">
        <f t="shared" si="15"/>
        <v>0.4</v>
      </c>
      <c r="L111" s="47">
        <f t="shared" si="19"/>
        <v>1.2307692307692308</v>
      </c>
      <c r="M111" s="68">
        <f t="shared" si="16"/>
        <v>61.53846153846154</v>
      </c>
      <c r="N111" s="48">
        <f t="shared" si="17"/>
        <v>0.35</v>
      </c>
      <c r="O111" s="71">
        <f t="shared" si="20"/>
        <v>1.142857142857143</v>
      </c>
      <c r="P111" s="71">
        <f t="shared" si="21"/>
        <v>57.142857142857153</v>
      </c>
      <c r="Q111" s="37">
        <f t="shared" si="22"/>
        <v>0.30000000000000004</v>
      </c>
      <c r="R111" s="35" t="s">
        <v>3</v>
      </c>
      <c r="S111" s="51">
        <v>54</v>
      </c>
      <c r="T111" s="77"/>
      <c r="U111" s="77"/>
      <c r="V111" s="77"/>
      <c r="W111" s="77"/>
      <c r="X111" s="77"/>
      <c r="Y111" s="82">
        <v>153156</v>
      </c>
      <c r="AA111" s="77"/>
      <c r="AB111" s="77"/>
    </row>
    <row r="112" spans="1:28">
      <c r="A112" s="33" t="s">
        <v>351</v>
      </c>
      <c r="B112" s="33"/>
      <c r="C112" s="33" t="s">
        <v>34</v>
      </c>
      <c r="D112" s="33" t="s">
        <v>35</v>
      </c>
      <c r="E112" s="34">
        <v>50</v>
      </c>
      <c r="F112" s="34" t="s">
        <v>2</v>
      </c>
      <c r="G112" s="34"/>
      <c r="H112" s="57">
        <v>1.08</v>
      </c>
      <c r="I112" s="42">
        <f t="shared" si="18"/>
        <v>1.8000000000000003</v>
      </c>
      <c r="J112" s="65">
        <f t="shared" si="14"/>
        <v>90.000000000000014</v>
      </c>
      <c r="K112" s="41">
        <f t="shared" si="15"/>
        <v>0.4</v>
      </c>
      <c r="L112" s="47">
        <f t="shared" si="19"/>
        <v>1.6615384615384616</v>
      </c>
      <c r="M112" s="68">
        <f t="shared" si="16"/>
        <v>83.07692307692308</v>
      </c>
      <c r="N112" s="48">
        <f t="shared" si="17"/>
        <v>0.35</v>
      </c>
      <c r="O112" s="71">
        <f t="shared" si="20"/>
        <v>1.5428571428571431</v>
      </c>
      <c r="P112" s="71">
        <f t="shared" si="21"/>
        <v>77.142857142857153</v>
      </c>
      <c r="Q112" s="37">
        <f t="shared" si="22"/>
        <v>0.3000000000000001</v>
      </c>
      <c r="R112" s="35" t="s">
        <v>3</v>
      </c>
      <c r="S112" s="35" t="s">
        <v>3</v>
      </c>
      <c r="T112" s="77"/>
      <c r="U112" s="77"/>
      <c r="V112" s="77"/>
      <c r="W112" s="77"/>
      <c r="X112" s="77"/>
      <c r="Y112" s="82">
        <v>153156</v>
      </c>
      <c r="AA112" s="77"/>
      <c r="AB112" s="77"/>
    </row>
    <row r="113" spans="1:28">
      <c r="A113" s="33" t="s">
        <v>351</v>
      </c>
      <c r="B113" s="33"/>
      <c r="C113" s="33" t="s">
        <v>36</v>
      </c>
      <c r="D113" s="33" t="s">
        <v>37</v>
      </c>
      <c r="E113" s="34">
        <v>50</v>
      </c>
      <c r="F113" s="34" t="s">
        <v>2</v>
      </c>
      <c r="G113" s="34"/>
      <c r="H113" s="57">
        <v>1.36</v>
      </c>
      <c r="I113" s="42">
        <f t="shared" si="18"/>
        <v>2.2666666666666671</v>
      </c>
      <c r="J113" s="65">
        <f t="shared" si="14"/>
        <v>113.33333333333336</v>
      </c>
      <c r="K113" s="41">
        <f t="shared" si="15"/>
        <v>0.40000000000000008</v>
      </c>
      <c r="L113" s="47">
        <f t="shared" si="19"/>
        <v>2.0923076923076924</v>
      </c>
      <c r="M113" s="68">
        <f t="shared" si="16"/>
        <v>104.61538461538463</v>
      </c>
      <c r="N113" s="48">
        <f t="shared" si="17"/>
        <v>0.35</v>
      </c>
      <c r="O113" s="71">
        <f t="shared" si="20"/>
        <v>1.9428571428571431</v>
      </c>
      <c r="P113" s="71">
        <f t="shared" si="21"/>
        <v>97.142857142857153</v>
      </c>
      <c r="Q113" s="37">
        <f t="shared" si="22"/>
        <v>0.30000000000000004</v>
      </c>
      <c r="R113" s="35" t="s">
        <v>3</v>
      </c>
      <c r="S113" s="35" t="s">
        <v>3</v>
      </c>
      <c r="T113" s="77"/>
      <c r="U113" s="77"/>
      <c r="V113" s="77"/>
      <c r="W113" s="77"/>
      <c r="X113" s="77"/>
      <c r="Y113" s="82">
        <v>153156</v>
      </c>
      <c r="AA113" s="77"/>
      <c r="AB113" s="77"/>
    </row>
    <row r="114" spans="1:28">
      <c r="A114" s="33" t="s">
        <v>351</v>
      </c>
      <c r="B114" s="33"/>
      <c r="C114" s="33" t="s">
        <v>38</v>
      </c>
      <c r="D114" s="33" t="s">
        <v>39</v>
      </c>
      <c r="E114" s="34">
        <v>50</v>
      </c>
      <c r="F114" s="34" t="s">
        <v>2</v>
      </c>
      <c r="G114" s="34"/>
      <c r="H114" s="57">
        <v>0.8</v>
      </c>
      <c r="I114" s="42">
        <f t="shared" si="18"/>
        <v>1.3333333333333335</v>
      </c>
      <c r="J114" s="65">
        <f t="shared" si="14"/>
        <v>66.666666666666671</v>
      </c>
      <c r="K114" s="41">
        <f t="shared" si="15"/>
        <v>0.4</v>
      </c>
      <c r="L114" s="47">
        <f t="shared" si="19"/>
        <v>1.2307692307692308</v>
      </c>
      <c r="M114" s="68">
        <f t="shared" si="16"/>
        <v>61.53846153846154</v>
      </c>
      <c r="N114" s="48">
        <f t="shared" si="17"/>
        <v>0.35</v>
      </c>
      <c r="O114" s="71">
        <f t="shared" si="20"/>
        <v>1.142857142857143</v>
      </c>
      <c r="P114" s="71">
        <f t="shared" si="21"/>
        <v>57.142857142857153</v>
      </c>
      <c r="Q114" s="37">
        <f t="shared" si="22"/>
        <v>0.30000000000000004</v>
      </c>
      <c r="R114" s="35" t="s">
        <v>3</v>
      </c>
      <c r="S114" s="35" t="s">
        <v>3</v>
      </c>
      <c r="T114" s="77"/>
      <c r="U114" s="77"/>
      <c r="V114" s="77"/>
      <c r="W114" s="77"/>
      <c r="X114" s="77"/>
      <c r="Y114" s="82">
        <v>153156</v>
      </c>
      <c r="AA114" s="77"/>
      <c r="AB114" s="77"/>
    </row>
    <row r="115" spans="1:28">
      <c r="A115" s="33" t="s">
        <v>351</v>
      </c>
      <c r="B115" s="33"/>
      <c r="C115" s="33" t="s">
        <v>40</v>
      </c>
      <c r="D115" s="33" t="s">
        <v>41</v>
      </c>
      <c r="E115" s="34">
        <v>50</v>
      </c>
      <c r="F115" s="34" t="s">
        <v>2</v>
      </c>
      <c r="G115" s="34"/>
      <c r="H115" s="57">
        <v>0.94</v>
      </c>
      <c r="I115" s="42">
        <f t="shared" si="18"/>
        <v>1.5666666666666667</v>
      </c>
      <c r="J115" s="65">
        <f t="shared" si="14"/>
        <v>78.333333333333329</v>
      </c>
      <c r="K115" s="41">
        <f t="shared" si="15"/>
        <v>0.4</v>
      </c>
      <c r="L115" s="47">
        <f t="shared" si="19"/>
        <v>1.4461538461538461</v>
      </c>
      <c r="M115" s="68">
        <f t="shared" si="16"/>
        <v>72.307692307692307</v>
      </c>
      <c r="N115" s="48">
        <f t="shared" si="17"/>
        <v>0.35000000000000003</v>
      </c>
      <c r="O115" s="71">
        <f t="shared" si="20"/>
        <v>1.342857142857143</v>
      </c>
      <c r="P115" s="71">
        <f t="shared" si="21"/>
        <v>67.142857142857153</v>
      </c>
      <c r="Q115" s="37">
        <f t="shared" si="22"/>
        <v>0.3000000000000001</v>
      </c>
      <c r="R115" s="35" t="s">
        <v>3</v>
      </c>
      <c r="S115" s="35" t="s">
        <v>3</v>
      </c>
      <c r="T115" s="77"/>
      <c r="U115" s="77"/>
      <c r="V115" s="77"/>
      <c r="W115" s="77"/>
      <c r="X115" s="77"/>
      <c r="Y115" s="82">
        <v>153156</v>
      </c>
      <c r="AA115" s="77"/>
      <c r="AB115" s="77"/>
    </row>
    <row r="116" spans="1:28">
      <c r="A116" s="33" t="s">
        <v>351</v>
      </c>
      <c r="B116" s="33"/>
      <c r="C116" s="33" t="s">
        <v>42</v>
      </c>
      <c r="D116" s="33" t="s">
        <v>43</v>
      </c>
      <c r="E116" s="34">
        <v>50</v>
      </c>
      <c r="F116" s="34" t="s">
        <v>2</v>
      </c>
      <c r="G116" s="34"/>
      <c r="H116" s="57">
        <v>1.07</v>
      </c>
      <c r="I116" s="42">
        <f t="shared" si="18"/>
        <v>1.7833333333333334</v>
      </c>
      <c r="J116" s="65">
        <f t="shared" si="14"/>
        <v>89.166666666666671</v>
      </c>
      <c r="K116" s="41">
        <f t="shared" si="15"/>
        <v>0.4</v>
      </c>
      <c r="L116" s="47">
        <f t="shared" si="19"/>
        <v>1.6461538461538463</v>
      </c>
      <c r="M116" s="68">
        <f t="shared" si="16"/>
        <v>82.307692307692321</v>
      </c>
      <c r="N116" s="48">
        <f t="shared" si="17"/>
        <v>0.35000000000000003</v>
      </c>
      <c r="O116" s="71">
        <f t="shared" si="20"/>
        <v>1.5285714285714287</v>
      </c>
      <c r="P116" s="71">
        <f t="shared" si="21"/>
        <v>76.428571428571431</v>
      </c>
      <c r="Q116" s="37">
        <f t="shared" si="22"/>
        <v>0.3</v>
      </c>
      <c r="R116" s="35" t="s">
        <v>3</v>
      </c>
      <c r="S116" s="35" t="s">
        <v>3</v>
      </c>
      <c r="T116" s="77"/>
      <c r="U116" s="77"/>
      <c r="V116" s="77"/>
      <c r="W116" s="77"/>
      <c r="X116" s="77"/>
      <c r="Y116" s="82">
        <v>153156</v>
      </c>
      <c r="AA116" s="77"/>
      <c r="AB116" s="77"/>
    </row>
    <row r="117" spans="1:28">
      <c r="A117" s="33" t="s">
        <v>351</v>
      </c>
      <c r="B117" s="33"/>
      <c r="C117" s="33" t="s">
        <v>44</v>
      </c>
      <c r="D117" s="33" t="s">
        <v>45</v>
      </c>
      <c r="E117" s="34">
        <v>50</v>
      </c>
      <c r="F117" s="34" t="s">
        <v>2</v>
      </c>
      <c r="G117" s="34"/>
      <c r="H117" s="57">
        <v>0.93</v>
      </c>
      <c r="I117" s="42">
        <f t="shared" si="18"/>
        <v>1.55</v>
      </c>
      <c r="J117" s="65">
        <f t="shared" si="14"/>
        <v>77.5</v>
      </c>
      <c r="K117" s="41">
        <f t="shared" si="15"/>
        <v>0.39999999999999997</v>
      </c>
      <c r="L117" s="47">
        <f t="shared" si="19"/>
        <v>1.4307692307692308</v>
      </c>
      <c r="M117" s="68">
        <f t="shared" si="16"/>
        <v>71.538461538461533</v>
      </c>
      <c r="N117" s="48">
        <f t="shared" si="17"/>
        <v>0.35</v>
      </c>
      <c r="O117" s="71">
        <f t="shared" si="20"/>
        <v>1.3285714285714287</v>
      </c>
      <c r="P117" s="71">
        <f t="shared" si="21"/>
        <v>66.428571428571431</v>
      </c>
      <c r="Q117" s="37">
        <f t="shared" si="22"/>
        <v>0.30000000000000004</v>
      </c>
      <c r="R117" s="35" t="s">
        <v>3</v>
      </c>
      <c r="S117" s="35" t="s">
        <v>3</v>
      </c>
      <c r="T117" s="77"/>
      <c r="U117" s="77"/>
      <c r="V117" s="77"/>
      <c r="W117" s="77"/>
      <c r="X117" s="77"/>
      <c r="Y117" s="82">
        <v>153156</v>
      </c>
      <c r="AA117" s="77"/>
      <c r="AB117" s="77"/>
    </row>
    <row r="118" spans="1:28">
      <c r="A118" s="7" t="s">
        <v>351</v>
      </c>
      <c r="B118" s="7"/>
      <c r="C118" s="7" t="s">
        <v>46</v>
      </c>
      <c r="D118" s="7" t="s">
        <v>47</v>
      </c>
      <c r="E118" s="14">
        <v>40</v>
      </c>
      <c r="F118" s="14" t="s">
        <v>2</v>
      </c>
      <c r="G118" s="14"/>
      <c r="H118" s="58">
        <v>1.59</v>
      </c>
      <c r="I118" s="42">
        <f t="shared" si="18"/>
        <v>2.6500000000000004</v>
      </c>
      <c r="J118" s="65">
        <f t="shared" si="14"/>
        <v>106.00000000000001</v>
      </c>
      <c r="K118" s="41">
        <f t="shared" si="15"/>
        <v>0.40000000000000008</v>
      </c>
      <c r="L118" s="47">
        <f t="shared" si="19"/>
        <v>2.4461538461538463</v>
      </c>
      <c r="M118" s="68">
        <f t="shared" si="16"/>
        <v>97.846153846153854</v>
      </c>
      <c r="N118" s="48">
        <f t="shared" si="17"/>
        <v>0.35000000000000003</v>
      </c>
      <c r="O118" s="71">
        <f t="shared" si="20"/>
        <v>2.2714285714285718</v>
      </c>
      <c r="P118" s="71">
        <f t="shared" si="21"/>
        <v>90.857142857142875</v>
      </c>
      <c r="Q118" s="37">
        <f t="shared" si="22"/>
        <v>0.3000000000000001</v>
      </c>
      <c r="R118" s="8" t="s">
        <v>3</v>
      </c>
      <c r="S118" s="8" t="s">
        <v>3</v>
      </c>
      <c r="T118" s="78"/>
      <c r="U118" s="78"/>
      <c r="V118" s="78"/>
      <c r="W118" s="78"/>
      <c r="X118" s="78"/>
      <c r="Y118" s="82">
        <v>153156</v>
      </c>
      <c r="AA118" s="78"/>
      <c r="AB118" s="77"/>
    </row>
    <row r="119" spans="1:28">
      <c r="A119" s="4" t="s">
        <v>354</v>
      </c>
      <c r="B119" s="4"/>
      <c r="C119" s="4" t="s">
        <v>70</v>
      </c>
      <c r="D119" s="4" t="s">
        <v>71</v>
      </c>
      <c r="E119" s="12">
        <v>70</v>
      </c>
      <c r="F119" s="12" t="s">
        <v>2</v>
      </c>
      <c r="G119" s="12">
        <v>24</v>
      </c>
      <c r="H119" s="59">
        <v>1.99</v>
      </c>
      <c r="I119" s="40">
        <f>H119/(1-0.45)</f>
        <v>3.6181818181818177</v>
      </c>
      <c r="J119" s="67">
        <f t="shared" si="14"/>
        <v>253.27272727272725</v>
      </c>
      <c r="K119" s="39">
        <f>(I119-H119)/I119</f>
        <v>0.44999999999999996</v>
      </c>
      <c r="L119" s="45">
        <f t="shared" ref="L119:L138" si="23">H119/(1-0.4)</f>
        <v>3.3166666666666669</v>
      </c>
      <c r="M119" s="70">
        <f t="shared" si="16"/>
        <v>232.16666666666669</v>
      </c>
      <c r="N119" s="46">
        <f t="shared" si="17"/>
        <v>0.4</v>
      </c>
      <c r="O119" s="73"/>
      <c r="P119" s="73"/>
      <c r="Q119" s="16"/>
      <c r="R119" s="9" t="s">
        <v>3</v>
      </c>
      <c r="S119" s="9" t="s">
        <v>3</v>
      </c>
      <c r="T119" s="79"/>
      <c r="U119" s="79"/>
      <c r="V119" s="79"/>
      <c r="W119" s="79"/>
      <c r="X119" s="79"/>
      <c r="Y119" s="83">
        <v>140379</v>
      </c>
      <c r="AA119" s="79"/>
      <c r="AB119" s="79"/>
    </row>
    <row r="120" spans="1:28">
      <c r="A120" s="33" t="s">
        <v>354</v>
      </c>
      <c r="B120" s="33"/>
      <c r="C120" s="33" t="s">
        <v>72</v>
      </c>
      <c r="D120" s="33" t="s">
        <v>73</v>
      </c>
      <c r="E120" s="34">
        <v>70</v>
      </c>
      <c r="F120" s="34" t="s">
        <v>2</v>
      </c>
      <c r="G120" s="34">
        <v>24</v>
      </c>
      <c r="H120" s="57">
        <v>1.99</v>
      </c>
      <c r="I120" s="42">
        <f t="shared" ref="I120:I138" si="24">H120/(1-0.45)</f>
        <v>3.6181818181818177</v>
      </c>
      <c r="J120" s="65">
        <f t="shared" si="14"/>
        <v>253.27272727272725</v>
      </c>
      <c r="K120" s="41">
        <f t="shared" ref="K120:K138" si="25">(I120-H120)/I120</f>
        <v>0.44999999999999996</v>
      </c>
      <c r="L120" s="47">
        <f t="shared" si="23"/>
        <v>3.3166666666666669</v>
      </c>
      <c r="M120" s="68">
        <f t="shared" si="16"/>
        <v>232.16666666666669</v>
      </c>
      <c r="N120" s="48">
        <f t="shared" si="17"/>
        <v>0.4</v>
      </c>
      <c r="O120" s="71"/>
      <c r="P120" s="71"/>
      <c r="Q120" s="36"/>
      <c r="R120" s="35" t="s">
        <v>3</v>
      </c>
      <c r="S120" s="35" t="s">
        <v>3</v>
      </c>
      <c r="T120" s="77"/>
      <c r="U120" s="77"/>
      <c r="V120" s="77"/>
      <c r="W120" s="77"/>
      <c r="X120" s="77"/>
      <c r="Y120" s="82">
        <v>140379</v>
      </c>
      <c r="AA120" s="77"/>
      <c r="AB120" s="77"/>
    </row>
    <row r="121" spans="1:28">
      <c r="A121" s="33" t="s">
        <v>354</v>
      </c>
      <c r="B121" s="33"/>
      <c r="C121" s="33" t="s">
        <v>74</v>
      </c>
      <c r="D121" s="33" t="s">
        <v>75</v>
      </c>
      <c r="E121" s="34">
        <v>60</v>
      </c>
      <c r="F121" s="34" t="s">
        <v>2</v>
      </c>
      <c r="G121" s="34">
        <v>24</v>
      </c>
      <c r="H121" s="57">
        <v>1.99</v>
      </c>
      <c r="I121" s="42">
        <f t="shared" si="24"/>
        <v>3.6181818181818177</v>
      </c>
      <c r="J121" s="65">
        <f t="shared" si="14"/>
        <v>217.09090909090907</v>
      </c>
      <c r="K121" s="41">
        <f t="shared" si="25"/>
        <v>0.44999999999999996</v>
      </c>
      <c r="L121" s="47">
        <f t="shared" si="23"/>
        <v>3.3166666666666669</v>
      </c>
      <c r="M121" s="68">
        <f t="shared" si="16"/>
        <v>199</v>
      </c>
      <c r="N121" s="48">
        <f t="shared" si="17"/>
        <v>0.4</v>
      </c>
      <c r="O121" s="71"/>
      <c r="P121" s="71"/>
      <c r="Q121" s="36"/>
      <c r="R121" s="35" t="s">
        <v>3</v>
      </c>
      <c r="S121" s="35" t="s">
        <v>3</v>
      </c>
      <c r="T121" s="77"/>
      <c r="U121" s="77"/>
      <c r="V121" s="77"/>
      <c r="W121" s="77"/>
      <c r="X121" s="77"/>
      <c r="Y121" s="82">
        <v>140379</v>
      </c>
      <c r="AA121" s="77"/>
      <c r="AB121" s="77"/>
    </row>
    <row r="122" spans="1:28">
      <c r="A122" s="33" t="s">
        <v>354</v>
      </c>
      <c r="B122" s="33"/>
      <c r="C122" s="33" t="s">
        <v>76</v>
      </c>
      <c r="D122" s="33" t="s">
        <v>77</v>
      </c>
      <c r="E122" s="34">
        <v>50</v>
      </c>
      <c r="F122" s="34" t="s">
        <v>2</v>
      </c>
      <c r="G122" s="34">
        <v>24</v>
      </c>
      <c r="H122" s="57">
        <v>1.99</v>
      </c>
      <c r="I122" s="42">
        <f t="shared" si="24"/>
        <v>3.6181818181818177</v>
      </c>
      <c r="J122" s="65">
        <f t="shared" si="14"/>
        <v>180.90909090909088</v>
      </c>
      <c r="K122" s="41">
        <f t="shared" si="25"/>
        <v>0.44999999999999996</v>
      </c>
      <c r="L122" s="47">
        <f t="shared" si="23"/>
        <v>3.3166666666666669</v>
      </c>
      <c r="M122" s="68">
        <f t="shared" si="16"/>
        <v>165.83333333333334</v>
      </c>
      <c r="N122" s="48">
        <f t="shared" si="17"/>
        <v>0.4</v>
      </c>
      <c r="O122" s="71"/>
      <c r="P122" s="71"/>
      <c r="Q122" s="36"/>
      <c r="R122" s="35" t="s">
        <v>3</v>
      </c>
      <c r="S122" s="35" t="s">
        <v>3</v>
      </c>
      <c r="T122" s="77"/>
      <c r="U122" s="77"/>
      <c r="V122" s="77"/>
      <c r="W122" s="77"/>
      <c r="X122" s="77"/>
      <c r="Y122" s="82">
        <v>140379</v>
      </c>
      <c r="AA122" s="77"/>
      <c r="AB122" s="77"/>
    </row>
    <row r="123" spans="1:28">
      <c r="A123" s="33" t="s">
        <v>354</v>
      </c>
      <c r="B123" s="33"/>
      <c r="C123" s="33" t="s">
        <v>78</v>
      </c>
      <c r="D123" s="33" t="s">
        <v>79</v>
      </c>
      <c r="E123" s="34">
        <v>60</v>
      </c>
      <c r="F123" s="34" t="s">
        <v>2</v>
      </c>
      <c r="G123" s="34">
        <v>24</v>
      </c>
      <c r="H123" s="57">
        <v>2.5499999999999998</v>
      </c>
      <c r="I123" s="42">
        <f t="shared" si="24"/>
        <v>4.6363636363636358</v>
      </c>
      <c r="J123" s="65">
        <f t="shared" si="14"/>
        <v>278.18181818181813</v>
      </c>
      <c r="K123" s="41">
        <f t="shared" si="25"/>
        <v>0.44999999999999996</v>
      </c>
      <c r="L123" s="47">
        <f t="shared" si="23"/>
        <v>4.25</v>
      </c>
      <c r="M123" s="68">
        <f t="shared" si="16"/>
        <v>255</v>
      </c>
      <c r="N123" s="48">
        <f t="shared" si="17"/>
        <v>0.4</v>
      </c>
      <c r="O123" s="71"/>
      <c r="P123" s="71"/>
      <c r="Q123" s="36"/>
      <c r="R123" s="35" t="s">
        <v>3</v>
      </c>
      <c r="S123" s="35" t="s">
        <v>3</v>
      </c>
      <c r="T123" s="77"/>
      <c r="U123" s="77"/>
      <c r="V123" s="77"/>
      <c r="W123" s="77"/>
      <c r="X123" s="77"/>
      <c r="Y123" s="82">
        <v>140379</v>
      </c>
      <c r="AA123" s="77"/>
      <c r="AB123" s="77"/>
    </row>
    <row r="124" spans="1:28">
      <c r="A124" s="33" t="s">
        <v>354</v>
      </c>
      <c r="B124" s="33"/>
      <c r="C124" s="33" t="s">
        <v>80</v>
      </c>
      <c r="D124" s="33" t="s">
        <v>81</v>
      </c>
      <c r="E124" s="34">
        <v>54</v>
      </c>
      <c r="F124" s="34" t="s">
        <v>2</v>
      </c>
      <c r="G124" s="34">
        <v>24</v>
      </c>
      <c r="H124" s="57">
        <v>2.5499999999999998</v>
      </c>
      <c r="I124" s="42">
        <f t="shared" si="24"/>
        <v>4.6363636363636358</v>
      </c>
      <c r="J124" s="65">
        <f t="shared" si="14"/>
        <v>250.36363636363635</v>
      </c>
      <c r="K124" s="41">
        <f t="shared" si="25"/>
        <v>0.44999999999999996</v>
      </c>
      <c r="L124" s="47">
        <f t="shared" si="23"/>
        <v>4.25</v>
      </c>
      <c r="M124" s="68">
        <f t="shared" si="16"/>
        <v>229.5</v>
      </c>
      <c r="N124" s="48">
        <f t="shared" si="17"/>
        <v>0.4</v>
      </c>
      <c r="O124" s="71"/>
      <c r="P124" s="71"/>
      <c r="Q124" s="36"/>
      <c r="R124" s="35" t="s">
        <v>3</v>
      </c>
      <c r="S124" s="35" t="s">
        <v>3</v>
      </c>
      <c r="T124" s="77"/>
      <c r="U124" s="77"/>
      <c r="V124" s="77"/>
      <c r="W124" s="77"/>
      <c r="X124" s="77"/>
      <c r="Y124" s="82">
        <v>140379</v>
      </c>
      <c r="AA124" s="77"/>
      <c r="AB124" s="77"/>
    </row>
    <row r="125" spans="1:28">
      <c r="A125" s="33" t="s">
        <v>354</v>
      </c>
      <c r="B125" s="33"/>
      <c r="C125" s="33" t="s">
        <v>82</v>
      </c>
      <c r="D125" s="33" t="s">
        <v>83</v>
      </c>
      <c r="E125" s="34">
        <v>50</v>
      </c>
      <c r="F125" s="34" t="s">
        <v>2</v>
      </c>
      <c r="G125" s="34">
        <v>24</v>
      </c>
      <c r="H125" s="57">
        <v>2.5499999999999998</v>
      </c>
      <c r="I125" s="42">
        <f t="shared" si="24"/>
        <v>4.6363636363636358</v>
      </c>
      <c r="J125" s="65">
        <f t="shared" si="14"/>
        <v>231.81818181818178</v>
      </c>
      <c r="K125" s="41">
        <f t="shared" si="25"/>
        <v>0.44999999999999996</v>
      </c>
      <c r="L125" s="47">
        <f t="shared" si="23"/>
        <v>4.25</v>
      </c>
      <c r="M125" s="68">
        <f t="shared" si="16"/>
        <v>212.5</v>
      </c>
      <c r="N125" s="48">
        <f t="shared" si="17"/>
        <v>0.4</v>
      </c>
      <c r="O125" s="71"/>
      <c r="P125" s="71"/>
      <c r="Q125" s="36"/>
      <c r="R125" s="35" t="s">
        <v>3</v>
      </c>
      <c r="S125" s="35" t="s">
        <v>3</v>
      </c>
      <c r="T125" s="77"/>
      <c r="U125" s="77"/>
      <c r="V125" s="77"/>
      <c r="W125" s="77"/>
      <c r="X125" s="77"/>
      <c r="Y125" s="82">
        <v>140379</v>
      </c>
      <c r="AA125" s="77"/>
      <c r="AB125" s="77"/>
    </row>
    <row r="126" spans="1:28">
      <c r="A126" s="33" t="s">
        <v>354</v>
      </c>
      <c r="B126" s="33"/>
      <c r="C126" s="33" t="s">
        <v>84</v>
      </c>
      <c r="D126" s="33" t="s">
        <v>85</v>
      </c>
      <c r="E126" s="34">
        <v>50</v>
      </c>
      <c r="F126" s="34" t="s">
        <v>2</v>
      </c>
      <c r="G126" s="34">
        <v>24</v>
      </c>
      <c r="H126" s="57">
        <v>2.5499999999999998</v>
      </c>
      <c r="I126" s="42">
        <f t="shared" si="24"/>
        <v>4.6363636363636358</v>
      </c>
      <c r="J126" s="65">
        <f t="shared" si="14"/>
        <v>231.81818181818178</v>
      </c>
      <c r="K126" s="41">
        <f t="shared" si="25"/>
        <v>0.44999999999999996</v>
      </c>
      <c r="L126" s="47">
        <f t="shared" si="23"/>
        <v>4.25</v>
      </c>
      <c r="M126" s="68">
        <f t="shared" si="16"/>
        <v>212.5</v>
      </c>
      <c r="N126" s="48">
        <f t="shared" si="17"/>
        <v>0.4</v>
      </c>
      <c r="O126" s="71"/>
      <c r="P126" s="71"/>
      <c r="Q126" s="36"/>
      <c r="R126" s="35" t="s">
        <v>3</v>
      </c>
      <c r="S126" s="35" t="s">
        <v>3</v>
      </c>
      <c r="T126" s="77"/>
      <c r="U126" s="77"/>
      <c r="V126" s="77"/>
      <c r="W126" s="77"/>
      <c r="X126" s="77"/>
      <c r="Y126" s="82">
        <v>140379</v>
      </c>
      <c r="AA126" s="77"/>
      <c r="AB126" s="77"/>
    </row>
    <row r="127" spans="1:28">
      <c r="A127" s="33" t="s">
        <v>354</v>
      </c>
      <c r="B127" s="33"/>
      <c r="C127" s="33" t="s">
        <v>54</v>
      </c>
      <c r="D127" s="33" t="s">
        <v>55</v>
      </c>
      <c r="E127" s="34">
        <v>60</v>
      </c>
      <c r="F127" s="34" t="s">
        <v>2</v>
      </c>
      <c r="G127" s="34">
        <v>24</v>
      </c>
      <c r="H127" s="57">
        <v>1.99</v>
      </c>
      <c r="I127" s="42">
        <f t="shared" si="24"/>
        <v>3.6181818181818177</v>
      </c>
      <c r="J127" s="65">
        <f t="shared" si="14"/>
        <v>217.09090909090907</v>
      </c>
      <c r="K127" s="41">
        <f t="shared" si="25"/>
        <v>0.44999999999999996</v>
      </c>
      <c r="L127" s="47">
        <f t="shared" si="23"/>
        <v>3.3166666666666669</v>
      </c>
      <c r="M127" s="68">
        <f t="shared" si="16"/>
        <v>199</v>
      </c>
      <c r="N127" s="48">
        <f t="shared" si="17"/>
        <v>0.4</v>
      </c>
      <c r="O127" s="71"/>
      <c r="P127" s="71"/>
      <c r="Q127" s="36"/>
      <c r="R127" s="35" t="s">
        <v>3</v>
      </c>
      <c r="S127" s="35" t="s">
        <v>3</v>
      </c>
      <c r="T127" s="77"/>
      <c r="U127" s="77"/>
      <c r="V127" s="77"/>
      <c r="W127" s="77"/>
      <c r="X127" s="77"/>
      <c r="Y127" s="82">
        <v>140379</v>
      </c>
      <c r="AA127" s="77"/>
      <c r="AB127" s="77"/>
    </row>
    <row r="128" spans="1:28">
      <c r="A128" s="33" t="s">
        <v>354</v>
      </c>
      <c r="B128" s="33"/>
      <c r="C128" s="33" t="s">
        <v>56</v>
      </c>
      <c r="D128" s="33" t="s">
        <v>57</v>
      </c>
      <c r="E128" s="34">
        <v>54</v>
      </c>
      <c r="F128" s="34" t="s">
        <v>2</v>
      </c>
      <c r="G128" s="34">
        <v>24</v>
      </c>
      <c r="H128" s="57">
        <v>1.99</v>
      </c>
      <c r="I128" s="42">
        <f t="shared" si="24"/>
        <v>3.6181818181818177</v>
      </c>
      <c r="J128" s="65">
        <f t="shared" si="14"/>
        <v>195.38181818181815</v>
      </c>
      <c r="K128" s="41">
        <f t="shared" si="25"/>
        <v>0.44999999999999996</v>
      </c>
      <c r="L128" s="47">
        <f t="shared" si="23"/>
        <v>3.3166666666666669</v>
      </c>
      <c r="M128" s="68">
        <f t="shared" si="16"/>
        <v>179.10000000000002</v>
      </c>
      <c r="N128" s="48">
        <f t="shared" si="17"/>
        <v>0.4</v>
      </c>
      <c r="O128" s="71"/>
      <c r="P128" s="71"/>
      <c r="Q128" s="36"/>
      <c r="R128" s="35" t="s">
        <v>3</v>
      </c>
      <c r="S128" s="35" t="s">
        <v>3</v>
      </c>
      <c r="T128" s="77"/>
      <c r="U128" s="77"/>
      <c r="V128" s="77"/>
      <c r="W128" s="77"/>
      <c r="X128" s="77"/>
      <c r="Y128" s="82">
        <v>140379</v>
      </c>
      <c r="AA128" s="77"/>
      <c r="AB128" s="77"/>
    </row>
    <row r="129" spans="1:28">
      <c r="A129" s="33" t="s">
        <v>354</v>
      </c>
      <c r="B129" s="33"/>
      <c r="C129" s="33" t="s">
        <v>58</v>
      </c>
      <c r="D129" s="33" t="s">
        <v>59</v>
      </c>
      <c r="E129" s="34">
        <v>54</v>
      </c>
      <c r="F129" s="34" t="s">
        <v>2</v>
      </c>
      <c r="G129" s="34">
        <v>24</v>
      </c>
      <c r="H129" s="57">
        <v>1.99</v>
      </c>
      <c r="I129" s="42">
        <f t="shared" si="24"/>
        <v>3.6181818181818177</v>
      </c>
      <c r="J129" s="65">
        <f t="shared" si="14"/>
        <v>195.38181818181815</v>
      </c>
      <c r="K129" s="41">
        <f t="shared" si="25"/>
        <v>0.44999999999999996</v>
      </c>
      <c r="L129" s="47">
        <f t="shared" si="23"/>
        <v>3.3166666666666669</v>
      </c>
      <c r="M129" s="68">
        <f t="shared" si="16"/>
        <v>179.10000000000002</v>
      </c>
      <c r="N129" s="48">
        <f t="shared" si="17"/>
        <v>0.4</v>
      </c>
      <c r="O129" s="71"/>
      <c r="P129" s="71"/>
      <c r="Q129" s="36"/>
      <c r="R129" s="35" t="s">
        <v>3</v>
      </c>
      <c r="S129" s="35" t="s">
        <v>3</v>
      </c>
      <c r="T129" s="77"/>
      <c r="U129" s="77"/>
      <c r="V129" s="77"/>
      <c r="W129" s="77"/>
      <c r="X129" s="77"/>
      <c r="Y129" s="82">
        <v>140379</v>
      </c>
      <c r="AA129" s="77"/>
      <c r="AB129" s="77"/>
    </row>
    <row r="130" spans="1:28">
      <c r="A130" s="33" t="s">
        <v>354</v>
      </c>
      <c r="B130" s="33"/>
      <c r="C130" s="33" t="s">
        <v>60</v>
      </c>
      <c r="D130" s="33" t="s">
        <v>61</v>
      </c>
      <c r="E130" s="34">
        <v>50</v>
      </c>
      <c r="F130" s="34" t="s">
        <v>2</v>
      </c>
      <c r="G130" s="34">
        <v>24</v>
      </c>
      <c r="H130" s="57">
        <v>1.99</v>
      </c>
      <c r="I130" s="42">
        <f t="shared" si="24"/>
        <v>3.6181818181818177</v>
      </c>
      <c r="J130" s="65">
        <f t="shared" si="14"/>
        <v>180.90909090909088</v>
      </c>
      <c r="K130" s="41">
        <f t="shared" si="25"/>
        <v>0.44999999999999996</v>
      </c>
      <c r="L130" s="47">
        <f t="shared" si="23"/>
        <v>3.3166666666666669</v>
      </c>
      <c r="M130" s="68">
        <f t="shared" si="16"/>
        <v>165.83333333333334</v>
      </c>
      <c r="N130" s="48">
        <f t="shared" si="17"/>
        <v>0.4</v>
      </c>
      <c r="O130" s="71"/>
      <c r="P130" s="71"/>
      <c r="Q130" s="36"/>
      <c r="R130" s="35" t="s">
        <v>3</v>
      </c>
      <c r="S130" s="35" t="s">
        <v>3</v>
      </c>
      <c r="T130" s="77"/>
      <c r="U130" s="77"/>
      <c r="V130" s="77"/>
      <c r="W130" s="77"/>
      <c r="X130" s="77"/>
      <c r="Y130" s="82">
        <v>140379</v>
      </c>
      <c r="AA130" s="77"/>
      <c r="AB130" s="77"/>
    </row>
    <row r="131" spans="1:28">
      <c r="A131" s="33" t="s">
        <v>354</v>
      </c>
      <c r="B131" s="33"/>
      <c r="C131" s="33" t="s">
        <v>62</v>
      </c>
      <c r="D131" s="33" t="s">
        <v>63</v>
      </c>
      <c r="E131" s="34">
        <v>60</v>
      </c>
      <c r="F131" s="34" t="s">
        <v>2</v>
      </c>
      <c r="G131" s="34">
        <v>24</v>
      </c>
      <c r="H131" s="57">
        <v>2.5499999999999998</v>
      </c>
      <c r="I131" s="42">
        <f t="shared" si="24"/>
        <v>4.6363636363636358</v>
      </c>
      <c r="J131" s="65">
        <f t="shared" si="14"/>
        <v>278.18181818181813</v>
      </c>
      <c r="K131" s="41">
        <f t="shared" si="25"/>
        <v>0.44999999999999996</v>
      </c>
      <c r="L131" s="47">
        <f t="shared" si="23"/>
        <v>4.25</v>
      </c>
      <c r="M131" s="68">
        <f t="shared" si="16"/>
        <v>255</v>
      </c>
      <c r="N131" s="48">
        <f t="shared" si="17"/>
        <v>0.4</v>
      </c>
      <c r="O131" s="71"/>
      <c r="P131" s="71"/>
      <c r="Q131" s="36"/>
      <c r="R131" s="35" t="s">
        <v>3</v>
      </c>
      <c r="S131" s="35" t="s">
        <v>3</v>
      </c>
      <c r="T131" s="77"/>
      <c r="U131" s="77"/>
      <c r="V131" s="77"/>
      <c r="W131" s="77"/>
      <c r="X131" s="77"/>
      <c r="Y131" s="82">
        <v>140379</v>
      </c>
      <c r="AA131" s="77"/>
      <c r="AB131" s="77"/>
    </row>
    <row r="132" spans="1:28">
      <c r="A132" s="33" t="s">
        <v>354</v>
      </c>
      <c r="B132" s="33"/>
      <c r="C132" s="33" t="s">
        <v>64</v>
      </c>
      <c r="D132" s="33" t="s">
        <v>65</v>
      </c>
      <c r="E132" s="34">
        <v>50</v>
      </c>
      <c r="F132" s="34" t="s">
        <v>2</v>
      </c>
      <c r="G132" s="34">
        <v>24</v>
      </c>
      <c r="H132" s="57">
        <v>2.5499999999999998</v>
      </c>
      <c r="I132" s="42">
        <f t="shared" si="24"/>
        <v>4.6363636363636358</v>
      </c>
      <c r="J132" s="65">
        <f t="shared" si="14"/>
        <v>231.81818181818178</v>
      </c>
      <c r="K132" s="41">
        <f t="shared" si="25"/>
        <v>0.44999999999999996</v>
      </c>
      <c r="L132" s="47">
        <f t="shared" si="23"/>
        <v>4.25</v>
      </c>
      <c r="M132" s="68">
        <f t="shared" si="16"/>
        <v>212.5</v>
      </c>
      <c r="N132" s="48">
        <f t="shared" si="17"/>
        <v>0.4</v>
      </c>
      <c r="O132" s="71"/>
      <c r="P132" s="71"/>
      <c r="Q132" s="36"/>
      <c r="R132" s="35" t="s">
        <v>3</v>
      </c>
      <c r="S132" s="35" t="s">
        <v>3</v>
      </c>
      <c r="T132" s="77"/>
      <c r="U132" s="77"/>
      <c r="V132" s="77"/>
      <c r="W132" s="77"/>
      <c r="X132" s="77"/>
      <c r="Y132" s="82">
        <v>140379</v>
      </c>
      <c r="AA132" s="77"/>
      <c r="AB132" s="77"/>
    </row>
    <row r="133" spans="1:28">
      <c r="A133" s="33" t="s">
        <v>354</v>
      </c>
      <c r="B133" s="33"/>
      <c r="C133" s="33" t="s">
        <v>66</v>
      </c>
      <c r="D133" s="33" t="s">
        <v>67</v>
      </c>
      <c r="E133" s="34">
        <v>42</v>
      </c>
      <c r="F133" s="34" t="s">
        <v>2</v>
      </c>
      <c r="G133" s="34">
        <v>24</v>
      </c>
      <c r="H133" s="57">
        <v>2.5499999999999998</v>
      </c>
      <c r="I133" s="42">
        <f t="shared" si="24"/>
        <v>4.6363636363636358</v>
      </c>
      <c r="J133" s="65">
        <f t="shared" si="14"/>
        <v>194.72727272727269</v>
      </c>
      <c r="K133" s="41">
        <f t="shared" si="25"/>
        <v>0.44999999999999996</v>
      </c>
      <c r="L133" s="47">
        <f t="shared" si="23"/>
        <v>4.25</v>
      </c>
      <c r="M133" s="68">
        <f t="shared" si="16"/>
        <v>178.5</v>
      </c>
      <c r="N133" s="48">
        <f t="shared" si="17"/>
        <v>0.4</v>
      </c>
      <c r="O133" s="71"/>
      <c r="P133" s="71"/>
      <c r="Q133" s="36"/>
      <c r="R133" s="35" t="s">
        <v>3</v>
      </c>
      <c r="S133" s="35" t="s">
        <v>3</v>
      </c>
      <c r="T133" s="77"/>
      <c r="U133" s="77"/>
      <c r="V133" s="77"/>
      <c r="W133" s="77"/>
      <c r="X133" s="77"/>
      <c r="Y133" s="82">
        <v>140379</v>
      </c>
      <c r="AA133" s="77"/>
      <c r="AB133" s="77"/>
    </row>
    <row r="134" spans="1:28">
      <c r="A134" s="33" t="s">
        <v>354</v>
      </c>
      <c r="B134" s="33"/>
      <c r="C134" s="33" t="s">
        <v>68</v>
      </c>
      <c r="D134" s="33" t="s">
        <v>69</v>
      </c>
      <c r="E134" s="34">
        <v>42</v>
      </c>
      <c r="F134" s="34" t="s">
        <v>2</v>
      </c>
      <c r="G134" s="34">
        <v>24</v>
      </c>
      <c r="H134" s="57">
        <v>2.5499999999999998</v>
      </c>
      <c r="I134" s="42">
        <f t="shared" si="24"/>
        <v>4.6363636363636358</v>
      </c>
      <c r="J134" s="65">
        <f t="shared" si="14"/>
        <v>194.72727272727269</v>
      </c>
      <c r="K134" s="41">
        <f t="shared" si="25"/>
        <v>0.44999999999999996</v>
      </c>
      <c r="L134" s="47">
        <f t="shared" si="23"/>
        <v>4.25</v>
      </c>
      <c r="M134" s="68">
        <f t="shared" si="16"/>
        <v>178.5</v>
      </c>
      <c r="N134" s="48">
        <f t="shared" si="17"/>
        <v>0.4</v>
      </c>
      <c r="O134" s="71"/>
      <c r="P134" s="71"/>
      <c r="Q134" s="36"/>
      <c r="R134" s="35" t="s">
        <v>3</v>
      </c>
      <c r="S134" s="35" t="s">
        <v>3</v>
      </c>
      <c r="T134" s="77"/>
      <c r="U134" s="77"/>
      <c r="V134" s="77"/>
      <c r="W134" s="77"/>
      <c r="X134" s="77"/>
      <c r="Y134" s="82">
        <v>140379</v>
      </c>
      <c r="AA134" s="77"/>
      <c r="AB134" s="77"/>
    </row>
    <row r="135" spans="1:28">
      <c r="A135" s="33" t="s">
        <v>354</v>
      </c>
      <c r="B135" s="33"/>
      <c r="C135" s="33" t="s">
        <v>86</v>
      </c>
      <c r="D135" s="33" t="s">
        <v>87</v>
      </c>
      <c r="E135" s="34">
        <v>50</v>
      </c>
      <c r="F135" s="34" t="s">
        <v>2</v>
      </c>
      <c r="G135" s="34">
        <v>24</v>
      </c>
      <c r="H135" s="57">
        <v>3.95</v>
      </c>
      <c r="I135" s="42">
        <f t="shared" si="24"/>
        <v>7.1818181818181817</v>
      </c>
      <c r="J135" s="65">
        <f t="shared" si="14"/>
        <v>359.09090909090907</v>
      </c>
      <c r="K135" s="41">
        <f t="shared" si="25"/>
        <v>0.44999999999999996</v>
      </c>
      <c r="L135" s="47">
        <f t="shared" si="23"/>
        <v>6.5833333333333339</v>
      </c>
      <c r="M135" s="68">
        <f t="shared" si="16"/>
        <v>329.16666666666669</v>
      </c>
      <c r="N135" s="48">
        <f t="shared" si="17"/>
        <v>0.4</v>
      </c>
      <c r="O135" s="71"/>
      <c r="P135" s="71"/>
      <c r="Q135" s="36"/>
      <c r="R135" s="35" t="s">
        <v>3</v>
      </c>
      <c r="S135" s="35" t="s">
        <v>3</v>
      </c>
      <c r="T135" s="77"/>
      <c r="U135" s="77"/>
      <c r="V135" s="77"/>
      <c r="W135" s="77"/>
      <c r="X135" s="77"/>
      <c r="Y135" s="82">
        <v>140379</v>
      </c>
      <c r="AA135" s="77"/>
      <c r="AB135" s="77"/>
    </row>
    <row r="136" spans="1:28">
      <c r="A136" s="33" t="s">
        <v>354</v>
      </c>
      <c r="B136" s="33"/>
      <c r="C136" s="33" t="s">
        <v>88</v>
      </c>
      <c r="D136" s="33" t="s">
        <v>89</v>
      </c>
      <c r="E136" s="34">
        <v>50</v>
      </c>
      <c r="F136" s="34" t="s">
        <v>2</v>
      </c>
      <c r="G136" s="34">
        <v>24</v>
      </c>
      <c r="H136" s="57">
        <v>3.95</v>
      </c>
      <c r="I136" s="42">
        <f t="shared" si="24"/>
        <v>7.1818181818181817</v>
      </c>
      <c r="J136" s="65">
        <f t="shared" si="14"/>
        <v>359.09090909090907</v>
      </c>
      <c r="K136" s="41">
        <f t="shared" si="25"/>
        <v>0.44999999999999996</v>
      </c>
      <c r="L136" s="47">
        <f t="shared" si="23"/>
        <v>6.5833333333333339</v>
      </c>
      <c r="M136" s="68">
        <f t="shared" si="16"/>
        <v>329.16666666666669</v>
      </c>
      <c r="N136" s="48">
        <f t="shared" si="17"/>
        <v>0.4</v>
      </c>
      <c r="O136" s="71"/>
      <c r="P136" s="71"/>
      <c r="Q136" s="36"/>
      <c r="R136" s="35" t="s">
        <v>3</v>
      </c>
      <c r="S136" s="35" t="s">
        <v>3</v>
      </c>
      <c r="T136" s="77"/>
      <c r="U136" s="77"/>
      <c r="V136" s="77"/>
      <c r="W136" s="77"/>
      <c r="X136" s="77"/>
      <c r="Y136" s="82">
        <v>140379</v>
      </c>
      <c r="AA136" s="77"/>
      <c r="AB136" s="77"/>
    </row>
    <row r="137" spans="1:28">
      <c r="A137" s="33" t="s">
        <v>354</v>
      </c>
      <c r="B137" s="33"/>
      <c r="C137" s="33" t="s">
        <v>90</v>
      </c>
      <c r="D137" s="33" t="s">
        <v>91</v>
      </c>
      <c r="E137" s="34">
        <v>42</v>
      </c>
      <c r="F137" s="34" t="s">
        <v>2</v>
      </c>
      <c r="G137" s="34">
        <v>24</v>
      </c>
      <c r="H137" s="57">
        <v>3.95</v>
      </c>
      <c r="I137" s="42">
        <f t="shared" si="24"/>
        <v>7.1818181818181817</v>
      </c>
      <c r="J137" s="65">
        <f t="shared" si="14"/>
        <v>301.63636363636363</v>
      </c>
      <c r="K137" s="41">
        <f t="shared" si="25"/>
        <v>0.44999999999999996</v>
      </c>
      <c r="L137" s="47">
        <f t="shared" si="23"/>
        <v>6.5833333333333339</v>
      </c>
      <c r="M137" s="68">
        <f t="shared" si="16"/>
        <v>276.5</v>
      </c>
      <c r="N137" s="48">
        <f t="shared" si="17"/>
        <v>0.4</v>
      </c>
      <c r="O137" s="71"/>
      <c r="P137" s="71"/>
      <c r="Q137" s="36"/>
      <c r="R137" s="35" t="s">
        <v>3</v>
      </c>
      <c r="S137" s="35" t="s">
        <v>3</v>
      </c>
      <c r="T137" s="77"/>
      <c r="U137" s="77"/>
      <c r="V137" s="77"/>
      <c r="W137" s="77"/>
      <c r="X137" s="77"/>
      <c r="Y137" s="82">
        <v>140379</v>
      </c>
      <c r="AA137" s="77"/>
      <c r="AB137" s="77"/>
    </row>
    <row r="138" spans="1:28">
      <c r="A138" s="7" t="s">
        <v>354</v>
      </c>
      <c r="B138" s="7"/>
      <c r="C138" s="7" t="s">
        <v>92</v>
      </c>
      <c r="D138" s="7" t="s">
        <v>93</v>
      </c>
      <c r="E138" s="14">
        <v>42</v>
      </c>
      <c r="F138" s="14" t="s">
        <v>2</v>
      </c>
      <c r="G138" s="14">
        <v>24</v>
      </c>
      <c r="H138" s="58">
        <v>3.95</v>
      </c>
      <c r="I138" s="44">
        <f t="shared" si="24"/>
        <v>7.1818181818181817</v>
      </c>
      <c r="J138" s="66">
        <f t="shared" si="14"/>
        <v>301.63636363636363</v>
      </c>
      <c r="K138" s="43">
        <f t="shared" si="25"/>
        <v>0.44999999999999996</v>
      </c>
      <c r="L138" s="49">
        <f t="shared" si="23"/>
        <v>6.5833333333333339</v>
      </c>
      <c r="M138" s="69">
        <f t="shared" si="16"/>
        <v>276.5</v>
      </c>
      <c r="N138" s="50">
        <f t="shared" si="17"/>
        <v>0.4</v>
      </c>
      <c r="O138" s="72"/>
      <c r="P138" s="72"/>
      <c r="Q138" s="18"/>
      <c r="R138" s="8" t="s">
        <v>3</v>
      </c>
      <c r="S138" s="8" t="s">
        <v>3</v>
      </c>
      <c r="T138" s="78"/>
      <c r="U138" s="78"/>
      <c r="V138" s="78"/>
      <c r="W138" s="78"/>
      <c r="X138" s="78"/>
      <c r="Y138" s="84">
        <v>140379</v>
      </c>
      <c r="AA138" s="78"/>
      <c r="AB138" s="78"/>
    </row>
  </sheetData>
  <mergeCells count="3">
    <mergeCell ref="I1:K1"/>
    <mergeCell ref="L1:N1"/>
    <mergeCell ref="O1:Q1"/>
  </mergeCells>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29"/>
  <sheetViews>
    <sheetView zoomScale="85" zoomScaleNormal="85" zoomScalePageLayoutView="85" workbookViewId="0">
      <pane ySplit="2" topLeftCell="A3" activePane="bottomLeft" state="frozen"/>
      <selection pane="bottomLeft" activeCell="K133" sqref="K133"/>
    </sheetView>
  </sheetViews>
  <sheetFormatPr defaultColWidth="8.85546875" defaultRowHeight="12.75"/>
  <cols>
    <col min="1" max="1" width="12.7109375" style="102" bestFit="1" customWidth="1"/>
    <col min="2" max="2" width="30.42578125" style="102" hidden="1" customWidth="1"/>
    <col min="3" max="3" width="9.28515625" style="103" hidden="1" customWidth="1"/>
    <col min="4" max="4" width="18.140625" style="103" hidden="1" customWidth="1"/>
    <col min="5" max="5" width="15.42578125" style="103" hidden="1" customWidth="1"/>
    <col min="6" max="6" width="15.42578125" style="133" hidden="1" customWidth="1"/>
    <col min="7" max="7" width="15.42578125" style="134" hidden="1" customWidth="1"/>
    <col min="8" max="8" width="9.42578125" style="103" hidden="1" customWidth="1"/>
    <col min="9" max="9" width="45" style="103" hidden="1" customWidth="1"/>
    <col min="10" max="10" width="80.140625" style="102" hidden="1" customWidth="1"/>
    <col min="11" max="11" width="5.28515625" style="103" bestFit="1" customWidth="1"/>
    <col min="12" max="12" width="5.85546875" style="103" bestFit="1" customWidth="1"/>
    <col min="13" max="13" width="10.7109375" style="103" customWidth="1"/>
    <col min="14" max="256" width="8.85546875" style="102"/>
    <col min="257" max="257" width="12.7109375" style="102" bestFit="1" customWidth="1"/>
    <col min="258" max="258" width="30.42578125" style="102" bestFit="1" customWidth="1"/>
    <col min="259" max="259" width="13.85546875" style="102" customWidth="1"/>
    <col min="260" max="267" width="0" style="102" hidden="1" customWidth="1"/>
    <col min="268" max="269" width="10.7109375" style="102" customWidth="1"/>
    <col min="270" max="512" width="8.85546875" style="102"/>
    <col min="513" max="513" width="12.7109375" style="102" bestFit="1" customWidth="1"/>
    <col min="514" max="514" width="30.42578125" style="102" bestFit="1" customWidth="1"/>
    <col min="515" max="515" width="13.85546875" style="102" customWidth="1"/>
    <col min="516" max="523" width="0" style="102" hidden="1" customWidth="1"/>
    <col min="524" max="525" width="10.7109375" style="102" customWidth="1"/>
    <col min="526" max="768" width="8.85546875" style="102"/>
    <col min="769" max="769" width="12.7109375" style="102" bestFit="1" customWidth="1"/>
    <col min="770" max="770" width="30.42578125" style="102" bestFit="1" customWidth="1"/>
    <col min="771" max="771" width="13.85546875" style="102" customWidth="1"/>
    <col min="772" max="779" width="0" style="102" hidden="1" customWidth="1"/>
    <col min="780" max="781" width="10.7109375" style="102" customWidth="1"/>
    <col min="782" max="1024" width="8.85546875" style="102"/>
    <col min="1025" max="1025" width="12.7109375" style="102" bestFit="1" customWidth="1"/>
    <col min="1026" max="1026" width="30.42578125" style="102" bestFit="1" customWidth="1"/>
    <col min="1027" max="1027" width="13.85546875" style="102" customWidth="1"/>
    <col min="1028" max="1035" width="0" style="102" hidden="1" customWidth="1"/>
    <col min="1036" max="1037" width="10.7109375" style="102" customWidth="1"/>
    <col min="1038" max="1280" width="8.85546875" style="102"/>
    <col min="1281" max="1281" width="12.7109375" style="102" bestFit="1" customWidth="1"/>
    <col min="1282" max="1282" width="30.42578125" style="102" bestFit="1" customWidth="1"/>
    <col min="1283" max="1283" width="13.85546875" style="102" customWidth="1"/>
    <col min="1284" max="1291" width="0" style="102" hidden="1" customWidth="1"/>
    <col min="1292" max="1293" width="10.7109375" style="102" customWidth="1"/>
    <col min="1294" max="1536" width="8.85546875" style="102"/>
    <col min="1537" max="1537" width="12.7109375" style="102" bestFit="1" customWidth="1"/>
    <col min="1538" max="1538" width="30.42578125" style="102" bestFit="1" customWidth="1"/>
    <col min="1539" max="1539" width="13.85546875" style="102" customWidth="1"/>
    <col min="1540" max="1547" width="0" style="102" hidden="1" customWidth="1"/>
    <col min="1548" max="1549" width="10.7109375" style="102" customWidth="1"/>
    <col min="1550" max="1792" width="8.85546875" style="102"/>
    <col min="1793" max="1793" width="12.7109375" style="102" bestFit="1" customWidth="1"/>
    <col min="1794" max="1794" width="30.42578125" style="102" bestFit="1" customWidth="1"/>
    <col min="1795" max="1795" width="13.85546875" style="102" customWidth="1"/>
    <col min="1796" max="1803" width="0" style="102" hidden="1" customWidth="1"/>
    <col min="1804" max="1805" width="10.7109375" style="102" customWidth="1"/>
    <col min="1806" max="2048" width="8.85546875" style="102"/>
    <col min="2049" max="2049" width="12.7109375" style="102" bestFit="1" customWidth="1"/>
    <col min="2050" max="2050" width="30.42578125" style="102" bestFit="1" customWidth="1"/>
    <col min="2051" max="2051" width="13.85546875" style="102" customWidth="1"/>
    <col min="2052" max="2059" width="0" style="102" hidden="1" customWidth="1"/>
    <col min="2060" max="2061" width="10.7109375" style="102" customWidth="1"/>
    <col min="2062" max="2304" width="8.85546875" style="102"/>
    <col min="2305" max="2305" width="12.7109375" style="102" bestFit="1" customWidth="1"/>
    <col min="2306" max="2306" width="30.42578125" style="102" bestFit="1" customWidth="1"/>
    <col min="2307" max="2307" width="13.85546875" style="102" customWidth="1"/>
    <col min="2308" max="2315" width="0" style="102" hidden="1" customWidth="1"/>
    <col min="2316" max="2317" width="10.7109375" style="102" customWidth="1"/>
    <col min="2318" max="2560" width="8.85546875" style="102"/>
    <col min="2561" max="2561" width="12.7109375" style="102" bestFit="1" customWidth="1"/>
    <col min="2562" max="2562" width="30.42578125" style="102" bestFit="1" customWidth="1"/>
    <col min="2563" max="2563" width="13.85546875" style="102" customWidth="1"/>
    <col min="2564" max="2571" width="0" style="102" hidden="1" customWidth="1"/>
    <col min="2572" max="2573" width="10.7109375" style="102" customWidth="1"/>
    <col min="2574" max="2816" width="8.85546875" style="102"/>
    <col min="2817" max="2817" width="12.7109375" style="102" bestFit="1" customWidth="1"/>
    <col min="2818" max="2818" width="30.42578125" style="102" bestFit="1" customWidth="1"/>
    <col min="2819" max="2819" width="13.85546875" style="102" customWidth="1"/>
    <col min="2820" max="2827" width="0" style="102" hidden="1" customWidth="1"/>
    <col min="2828" max="2829" width="10.7109375" style="102" customWidth="1"/>
    <col min="2830" max="3072" width="8.85546875" style="102"/>
    <col min="3073" max="3073" width="12.7109375" style="102" bestFit="1" customWidth="1"/>
    <col min="3074" max="3074" width="30.42578125" style="102" bestFit="1" customWidth="1"/>
    <col min="3075" max="3075" width="13.85546875" style="102" customWidth="1"/>
    <col min="3076" max="3083" width="0" style="102" hidden="1" customWidth="1"/>
    <col min="3084" max="3085" width="10.7109375" style="102" customWidth="1"/>
    <col min="3086" max="3328" width="8.85546875" style="102"/>
    <col min="3329" max="3329" width="12.7109375" style="102" bestFit="1" customWidth="1"/>
    <col min="3330" max="3330" width="30.42578125" style="102" bestFit="1" customWidth="1"/>
    <col min="3331" max="3331" width="13.85546875" style="102" customWidth="1"/>
    <col min="3332" max="3339" width="0" style="102" hidden="1" customWidth="1"/>
    <col min="3340" max="3341" width="10.7109375" style="102" customWidth="1"/>
    <col min="3342" max="3584" width="8.85546875" style="102"/>
    <col min="3585" max="3585" width="12.7109375" style="102" bestFit="1" customWidth="1"/>
    <col min="3586" max="3586" width="30.42578125" style="102" bestFit="1" customWidth="1"/>
    <col min="3587" max="3587" width="13.85546875" style="102" customWidth="1"/>
    <col min="3588" max="3595" width="0" style="102" hidden="1" customWidth="1"/>
    <col min="3596" max="3597" width="10.7109375" style="102" customWidth="1"/>
    <col min="3598" max="3840" width="8.85546875" style="102"/>
    <col min="3841" max="3841" width="12.7109375" style="102" bestFit="1" customWidth="1"/>
    <col min="3842" max="3842" width="30.42578125" style="102" bestFit="1" customWidth="1"/>
    <col min="3843" max="3843" width="13.85546875" style="102" customWidth="1"/>
    <col min="3844" max="3851" width="0" style="102" hidden="1" customWidth="1"/>
    <col min="3852" max="3853" width="10.7109375" style="102" customWidth="1"/>
    <col min="3854" max="4096" width="8.85546875" style="102"/>
    <col min="4097" max="4097" width="12.7109375" style="102" bestFit="1" customWidth="1"/>
    <col min="4098" max="4098" width="30.42578125" style="102" bestFit="1" customWidth="1"/>
    <col min="4099" max="4099" width="13.85546875" style="102" customWidth="1"/>
    <col min="4100" max="4107" width="0" style="102" hidden="1" customWidth="1"/>
    <col min="4108" max="4109" width="10.7109375" style="102" customWidth="1"/>
    <col min="4110" max="4352" width="8.85546875" style="102"/>
    <col min="4353" max="4353" width="12.7109375" style="102" bestFit="1" customWidth="1"/>
    <col min="4354" max="4354" width="30.42578125" style="102" bestFit="1" customWidth="1"/>
    <col min="4355" max="4355" width="13.85546875" style="102" customWidth="1"/>
    <col min="4356" max="4363" width="0" style="102" hidden="1" customWidth="1"/>
    <col min="4364" max="4365" width="10.7109375" style="102" customWidth="1"/>
    <col min="4366" max="4608" width="8.85546875" style="102"/>
    <col min="4609" max="4609" width="12.7109375" style="102" bestFit="1" customWidth="1"/>
    <col min="4610" max="4610" width="30.42578125" style="102" bestFit="1" customWidth="1"/>
    <col min="4611" max="4611" width="13.85546875" style="102" customWidth="1"/>
    <col min="4612" max="4619" width="0" style="102" hidden="1" customWidth="1"/>
    <col min="4620" max="4621" width="10.7109375" style="102" customWidth="1"/>
    <col min="4622" max="4864" width="8.85546875" style="102"/>
    <col min="4865" max="4865" width="12.7109375" style="102" bestFit="1" customWidth="1"/>
    <col min="4866" max="4866" width="30.42578125" style="102" bestFit="1" customWidth="1"/>
    <col min="4867" max="4867" width="13.85546875" style="102" customWidth="1"/>
    <col min="4868" max="4875" width="0" style="102" hidden="1" customWidth="1"/>
    <col min="4876" max="4877" width="10.7109375" style="102" customWidth="1"/>
    <col min="4878" max="5120" width="8.85546875" style="102"/>
    <col min="5121" max="5121" width="12.7109375" style="102" bestFit="1" customWidth="1"/>
    <col min="5122" max="5122" width="30.42578125" style="102" bestFit="1" customWidth="1"/>
    <col min="5123" max="5123" width="13.85546875" style="102" customWidth="1"/>
    <col min="5124" max="5131" width="0" style="102" hidden="1" customWidth="1"/>
    <col min="5132" max="5133" width="10.7109375" style="102" customWidth="1"/>
    <col min="5134" max="5376" width="8.85546875" style="102"/>
    <col min="5377" max="5377" width="12.7109375" style="102" bestFit="1" customWidth="1"/>
    <col min="5378" max="5378" width="30.42578125" style="102" bestFit="1" customWidth="1"/>
    <col min="5379" max="5379" width="13.85546875" style="102" customWidth="1"/>
    <col min="5380" max="5387" width="0" style="102" hidden="1" customWidth="1"/>
    <col min="5388" max="5389" width="10.7109375" style="102" customWidth="1"/>
    <col min="5390" max="5632" width="8.85546875" style="102"/>
    <col min="5633" max="5633" width="12.7109375" style="102" bestFit="1" customWidth="1"/>
    <col min="5634" max="5634" width="30.42578125" style="102" bestFit="1" customWidth="1"/>
    <col min="5635" max="5635" width="13.85546875" style="102" customWidth="1"/>
    <col min="5636" max="5643" width="0" style="102" hidden="1" customWidth="1"/>
    <col min="5644" max="5645" width="10.7109375" style="102" customWidth="1"/>
    <col min="5646" max="5888" width="8.85546875" style="102"/>
    <col min="5889" max="5889" width="12.7109375" style="102" bestFit="1" customWidth="1"/>
    <col min="5890" max="5890" width="30.42578125" style="102" bestFit="1" customWidth="1"/>
    <col min="5891" max="5891" width="13.85546875" style="102" customWidth="1"/>
    <col min="5892" max="5899" width="0" style="102" hidden="1" customWidth="1"/>
    <col min="5900" max="5901" width="10.7109375" style="102" customWidth="1"/>
    <col min="5902" max="6144" width="8.85546875" style="102"/>
    <col min="6145" max="6145" width="12.7109375" style="102" bestFit="1" customWidth="1"/>
    <col min="6146" max="6146" width="30.42578125" style="102" bestFit="1" customWidth="1"/>
    <col min="6147" max="6147" width="13.85546875" style="102" customWidth="1"/>
    <col min="6148" max="6155" width="0" style="102" hidden="1" customWidth="1"/>
    <col min="6156" max="6157" width="10.7109375" style="102" customWidth="1"/>
    <col min="6158" max="6400" width="8.85546875" style="102"/>
    <col min="6401" max="6401" width="12.7109375" style="102" bestFit="1" customWidth="1"/>
    <col min="6402" max="6402" width="30.42578125" style="102" bestFit="1" customWidth="1"/>
    <col min="6403" max="6403" width="13.85546875" style="102" customWidth="1"/>
    <col min="6404" max="6411" width="0" style="102" hidden="1" customWidth="1"/>
    <col min="6412" max="6413" width="10.7109375" style="102" customWidth="1"/>
    <col min="6414" max="6656" width="8.85546875" style="102"/>
    <col min="6657" max="6657" width="12.7109375" style="102" bestFit="1" customWidth="1"/>
    <col min="6658" max="6658" width="30.42578125" style="102" bestFit="1" customWidth="1"/>
    <col min="6659" max="6659" width="13.85546875" style="102" customWidth="1"/>
    <col min="6660" max="6667" width="0" style="102" hidden="1" customWidth="1"/>
    <col min="6668" max="6669" width="10.7109375" style="102" customWidth="1"/>
    <col min="6670" max="6912" width="8.85546875" style="102"/>
    <col min="6913" max="6913" width="12.7109375" style="102" bestFit="1" customWidth="1"/>
    <col min="6914" max="6914" width="30.42578125" style="102" bestFit="1" customWidth="1"/>
    <col min="6915" max="6915" width="13.85546875" style="102" customWidth="1"/>
    <col min="6916" max="6923" width="0" style="102" hidden="1" customWidth="1"/>
    <col min="6924" max="6925" width="10.7109375" style="102" customWidth="1"/>
    <col min="6926" max="7168" width="8.85546875" style="102"/>
    <col min="7169" max="7169" width="12.7109375" style="102" bestFit="1" customWidth="1"/>
    <col min="7170" max="7170" width="30.42578125" style="102" bestFit="1" customWidth="1"/>
    <col min="7171" max="7171" width="13.85546875" style="102" customWidth="1"/>
    <col min="7172" max="7179" width="0" style="102" hidden="1" customWidth="1"/>
    <col min="7180" max="7181" width="10.7109375" style="102" customWidth="1"/>
    <col min="7182" max="7424" width="8.85546875" style="102"/>
    <col min="7425" max="7425" width="12.7109375" style="102" bestFit="1" customWidth="1"/>
    <col min="7426" max="7426" width="30.42578125" style="102" bestFit="1" customWidth="1"/>
    <col min="7427" max="7427" width="13.85546875" style="102" customWidth="1"/>
    <col min="7428" max="7435" width="0" style="102" hidden="1" customWidth="1"/>
    <col min="7436" max="7437" width="10.7109375" style="102" customWidth="1"/>
    <col min="7438" max="7680" width="8.85546875" style="102"/>
    <col min="7681" max="7681" width="12.7109375" style="102" bestFit="1" customWidth="1"/>
    <col min="7682" max="7682" width="30.42578125" style="102" bestFit="1" customWidth="1"/>
    <col min="7683" max="7683" width="13.85546875" style="102" customWidth="1"/>
    <col min="7684" max="7691" width="0" style="102" hidden="1" customWidth="1"/>
    <col min="7692" max="7693" width="10.7109375" style="102" customWidth="1"/>
    <col min="7694" max="7936" width="8.85546875" style="102"/>
    <col min="7937" max="7937" width="12.7109375" style="102" bestFit="1" customWidth="1"/>
    <col min="7938" max="7938" width="30.42578125" style="102" bestFit="1" customWidth="1"/>
    <col min="7939" max="7939" width="13.85546875" style="102" customWidth="1"/>
    <col min="7940" max="7947" width="0" style="102" hidden="1" customWidth="1"/>
    <col min="7948" max="7949" width="10.7109375" style="102" customWidth="1"/>
    <col min="7950" max="8192" width="8.85546875" style="102"/>
    <col min="8193" max="8193" width="12.7109375" style="102" bestFit="1" customWidth="1"/>
    <col min="8194" max="8194" width="30.42578125" style="102" bestFit="1" customWidth="1"/>
    <col min="8195" max="8195" width="13.85546875" style="102" customWidth="1"/>
    <col min="8196" max="8203" width="0" style="102" hidden="1" customWidth="1"/>
    <col min="8204" max="8205" width="10.7109375" style="102" customWidth="1"/>
    <col min="8206" max="8448" width="8.85546875" style="102"/>
    <col min="8449" max="8449" width="12.7109375" style="102" bestFit="1" customWidth="1"/>
    <col min="8450" max="8450" width="30.42578125" style="102" bestFit="1" customWidth="1"/>
    <col min="8451" max="8451" width="13.85546875" style="102" customWidth="1"/>
    <col min="8452" max="8459" width="0" style="102" hidden="1" customWidth="1"/>
    <col min="8460" max="8461" width="10.7109375" style="102" customWidth="1"/>
    <col min="8462" max="8704" width="8.85546875" style="102"/>
    <col min="8705" max="8705" width="12.7109375" style="102" bestFit="1" customWidth="1"/>
    <col min="8706" max="8706" width="30.42578125" style="102" bestFit="1" customWidth="1"/>
    <col min="8707" max="8707" width="13.85546875" style="102" customWidth="1"/>
    <col min="8708" max="8715" width="0" style="102" hidden="1" customWidth="1"/>
    <col min="8716" max="8717" width="10.7109375" style="102" customWidth="1"/>
    <col min="8718" max="8960" width="8.85546875" style="102"/>
    <col min="8961" max="8961" width="12.7109375" style="102" bestFit="1" customWidth="1"/>
    <col min="8962" max="8962" width="30.42578125" style="102" bestFit="1" customWidth="1"/>
    <col min="8963" max="8963" width="13.85546875" style="102" customWidth="1"/>
    <col min="8964" max="8971" width="0" style="102" hidden="1" customWidth="1"/>
    <col min="8972" max="8973" width="10.7109375" style="102" customWidth="1"/>
    <col min="8974" max="9216" width="8.85546875" style="102"/>
    <col min="9217" max="9217" width="12.7109375" style="102" bestFit="1" customWidth="1"/>
    <col min="9218" max="9218" width="30.42578125" style="102" bestFit="1" customWidth="1"/>
    <col min="9219" max="9219" width="13.85546875" style="102" customWidth="1"/>
    <col min="9220" max="9227" width="0" style="102" hidden="1" customWidth="1"/>
    <col min="9228" max="9229" width="10.7109375" style="102" customWidth="1"/>
    <col min="9230" max="9472" width="8.85546875" style="102"/>
    <col min="9473" max="9473" width="12.7109375" style="102" bestFit="1" customWidth="1"/>
    <col min="9474" max="9474" width="30.42578125" style="102" bestFit="1" customWidth="1"/>
    <col min="9475" max="9475" width="13.85546875" style="102" customWidth="1"/>
    <col min="9476" max="9483" width="0" style="102" hidden="1" customWidth="1"/>
    <col min="9484" max="9485" width="10.7109375" style="102" customWidth="1"/>
    <col min="9486" max="9728" width="8.85546875" style="102"/>
    <col min="9729" max="9729" width="12.7109375" style="102" bestFit="1" customWidth="1"/>
    <col min="9730" max="9730" width="30.42578125" style="102" bestFit="1" customWidth="1"/>
    <col min="9731" max="9731" width="13.85546875" style="102" customWidth="1"/>
    <col min="9732" max="9739" width="0" style="102" hidden="1" customWidth="1"/>
    <col min="9740" max="9741" width="10.7109375" style="102" customWidth="1"/>
    <col min="9742" max="9984" width="8.85546875" style="102"/>
    <col min="9985" max="9985" width="12.7109375" style="102" bestFit="1" customWidth="1"/>
    <col min="9986" max="9986" width="30.42578125" style="102" bestFit="1" customWidth="1"/>
    <col min="9987" max="9987" width="13.85546875" style="102" customWidth="1"/>
    <col min="9988" max="9995" width="0" style="102" hidden="1" customWidth="1"/>
    <col min="9996" max="9997" width="10.7109375" style="102" customWidth="1"/>
    <col min="9998" max="10240" width="8.85546875" style="102"/>
    <col min="10241" max="10241" width="12.7109375" style="102" bestFit="1" customWidth="1"/>
    <col min="10242" max="10242" width="30.42578125" style="102" bestFit="1" customWidth="1"/>
    <col min="10243" max="10243" width="13.85546875" style="102" customWidth="1"/>
    <col min="10244" max="10251" width="0" style="102" hidden="1" customWidth="1"/>
    <col min="10252" max="10253" width="10.7109375" style="102" customWidth="1"/>
    <col min="10254" max="10496" width="8.85546875" style="102"/>
    <col min="10497" max="10497" width="12.7109375" style="102" bestFit="1" customWidth="1"/>
    <col min="10498" max="10498" width="30.42578125" style="102" bestFit="1" customWidth="1"/>
    <col min="10499" max="10499" width="13.85546875" style="102" customWidth="1"/>
    <col min="10500" max="10507" width="0" style="102" hidden="1" customWidth="1"/>
    <col min="10508" max="10509" width="10.7109375" style="102" customWidth="1"/>
    <col min="10510" max="10752" width="8.85546875" style="102"/>
    <col min="10753" max="10753" width="12.7109375" style="102" bestFit="1" customWidth="1"/>
    <col min="10754" max="10754" width="30.42578125" style="102" bestFit="1" customWidth="1"/>
    <col min="10755" max="10755" width="13.85546875" style="102" customWidth="1"/>
    <col min="10756" max="10763" width="0" style="102" hidden="1" customWidth="1"/>
    <col min="10764" max="10765" width="10.7109375" style="102" customWidth="1"/>
    <col min="10766" max="11008" width="8.85546875" style="102"/>
    <col min="11009" max="11009" width="12.7109375" style="102" bestFit="1" customWidth="1"/>
    <col min="11010" max="11010" width="30.42578125" style="102" bestFit="1" customWidth="1"/>
    <col min="11011" max="11011" width="13.85546875" style="102" customWidth="1"/>
    <col min="11012" max="11019" width="0" style="102" hidden="1" customWidth="1"/>
    <col min="11020" max="11021" width="10.7109375" style="102" customWidth="1"/>
    <col min="11022" max="11264" width="8.85546875" style="102"/>
    <col min="11265" max="11265" width="12.7109375" style="102" bestFit="1" customWidth="1"/>
    <col min="11266" max="11266" width="30.42578125" style="102" bestFit="1" customWidth="1"/>
    <col min="11267" max="11267" width="13.85546875" style="102" customWidth="1"/>
    <col min="11268" max="11275" width="0" style="102" hidden="1" customWidth="1"/>
    <col min="11276" max="11277" width="10.7109375" style="102" customWidth="1"/>
    <col min="11278" max="11520" width="8.85546875" style="102"/>
    <col min="11521" max="11521" width="12.7109375" style="102" bestFit="1" customWidth="1"/>
    <col min="11522" max="11522" width="30.42578125" style="102" bestFit="1" customWidth="1"/>
    <col min="11523" max="11523" width="13.85546875" style="102" customWidth="1"/>
    <col min="11524" max="11531" width="0" style="102" hidden="1" customWidth="1"/>
    <col min="11532" max="11533" width="10.7109375" style="102" customWidth="1"/>
    <col min="11534" max="11776" width="8.85546875" style="102"/>
    <col min="11777" max="11777" width="12.7109375" style="102" bestFit="1" customWidth="1"/>
    <col min="11778" max="11778" width="30.42578125" style="102" bestFit="1" customWidth="1"/>
    <col min="11779" max="11779" width="13.85546875" style="102" customWidth="1"/>
    <col min="11780" max="11787" width="0" style="102" hidden="1" customWidth="1"/>
    <col min="11788" max="11789" width="10.7109375" style="102" customWidth="1"/>
    <col min="11790" max="12032" width="8.85546875" style="102"/>
    <col min="12033" max="12033" width="12.7109375" style="102" bestFit="1" customWidth="1"/>
    <col min="12034" max="12034" width="30.42578125" style="102" bestFit="1" customWidth="1"/>
    <col min="12035" max="12035" width="13.85546875" style="102" customWidth="1"/>
    <col min="12036" max="12043" width="0" style="102" hidden="1" customWidth="1"/>
    <col min="12044" max="12045" width="10.7109375" style="102" customWidth="1"/>
    <col min="12046" max="12288" width="8.85546875" style="102"/>
    <col min="12289" max="12289" width="12.7109375" style="102" bestFit="1" customWidth="1"/>
    <col min="12290" max="12290" width="30.42578125" style="102" bestFit="1" customWidth="1"/>
    <col min="12291" max="12291" width="13.85546875" style="102" customWidth="1"/>
    <col min="12292" max="12299" width="0" style="102" hidden="1" customWidth="1"/>
    <col min="12300" max="12301" width="10.7109375" style="102" customWidth="1"/>
    <col min="12302" max="12544" width="8.85546875" style="102"/>
    <col min="12545" max="12545" width="12.7109375" style="102" bestFit="1" customWidth="1"/>
    <col min="12546" max="12546" width="30.42578125" style="102" bestFit="1" customWidth="1"/>
    <col min="12547" max="12547" width="13.85546875" style="102" customWidth="1"/>
    <col min="12548" max="12555" width="0" style="102" hidden="1" customWidth="1"/>
    <col min="12556" max="12557" width="10.7109375" style="102" customWidth="1"/>
    <col min="12558" max="12800" width="8.85546875" style="102"/>
    <col min="12801" max="12801" width="12.7109375" style="102" bestFit="1" customWidth="1"/>
    <col min="12802" max="12802" width="30.42578125" style="102" bestFit="1" customWidth="1"/>
    <col min="12803" max="12803" width="13.85546875" style="102" customWidth="1"/>
    <col min="12804" max="12811" width="0" style="102" hidden="1" customWidth="1"/>
    <col min="12812" max="12813" width="10.7109375" style="102" customWidth="1"/>
    <col min="12814" max="13056" width="8.85546875" style="102"/>
    <col min="13057" max="13057" width="12.7109375" style="102" bestFit="1" customWidth="1"/>
    <col min="13058" max="13058" width="30.42578125" style="102" bestFit="1" customWidth="1"/>
    <col min="13059" max="13059" width="13.85546875" style="102" customWidth="1"/>
    <col min="13060" max="13067" width="0" style="102" hidden="1" customWidth="1"/>
    <col min="13068" max="13069" width="10.7109375" style="102" customWidth="1"/>
    <col min="13070" max="13312" width="8.85546875" style="102"/>
    <col min="13313" max="13313" width="12.7109375" style="102" bestFit="1" customWidth="1"/>
    <col min="13314" max="13314" width="30.42578125" style="102" bestFit="1" customWidth="1"/>
    <col min="13315" max="13315" width="13.85546875" style="102" customWidth="1"/>
    <col min="13316" max="13323" width="0" style="102" hidden="1" customWidth="1"/>
    <col min="13324" max="13325" width="10.7109375" style="102" customWidth="1"/>
    <col min="13326" max="13568" width="8.85546875" style="102"/>
    <col min="13569" max="13569" width="12.7109375" style="102" bestFit="1" customWidth="1"/>
    <col min="13570" max="13570" width="30.42578125" style="102" bestFit="1" customWidth="1"/>
    <col min="13571" max="13571" width="13.85546875" style="102" customWidth="1"/>
    <col min="13572" max="13579" width="0" style="102" hidden="1" customWidth="1"/>
    <col min="13580" max="13581" width="10.7109375" style="102" customWidth="1"/>
    <col min="13582" max="13824" width="8.85546875" style="102"/>
    <col min="13825" max="13825" width="12.7109375" style="102" bestFit="1" customWidth="1"/>
    <col min="13826" max="13826" width="30.42578125" style="102" bestFit="1" customWidth="1"/>
    <col min="13827" max="13827" width="13.85546875" style="102" customWidth="1"/>
    <col min="13828" max="13835" width="0" style="102" hidden="1" customWidth="1"/>
    <col min="13836" max="13837" width="10.7109375" style="102" customWidth="1"/>
    <col min="13838" max="14080" width="8.85546875" style="102"/>
    <col min="14081" max="14081" width="12.7109375" style="102" bestFit="1" customWidth="1"/>
    <col min="14082" max="14082" width="30.42578125" style="102" bestFit="1" customWidth="1"/>
    <col min="14083" max="14083" width="13.85546875" style="102" customWidth="1"/>
    <col min="14084" max="14091" width="0" style="102" hidden="1" customWidth="1"/>
    <col min="14092" max="14093" width="10.7109375" style="102" customWidth="1"/>
    <col min="14094" max="14336" width="8.85546875" style="102"/>
    <col min="14337" max="14337" width="12.7109375" style="102" bestFit="1" customWidth="1"/>
    <col min="14338" max="14338" width="30.42578125" style="102" bestFit="1" customWidth="1"/>
    <col min="14339" max="14339" width="13.85546875" style="102" customWidth="1"/>
    <col min="14340" max="14347" width="0" style="102" hidden="1" customWidth="1"/>
    <col min="14348" max="14349" width="10.7109375" style="102" customWidth="1"/>
    <col min="14350" max="14592" width="8.85546875" style="102"/>
    <col min="14593" max="14593" width="12.7109375" style="102" bestFit="1" customWidth="1"/>
    <col min="14594" max="14594" width="30.42578125" style="102" bestFit="1" customWidth="1"/>
    <col min="14595" max="14595" width="13.85546875" style="102" customWidth="1"/>
    <col min="14596" max="14603" width="0" style="102" hidden="1" customWidth="1"/>
    <col min="14604" max="14605" width="10.7109375" style="102" customWidth="1"/>
    <col min="14606" max="14848" width="8.85546875" style="102"/>
    <col min="14849" max="14849" width="12.7109375" style="102" bestFit="1" customWidth="1"/>
    <col min="14850" max="14850" width="30.42578125" style="102" bestFit="1" customWidth="1"/>
    <col min="14851" max="14851" width="13.85546875" style="102" customWidth="1"/>
    <col min="14852" max="14859" width="0" style="102" hidden="1" customWidth="1"/>
    <col min="14860" max="14861" width="10.7109375" style="102" customWidth="1"/>
    <col min="14862" max="15104" width="8.85546875" style="102"/>
    <col min="15105" max="15105" width="12.7109375" style="102" bestFit="1" customWidth="1"/>
    <col min="15106" max="15106" width="30.42578125" style="102" bestFit="1" customWidth="1"/>
    <col min="15107" max="15107" width="13.85546875" style="102" customWidth="1"/>
    <col min="15108" max="15115" width="0" style="102" hidden="1" customWidth="1"/>
    <col min="15116" max="15117" width="10.7109375" style="102" customWidth="1"/>
    <col min="15118" max="15360" width="8.85546875" style="102"/>
    <col min="15361" max="15361" width="12.7109375" style="102" bestFit="1" customWidth="1"/>
    <col min="15362" max="15362" width="30.42578125" style="102" bestFit="1" customWidth="1"/>
    <col min="15363" max="15363" width="13.85546875" style="102" customWidth="1"/>
    <col min="15364" max="15371" width="0" style="102" hidden="1" customWidth="1"/>
    <col min="15372" max="15373" width="10.7109375" style="102" customWidth="1"/>
    <col min="15374" max="15616" width="8.85546875" style="102"/>
    <col min="15617" max="15617" width="12.7109375" style="102" bestFit="1" customWidth="1"/>
    <col min="15618" max="15618" width="30.42578125" style="102" bestFit="1" customWidth="1"/>
    <col min="15619" max="15619" width="13.85546875" style="102" customWidth="1"/>
    <col min="15620" max="15627" width="0" style="102" hidden="1" customWidth="1"/>
    <col min="15628" max="15629" width="10.7109375" style="102" customWidth="1"/>
    <col min="15630" max="15872" width="8.85546875" style="102"/>
    <col min="15873" max="15873" width="12.7109375" style="102" bestFit="1" customWidth="1"/>
    <col min="15874" max="15874" width="30.42578125" style="102" bestFit="1" customWidth="1"/>
    <col min="15875" max="15875" width="13.85546875" style="102" customWidth="1"/>
    <col min="15876" max="15883" width="0" style="102" hidden="1" customWidth="1"/>
    <col min="15884" max="15885" width="10.7109375" style="102" customWidth="1"/>
    <col min="15886" max="16128" width="8.85546875" style="102"/>
    <col min="16129" max="16129" width="12.7109375" style="102" bestFit="1" customWidth="1"/>
    <col min="16130" max="16130" width="30.42578125" style="102" bestFit="1" customWidth="1"/>
    <col min="16131" max="16131" width="13.85546875" style="102" customWidth="1"/>
    <col min="16132" max="16139" width="0" style="102" hidden="1" customWidth="1"/>
    <col min="16140" max="16141" width="10.7109375" style="102" customWidth="1"/>
    <col min="16142" max="16384" width="8.85546875" style="102"/>
  </cols>
  <sheetData>
    <row r="1" spans="1:15">
      <c r="E1" s="560" t="s">
        <v>441</v>
      </c>
      <c r="F1" s="561"/>
      <c r="G1" s="562"/>
    </row>
    <row r="2" spans="1:15">
      <c r="A2" s="104" t="s">
        <v>442</v>
      </c>
      <c r="B2" s="104" t="s">
        <v>443</v>
      </c>
      <c r="C2" s="105" t="s">
        <v>444</v>
      </c>
      <c r="D2" s="105" t="s">
        <v>376</v>
      </c>
      <c r="E2" s="106" t="s">
        <v>445</v>
      </c>
      <c r="F2" s="107" t="s">
        <v>446</v>
      </c>
      <c r="G2" s="108" t="s">
        <v>447</v>
      </c>
      <c r="H2" s="105" t="s">
        <v>448</v>
      </c>
      <c r="I2" s="105" t="s">
        <v>449</v>
      </c>
      <c r="J2" s="105" t="s">
        <v>450</v>
      </c>
      <c r="K2" s="105" t="s">
        <v>451</v>
      </c>
      <c r="L2" s="104" t="s">
        <v>452</v>
      </c>
      <c r="M2" s="104" t="s">
        <v>453</v>
      </c>
    </row>
    <row r="3" spans="1:15" s="115" customFormat="1">
      <c r="A3" s="109" t="s">
        <v>380</v>
      </c>
      <c r="B3" s="110" t="s">
        <v>455</v>
      </c>
      <c r="C3" s="111">
        <v>42131702</v>
      </c>
      <c r="D3" s="111">
        <v>166702</v>
      </c>
      <c r="E3" s="114" t="s">
        <v>456</v>
      </c>
      <c r="F3" s="113" t="s">
        <v>454</v>
      </c>
      <c r="G3" s="114" t="s">
        <v>457</v>
      </c>
      <c r="H3" s="111">
        <v>8.01</v>
      </c>
      <c r="I3" s="111" t="s">
        <v>458</v>
      </c>
      <c r="J3" s="110" t="s">
        <v>459</v>
      </c>
      <c r="K3" s="111">
        <v>24</v>
      </c>
      <c r="L3" s="117">
        <v>3.75</v>
      </c>
      <c r="M3" s="117">
        <f t="shared" ref="M3:M39" si="0">K3*L3</f>
        <v>90</v>
      </c>
      <c r="O3" s="116"/>
    </row>
    <row r="4" spans="1:15" s="115" customFormat="1">
      <c r="A4" s="109" t="s">
        <v>381</v>
      </c>
      <c r="B4" s="110" t="s">
        <v>460</v>
      </c>
      <c r="C4" s="111">
        <v>42131702</v>
      </c>
      <c r="D4" s="111">
        <v>166702</v>
      </c>
      <c r="E4" s="114" t="s">
        <v>461</v>
      </c>
      <c r="F4" s="113" t="s">
        <v>454</v>
      </c>
      <c r="G4" s="114" t="s">
        <v>462</v>
      </c>
      <c r="H4" s="111">
        <v>8.01</v>
      </c>
      <c r="I4" s="111" t="s">
        <v>458</v>
      </c>
      <c r="J4" s="110" t="s">
        <v>459</v>
      </c>
      <c r="K4" s="111">
        <v>24</v>
      </c>
      <c r="L4" s="117">
        <v>4</v>
      </c>
      <c r="M4" s="117">
        <f t="shared" si="0"/>
        <v>96</v>
      </c>
      <c r="O4" s="116"/>
    </row>
    <row r="5" spans="1:15" s="115" customFormat="1">
      <c r="A5" s="109" t="s">
        <v>382</v>
      </c>
      <c r="B5" s="110" t="s">
        <v>463</v>
      </c>
      <c r="C5" s="111">
        <v>42131702</v>
      </c>
      <c r="D5" s="111">
        <v>166702</v>
      </c>
      <c r="E5" s="114" t="s">
        <v>464</v>
      </c>
      <c r="F5" s="113" t="s">
        <v>454</v>
      </c>
      <c r="G5" s="114" t="s">
        <v>465</v>
      </c>
      <c r="H5" s="111">
        <v>8.01</v>
      </c>
      <c r="I5" s="111" t="s">
        <v>458</v>
      </c>
      <c r="J5" s="110" t="s">
        <v>459</v>
      </c>
      <c r="K5" s="111">
        <v>24</v>
      </c>
      <c r="L5" s="117">
        <v>4.25</v>
      </c>
      <c r="M5" s="117">
        <f t="shared" si="0"/>
        <v>102</v>
      </c>
      <c r="O5" s="116"/>
    </row>
    <row r="6" spans="1:15" s="115" customFormat="1">
      <c r="A6" s="109" t="s">
        <v>383</v>
      </c>
      <c r="B6" s="110" t="s">
        <v>466</v>
      </c>
      <c r="C6" s="111">
        <v>42131702</v>
      </c>
      <c r="D6" s="111">
        <v>166702</v>
      </c>
      <c r="E6" s="114" t="s">
        <v>467</v>
      </c>
      <c r="F6" s="113" t="s">
        <v>454</v>
      </c>
      <c r="G6" s="114" t="s">
        <v>468</v>
      </c>
      <c r="H6" s="111">
        <v>8.01</v>
      </c>
      <c r="I6" s="111" t="s">
        <v>458</v>
      </c>
      <c r="J6" s="110" t="s">
        <v>459</v>
      </c>
      <c r="K6" s="111">
        <v>28</v>
      </c>
      <c r="L6" s="117">
        <v>4.5199999999999996</v>
      </c>
      <c r="M6" s="117">
        <f t="shared" si="0"/>
        <v>126.55999999999999</v>
      </c>
      <c r="O6" s="116"/>
    </row>
    <row r="7" spans="1:15" s="115" customFormat="1">
      <c r="A7" s="109" t="s">
        <v>384</v>
      </c>
      <c r="B7" s="110" t="s">
        <v>469</v>
      </c>
      <c r="C7" s="111">
        <v>42131702</v>
      </c>
      <c r="D7" s="111">
        <v>166702</v>
      </c>
      <c r="E7" s="114" t="s">
        <v>470</v>
      </c>
      <c r="F7" s="113" t="s">
        <v>454</v>
      </c>
      <c r="G7" s="114" t="s">
        <v>471</v>
      </c>
      <c r="H7" s="111">
        <v>8.01</v>
      </c>
      <c r="I7" s="111" t="s">
        <v>458</v>
      </c>
      <c r="J7" s="110" t="s">
        <v>459</v>
      </c>
      <c r="K7" s="111">
        <v>28</v>
      </c>
      <c r="L7" s="117">
        <v>4.75</v>
      </c>
      <c r="M7" s="117">
        <f t="shared" si="0"/>
        <v>133</v>
      </c>
      <c r="O7" s="116"/>
    </row>
    <row r="8" spans="1:15" s="115" customFormat="1">
      <c r="A8" s="109" t="s">
        <v>385</v>
      </c>
      <c r="B8" s="110" t="s">
        <v>472</v>
      </c>
      <c r="C8" s="111">
        <v>42131702</v>
      </c>
      <c r="D8" s="111">
        <v>166702</v>
      </c>
      <c r="E8" s="114" t="s">
        <v>473</v>
      </c>
      <c r="F8" s="113" t="s">
        <v>454</v>
      </c>
      <c r="G8" s="114" t="s">
        <v>474</v>
      </c>
      <c r="H8" s="111">
        <v>8.01</v>
      </c>
      <c r="I8" s="111" t="s">
        <v>458</v>
      </c>
      <c r="J8" s="110" t="s">
        <v>459</v>
      </c>
      <c r="K8" s="111">
        <v>24</v>
      </c>
      <c r="L8" s="117">
        <v>5</v>
      </c>
      <c r="M8" s="117">
        <f t="shared" si="0"/>
        <v>120</v>
      </c>
      <c r="O8" s="116"/>
    </row>
    <row r="9" spans="1:15" s="115" customFormat="1">
      <c r="A9" s="109" t="s">
        <v>475</v>
      </c>
      <c r="B9" s="110" t="s">
        <v>476</v>
      </c>
      <c r="C9" s="111">
        <v>42131702</v>
      </c>
      <c r="D9" s="111">
        <v>166702</v>
      </c>
      <c r="E9" s="114" t="s">
        <v>477</v>
      </c>
      <c r="F9" s="113" t="s">
        <v>454</v>
      </c>
      <c r="G9" s="114" t="s">
        <v>478</v>
      </c>
      <c r="H9" s="111">
        <v>8.01</v>
      </c>
      <c r="I9" s="111" t="s">
        <v>458</v>
      </c>
      <c r="J9" s="110" t="s">
        <v>459</v>
      </c>
      <c r="K9" s="111">
        <v>24</v>
      </c>
      <c r="L9" s="117">
        <v>5.25</v>
      </c>
      <c r="M9" s="117">
        <f t="shared" si="0"/>
        <v>126</v>
      </c>
      <c r="O9" s="116"/>
    </row>
    <row r="10" spans="1:15" s="115" customFormat="1">
      <c r="A10" s="109" t="s">
        <v>386</v>
      </c>
      <c r="B10" s="110" t="s">
        <v>479</v>
      </c>
      <c r="C10" s="111">
        <v>42131702</v>
      </c>
      <c r="D10" s="111">
        <v>166702</v>
      </c>
      <c r="E10" s="114" t="s">
        <v>480</v>
      </c>
      <c r="F10" s="113" t="s">
        <v>454</v>
      </c>
      <c r="G10" s="114" t="s">
        <v>481</v>
      </c>
      <c r="H10" s="111">
        <v>8.01</v>
      </c>
      <c r="I10" s="111" t="s">
        <v>458</v>
      </c>
      <c r="J10" s="110" t="s">
        <v>459</v>
      </c>
      <c r="K10" s="111">
        <v>24</v>
      </c>
      <c r="L10" s="117">
        <v>6.1</v>
      </c>
      <c r="M10" s="117">
        <f t="shared" si="0"/>
        <v>146.39999999999998</v>
      </c>
      <c r="O10" s="116"/>
    </row>
    <row r="11" spans="1:15" s="115" customFormat="1">
      <c r="A11" s="109" t="s">
        <v>482</v>
      </c>
      <c r="B11" s="110" t="s">
        <v>483</v>
      </c>
      <c r="C11" s="111">
        <v>42131702</v>
      </c>
      <c r="D11" s="111">
        <v>166702</v>
      </c>
      <c r="E11" s="114" t="s">
        <v>484</v>
      </c>
      <c r="F11" s="113" t="s">
        <v>454</v>
      </c>
      <c r="G11" s="114" t="s">
        <v>485</v>
      </c>
      <c r="H11" s="111">
        <v>8.02</v>
      </c>
      <c r="I11" s="111" t="s">
        <v>458</v>
      </c>
      <c r="J11" s="110" t="s">
        <v>486</v>
      </c>
      <c r="K11" s="111">
        <v>12</v>
      </c>
      <c r="L11" s="117">
        <v>9.5</v>
      </c>
      <c r="M11" s="117">
        <f t="shared" si="0"/>
        <v>114</v>
      </c>
      <c r="O11" s="116"/>
    </row>
    <row r="12" spans="1:15" s="115" customFormat="1">
      <c r="A12" s="109" t="s">
        <v>387</v>
      </c>
      <c r="B12" s="110" t="s">
        <v>487</v>
      </c>
      <c r="C12" s="111">
        <v>42131702</v>
      </c>
      <c r="D12" s="111">
        <v>125160</v>
      </c>
      <c r="E12" s="114" t="s">
        <v>488</v>
      </c>
      <c r="F12" s="113" t="s">
        <v>454</v>
      </c>
      <c r="G12" s="114" t="s">
        <v>489</v>
      </c>
      <c r="H12" s="111">
        <v>8.0299999999999994</v>
      </c>
      <c r="I12" s="111" t="s">
        <v>458</v>
      </c>
      <c r="J12" s="110" t="s">
        <v>490</v>
      </c>
      <c r="K12" s="111">
        <v>20</v>
      </c>
      <c r="L12" s="117">
        <v>6.5</v>
      </c>
      <c r="M12" s="117">
        <f t="shared" si="0"/>
        <v>130</v>
      </c>
      <c r="O12" s="116"/>
    </row>
    <row r="13" spans="1:15" s="115" customFormat="1">
      <c r="A13" s="109" t="s">
        <v>388</v>
      </c>
      <c r="B13" s="110" t="s">
        <v>491</v>
      </c>
      <c r="C13" s="111">
        <v>42131702</v>
      </c>
      <c r="D13" s="111">
        <v>125160</v>
      </c>
      <c r="E13" s="114" t="s">
        <v>492</v>
      </c>
      <c r="F13" s="113" t="s">
        <v>454</v>
      </c>
      <c r="G13" s="114" t="s">
        <v>493</v>
      </c>
      <c r="H13" s="111">
        <v>8.0299999999999994</v>
      </c>
      <c r="I13" s="111" t="s">
        <v>458</v>
      </c>
      <c r="J13" s="110" t="s">
        <v>490</v>
      </c>
      <c r="K13" s="111">
        <v>20</v>
      </c>
      <c r="L13" s="117">
        <v>6.8</v>
      </c>
      <c r="M13" s="117">
        <f t="shared" si="0"/>
        <v>136</v>
      </c>
      <c r="O13" s="116"/>
    </row>
    <row r="14" spans="1:15" s="115" customFormat="1">
      <c r="A14" s="109" t="s">
        <v>494</v>
      </c>
      <c r="B14" s="110" t="s">
        <v>495</v>
      </c>
      <c r="C14" s="111">
        <v>42131702</v>
      </c>
      <c r="D14" s="111">
        <v>125160</v>
      </c>
      <c r="E14" s="114" t="s">
        <v>496</v>
      </c>
      <c r="F14" s="113" t="s">
        <v>454</v>
      </c>
      <c r="G14" s="114" t="s">
        <v>497</v>
      </c>
      <c r="H14" s="111">
        <v>8.0299999999999994</v>
      </c>
      <c r="I14" s="111" t="s">
        <v>458</v>
      </c>
      <c r="J14" s="110" t="s">
        <v>490</v>
      </c>
      <c r="K14" s="111">
        <v>20</v>
      </c>
      <c r="L14" s="117">
        <v>7.1</v>
      </c>
      <c r="M14" s="117">
        <f t="shared" si="0"/>
        <v>142</v>
      </c>
      <c r="O14" s="116"/>
    </row>
    <row r="15" spans="1:15" s="115" customFormat="1">
      <c r="A15" s="109" t="s">
        <v>389</v>
      </c>
      <c r="B15" s="110" t="s">
        <v>498</v>
      </c>
      <c r="C15" s="111">
        <v>42131702</v>
      </c>
      <c r="D15" s="111">
        <v>125160</v>
      </c>
      <c r="E15" s="114" t="s">
        <v>499</v>
      </c>
      <c r="F15" s="113" t="s">
        <v>454</v>
      </c>
      <c r="G15" s="114" t="s">
        <v>500</v>
      </c>
      <c r="H15" s="111">
        <v>8.0299999999999994</v>
      </c>
      <c r="I15" s="111" t="s">
        <v>458</v>
      </c>
      <c r="J15" s="110" t="s">
        <v>490</v>
      </c>
      <c r="K15" s="111">
        <v>20</v>
      </c>
      <c r="L15" s="117">
        <v>7.5</v>
      </c>
      <c r="M15" s="117">
        <f t="shared" si="0"/>
        <v>150</v>
      </c>
      <c r="O15" s="116"/>
    </row>
    <row r="16" spans="1:15" s="115" customFormat="1">
      <c r="A16" s="109" t="s">
        <v>501</v>
      </c>
      <c r="B16" s="110" t="s">
        <v>502</v>
      </c>
      <c r="C16" s="111">
        <v>42131702</v>
      </c>
      <c r="D16" s="111">
        <v>125160</v>
      </c>
      <c r="E16" s="114" t="s">
        <v>503</v>
      </c>
      <c r="F16" s="113" t="s">
        <v>454</v>
      </c>
      <c r="G16" s="114" t="s">
        <v>504</v>
      </c>
      <c r="H16" s="111">
        <v>8.0299999999999994</v>
      </c>
      <c r="I16" s="111" t="s">
        <v>458</v>
      </c>
      <c r="J16" s="110" t="s">
        <v>490</v>
      </c>
      <c r="K16" s="111">
        <v>20</v>
      </c>
      <c r="L16" s="117">
        <v>8.4499999999999993</v>
      </c>
      <c r="M16" s="117">
        <f t="shared" si="0"/>
        <v>169</v>
      </c>
      <c r="O16" s="116"/>
    </row>
    <row r="17" spans="1:15" s="115" customFormat="1">
      <c r="A17" s="109" t="s">
        <v>390</v>
      </c>
      <c r="B17" s="110" t="s">
        <v>505</v>
      </c>
      <c r="C17" s="111">
        <v>42131702</v>
      </c>
      <c r="D17" s="111">
        <v>125160</v>
      </c>
      <c r="E17" s="114" t="s">
        <v>506</v>
      </c>
      <c r="F17" s="113" t="s">
        <v>454</v>
      </c>
      <c r="G17" s="114" t="s">
        <v>507</v>
      </c>
      <c r="H17" s="111">
        <v>8.0299999999999994</v>
      </c>
      <c r="I17" s="111" t="s">
        <v>458</v>
      </c>
      <c r="J17" s="110" t="s">
        <v>490</v>
      </c>
      <c r="K17" s="111">
        <v>20</v>
      </c>
      <c r="L17" s="117">
        <v>8</v>
      </c>
      <c r="M17" s="117">
        <f t="shared" si="0"/>
        <v>160</v>
      </c>
      <c r="O17" s="116"/>
    </row>
    <row r="18" spans="1:15" s="115" customFormat="1">
      <c r="A18" s="109" t="s">
        <v>391</v>
      </c>
      <c r="B18" s="110" t="s">
        <v>508</v>
      </c>
      <c r="C18" s="111">
        <v>42131702</v>
      </c>
      <c r="D18" s="111">
        <v>125160</v>
      </c>
      <c r="E18" s="114" t="s">
        <v>509</v>
      </c>
      <c r="F18" s="113" t="s">
        <v>454</v>
      </c>
      <c r="G18" s="114" t="s">
        <v>510</v>
      </c>
      <c r="H18" s="111">
        <v>8.0299999999999994</v>
      </c>
      <c r="I18" s="111" t="s">
        <v>458</v>
      </c>
      <c r="J18" s="110" t="s">
        <v>490</v>
      </c>
      <c r="K18" s="111">
        <v>14</v>
      </c>
      <c r="L18" s="117">
        <v>8.75</v>
      </c>
      <c r="M18" s="117">
        <f t="shared" si="0"/>
        <v>122.5</v>
      </c>
      <c r="O18" s="116"/>
    </row>
    <row r="19" spans="1:15" s="115" customFormat="1">
      <c r="A19" s="109" t="s">
        <v>392</v>
      </c>
      <c r="B19" s="110" t="s">
        <v>511</v>
      </c>
      <c r="C19" s="111">
        <v>42131702</v>
      </c>
      <c r="D19" s="111">
        <v>125160</v>
      </c>
      <c r="E19" s="114" t="s">
        <v>512</v>
      </c>
      <c r="F19" s="113" t="s">
        <v>454</v>
      </c>
      <c r="G19" s="114" t="s">
        <v>513</v>
      </c>
      <c r="H19" s="111">
        <v>8.0299999999999994</v>
      </c>
      <c r="I19" s="111" t="s">
        <v>458</v>
      </c>
      <c r="J19" s="110" t="s">
        <v>490</v>
      </c>
      <c r="K19" s="111">
        <v>16</v>
      </c>
      <c r="L19" s="117">
        <v>9.5</v>
      </c>
      <c r="M19" s="117">
        <f t="shared" si="0"/>
        <v>152</v>
      </c>
      <c r="O19" s="116"/>
    </row>
    <row r="20" spans="1:15" s="115" customFormat="1">
      <c r="A20" s="109" t="s">
        <v>393</v>
      </c>
      <c r="B20" s="110" t="s">
        <v>514</v>
      </c>
      <c r="C20" s="111">
        <v>42131702</v>
      </c>
      <c r="D20" s="111">
        <v>125160</v>
      </c>
      <c r="E20" s="114" t="s">
        <v>515</v>
      </c>
      <c r="F20" s="113" t="s">
        <v>454</v>
      </c>
      <c r="G20" s="114" t="s">
        <v>516</v>
      </c>
      <c r="H20" s="111">
        <v>8.0299999999999994</v>
      </c>
      <c r="I20" s="111" t="s">
        <v>458</v>
      </c>
      <c r="J20" s="110" t="s">
        <v>490</v>
      </c>
      <c r="K20" s="111">
        <v>14</v>
      </c>
      <c r="L20" s="117">
        <v>10.25</v>
      </c>
      <c r="M20" s="117">
        <f t="shared" si="0"/>
        <v>143.5</v>
      </c>
      <c r="O20" s="116"/>
    </row>
    <row r="21" spans="1:15" s="115" customFormat="1">
      <c r="A21" s="109" t="s">
        <v>517</v>
      </c>
      <c r="B21" s="110" t="s">
        <v>469</v>
      </c>
      <c r="C21" s="111">
        <v>42131702</v>
      </c>
      <c r="D21" s="111">
        <v>166702</v>
      </c>
      <c r="E21" s="114" t="s">
        <v>518</v>
      </c>
      <c r="F21" s="113" t="s">
        <v>454</v>
      </c>
      <c r="G21" s="114" t="s">
        <v>519</v>
      </c>
      <c r="H21" s="111">
        <v>8.0500000000000007</v>
      </c>
      <c r="I21" s="111" t="s">
        <v>458</v>
      </c>
      <c r="J21" s="110" t="s">
        <v>520</v>
      </c>
      <c r="K21" s="111">
        <v>24</v>
      </c>
      <c r="L21" s="117">
        <v>5.75</v>
      </c>
      <c r="M21" s="117">
        <f t="shared" si="0"/>
        <v>138</v>
      </c>
      <c r="O21" s="116"/>
    </row>
    <row r="22" spans="1:15" s="115" customFormat="1">
      <c r="A22" s="109" t="s">
        <v>521</v>
      </c>
      <c r="B22" s="110" t="s">
        <v>472</v>
      </c>
      <c r="C22" s="111">
        <v>42131702</v>
      </c>
      <c r="D22" s="111">
        <v>166702</v>
      </c>
      <c r="E22" s="114" t="s">
        <v>522</v>
      </c>
      <c r="F22" s="113" t="s">
        <v>454</v>
      </c>
      <c r="G22" s="114" t="s">
        <v>523</v>
      </c>
      <c r="H22" s="111">
        <v>8.0500000000000007</v>
      </c>
      <c r="I22" s="111" t="s">
        <v>458</v>
      </c>
      <c r="J22" s="110" t="s">
        <v>520</v>
      </c>
      <c r="K22" s="111">
        <v>20</v>
      </c>
      <c r="L22" s="117">
        <v>6</v>
      </c>
      <c r="M22" s="117">
        <f t="shared" si="0"/>
        <v>120</v>
      </c>
      <c r="O22" s="116"/>
    </row>
    <row r="23" spans="1:15" s="115" customFormat="1">
      <c r="A23" s="109" t="s">
        <v>524</v>
      </c>
      <c r="B23" s="110" t="s">
        <v>476</v>
      </c>
      <c r="C23" s="111">
        <v>42131702</v>
      </c>
      <c r="D23" s="111">
        <v>166702</v>
      </c>
      <c r="E23" s="114" t="s">
        <v>525</v>
      </c>
      <c r="F23" s="113" t="s">
        <v>454</v>
      </c>
      <c r="G23" s="114" t="s">
        <v>526</v>
      </c>
      <c r="H23" s="111">
        <v>8.0500000000000007</v>
      </c>
      <c r="I23" s="111" t="s">
        <v>458</v>
      </c>
      <c r="J23" s="110" t="s">
        <v>520</v>
      </c>
      <c r="K23" s="111">
        <v>20</v>
      </c>
      <c r="L23" s="117">
        <v>6.25</v>
      </c>
      <c r="M23" s="117">
        <f t="shared" si="0"/>
        <v>125</v>
      </c>
      <c r="O23" s="116"/>
    </row>
    <row r="24" spans="1:15" s="115" customFormat="1">
      <c r="A24" s="109" t="s">
        <v>527</v>
      </c>
      <c r="B24" s="110" t="s">
        <v>528</v>
      </c>
      <c r="C24" s="111">
        <v>42131701</v>
      </c>
      <c r="D24" s="111">
        <v>137983</v>
      </c>
      <c r="E24" s="118"/>
      <c r="F24" s="113" t="s">
        <v>529</v>
      </c>
      <c r="G24" s="114"/>
      <c r="H24" s="111">
        <v>10.01</v>
      </c>
      <c r="I24" s="111" t="s">
        <v>530</v>
      </c>
      <c r="J24" s="110" t="s">
        <v>531</v>
      </c>
      <c r="K24" s="111">
        <v>10</v>
      </c>
      <c r="L24" s="117">
        <v>5.99</v>
      </c>
      <c r="M24" s="117">
        <f t="shared" si="0"/>
        <v>59.900000000000006</v>
      </c>
      <c r="O24" s="116"/>
    </row>
    <row r="25" spans="1:15" s="115" customFormat="1">
      <c r="A25" s="109" t="s">
        <v>532</v>
      </c>
      <c r="B25" s="110" t="s">
        <v>533</v>
      </c>
      <c r="C25" s="111">
        <v>42131701</v>
      </c>
      <c r="D25" s="111">
        <v>137983</v>
      </c>
      <c r="E25" s="114" t="s">
        <v>534</v>
      </c>
      <c r="F25" s="113" t="s">
        <v>535</v>
      </c>
      <c r="G25" s="114" t="s">
        <v>454</v>
      </c>
      <c r="H25" s="111">
        <v>10.01</v>
      </c>
      <c r="I25" s="111" t="s">
        <v>530</v>
      </c>
      <c r="J25" s="110" t="s">
        <v>531</v>
      </c>
      <c r="K25" s="111">
        <v>10</v>
      </c>
      <c r="L25" s="117">
        <v>6.21</v>
      </c>
      <c r="M25" s="117">
        <f t="shared" si="0"/>
        <v>62.1</v>
      </c>
      <c r="O25" s="116"/>
    </row>
    <row r="26" spans="1:15" s="115" customFormat="1">
      <c r="A26" s="109" t="s">
        <v>402</v>
      </c>
      <c r="B26" s="110" t="s">
        <v>536</v>
      </c>
      <c r="C26" s="111">
        <v>42131701</v>
      </c>
      <c r="D26" s="111">
        <v>166701</v>
      </c>
      <c r="E26" s="114" t="s">
        <v>537</v>
      </c>
      <c r="F26" s="113" t="s">
        <v>454</v>
      </c>
      <c r="G26" s="114" t="s">
        <v>538</v>
      </c>
      <c r="H26" s="111">
        <v>11.01</v>
      </c>
      <c r="I26" s="111" t="s">
        <v>539</v>
      </c>
      <c r="J26" s="110" t="s">
        <v>540</v>
      </c>
      <c r="K26" s="111">
        <v>20</v>
      </c>
      <c r="L26" s="117">
        <v>3.02</v>
      </c>
      <c r="M26" s="117">
        <f t="shared" si="0"/>
        <v>60.4</v>
      </c>
      <c r="O26" s="116"/>
    </row>
    <row r="27" spans="1:15" s="115" customFormat="1">
      <c r="A27" s="109" t="s">
        <v>403</v>
      </c>
      <c r="B27" s="110" t="s">
        <v>541</v>
      </c>
      <c r="C27" s="111">
        <v>42131701</v>
      </c>
      <c r="D27" s="111">
        <v>166701</v>
      </c>
      <c r="E27" s="114" t="s">
        <v>542</v>
      </c>
      <c r="F27" s="113" t="s">
        <v>454</v>
      </c>
      <c r="G27" s="114" t="s">
        <v>543</v>
      </c>
      <c r="H27" s="111">
        <v>11.01</v>
      </c>
      <c r="I27" s="111" t="s">
        <v>539</v>
      </c>
      <c r="J27" s="110" t="s">
        <v>540</v>
      </c>
      <c r="K27" s="111">
        <v>20</v>
      </c>
      <c r="L27" s="117">
        <v>3.35</v>
      </c>
      <c r="M27" s="117">
        <f t="shared" si="0"/>
        <v>67</v>
      </c>
      <c r="O27" s="116"/>
    </row>
    <row r="28" spans="1:15" s="115" customFormat="1">
      <c r="A28" s="109" t="s">
        <v>544</v>
      </c>
      <c r="B28" s="110" t="s">
        <v>545</v>
      </c>
      <c r="C28" s="111">
        <v>42131701</v>
      </c>
      <c r="D28" s="111">
        <v>166701</v>
      </c>
      <c r="E28" s="114" t="s">
        <v>546</v>
      </c>
      <c r="F28" s="113" t="s">
        <v>454</v>
      </c>
      <c r="G28" s="114" t="s">
        <v>547</v>
      </c>
      <c r="H28" s="111">
        <v>11.01</v>
      </c>
      <c r="I28" s="111" t="s">
        <v>539</v>
      </c>
      <c r="J28" s="110" t="s">
        <v>540</v>
      </c>
      <c r="K28" s="111">
        <v>18</v>
      </c>
      <c r="L28" s="117">
        <v>4.09</v>
      </c>
      <c r="M28" s="117">
        <f t="shared" si="0"/>
        <v>73.62</v>
      </c>
      <c r="O28" s="116"/>
    </row>
    <row r="29" spans="1:15" s="115" customFormat="1">
      <c r="A29" s="109" t="s">
        <v>404</v>
      </c>
      <c r="B29" s="110" t="s">
        <v>548</v>
      </c>
      <c r="C29" s="111">
        <v>42131701</v>
      </c>
      <c r="D29" s="111">
        <v>166701</v>
      </c>
      <c r="E29" s="114" t="s">
        <v>549</v>
      </c>
      <c r="F29" s="113" t="s">
        <v>454</v>
      </c>
      <c r="G29" s="114" t="s">
        <v>550</v>
      </c>
      <c r="H29" s="111">
        <v>11.01</v>
      </c>
      <c r="I29" s="111" t="s">
        <v>539</v>
      </c>
      <c r="J29" s="110" t="s">
        <v>540</v>
      </c>
      <c r="K29" s="111">
        <v>18</v>
      </c>
      <c r="L29" s="117">
        <v>6.58</v>
      </c>
      <c r="M29" s="117">
        <f t="shared" si="0"/>
        <v>118.44</v>
      </c>
      <c r="O29" s="116"/>
    </row>
    <row r="30" spans="1:15" s="115" customFormat="1">
      <c r="A30" s="109" t="s">
        <v>405</v>
      </c>
      <c r="B30" s="110" t="s">
        <v>551</v>
      </c>
      <c r="C30" s="111">
        <v>42131701</v>
      </c>
      <c r="D30" s="111">
        <v>166701</v>
      </c>
      <c r="E30" s="114" t="s">
        <v>552</v>
      </c>
      <c r="F30" s="113" t="s">
        <v>454</v>
      </c>
      <c r="G30" s="114" t="s">
        <v>553</v>
      </c>
      <c r="H30" s="111">
        <v>11.01</v>
      </c>
      <c r="I30" s="111" t="s">
        <v>539</v>
      </c>
      <c r="J30" s="110" t="s">
        <v>540</v>
      </c>
      <c r="K30" s="111">
        <v>16</v>
      </c>
      <c r="L30" s="117">
        <v>7.52</v>
      </c>
      <c r="M30" s="117">
        <f t="shared" si="0"/>
        <v>120.32</v>
      </c>
      <c r="O30" s="116"/>
    </row>
    <row r="31" spans="1:15" s="115" customFormat="1">
      <c r="A31" s="109" t="s">
        <v>406</v>
      </c>
      <c r="B31" s="110" t="s">
        <v>554</v>
      </c>
      <c r="C31" s="111">
        <v>42131701</v>
      </c>
      <c r="D31" s="111">
        <v>166701</v>
      </c>
      <c r="E31" s="114" t="s">
        <v>555</v>
      </c>
      <c r="F31" s="113" t="s">
        <v>454</v>
      </c>
      <c r="G31" s="114" t="s">
        <v>556</v>
      </c>
      <c r="H31" s="111">
        <v>11.01</v>
      </c>
      <c r="I31" s="111" t="s">
        <v>539</v>
      </c>
      <c r="J31" s="110" t="s">
        <v>540</v>
      </c>
      <c r="K31" s="111">
        <v>68</v>
      </c>
      <c r="L31" s="117">
        <v>2.37</v>
      </c>
      <c r="M31" s="117">
        <f t="shared" si="0"/>
        <v>161.16</v>
      </c>
      <c r="O31" s="116"/>
    </row>
    <row r="32" spans="1:15" s="115" customFormat="1">
      <c r="A32" s="109" t="s">
        <v>557</v>
      </c>
      <c r="B32" s="110" t="s">
        <v>558</v>
      </c>
      <c r="C32" s="111">
        <v>42131701</v>
      </c>
      <c r="D32" s="111">
        <v>125159</v>
      </c>
      <c r="E32" s="114" t="s">
        <v>559</v>
      </c>
      <c r="F32" s="113" t="s">
        <v>560</v>
      </c>
      <c r="G32" s="114" t="s">
        <v>561</v>
      </c>
      <c r="H32" s="111">
        <v>11.01</v>
      </c>
      <c r="I32" s="111" t="s">
        <v>539</v>
      </c>
      <c r="J32" s="110" t="s">
        <v>540</v>
      </c>
      <c r="K32" s="111">
        <v>100</v>
      </c>
      <c r="L32" s="117">
        <v>2.31</v>
      </c>
      <c r="M32" s="117">
        <f t="shared" si="0"/>
        <v>231</v>
      </c>
      <c r="O32" s="116"/>
    </row>
    <row r="33" spans="1:15" s="115" customFormat="1">
      <c r="A33" s="109" t="s">
        <v>562</v>
      </c>
      <c r="B33" s="110" t="s">
        <v>563</v>
      </c>
      <c r="C33" s="111">
        <v>42131701</v>
      </c>
      <c r="D33" s="111">
        <v>166701</v>
      </c>
      <c r="E33" s="114" t="s">
        <v>564</v>
      </c>
      <c r="F33" s="113" t="s">
        <v>454</v>
      </c>
      <c r="G33" s="114" t="s">
        <v>565</v>
      </c>
      <c r="H33" s="111">
        <v>11.01</v>
      </c>
      <c r="I33" s="111" t="s">
        <v>539</v>
      </c>
      <c r="J33" s="110" t="s">
        <v>540</v>
      </c>
      <c r="K33" s="111">
        <v>92</v>
      </c>
      <c r="L33" s="117">
        <v>2.23</v>
      </c>
      <c r="M33" s="117">
        <f t="shared" si="0"/>
        <v>205.16</v>
      </c>
      <c r="O33" s="116"/>
    </row>
    <row r="34" spans="1:15" s="115" customFormat="1">
      <c r="A34" s="109" t="s">
        <v>437</v>
      </c>
      <c r="B34" s="110" t="s">
        <v>566</v>
      </c>
      <c r="C34" s="111">
        <v>42131701</v>
      </c>
      <c r="D34" s="111">
        <v>166701</v>
      </c>
      <c r="E34" s="114" t="s">
        <v>567</v>
      </c>
      <c r="F34" s="113" t="s">
        <v>454</v>
      </c>
      <c r="G34" s="114" t="s">
        <v>568</v>
      </c>
      <c r="H34" s="111">
        <v>11.01</v>
      </c>
      <c r="I34" s="111" t="s">
        <v>539</v>
      </c>
      <c r="J34" s="110" t="s">
        <v>540</v>
      </c>
      <c r="K34" s="111">
        <v>35</v>
      </c>
      <c r="L34" s="117">
        <v>4.32</v>
      </c>
      <c r="M34" s="117">
        <f t="shared" si="0"/>
        <v>151.20000000000002</v>
      </c>
      <c r="O34" s="116"/>
    </row>
    <row r="35" spans="1:15" s="115" customFormat="1">
      <c r="A35" s="109" t="s">
        <v>438</v>
      </c>
      <c r="B35" s="110" t="s">
        <v>566</v>
      </c>
      <c r="C35" s="111">
        <v>42131701</v>
      </c>
      <c r="D35" s="111">
        <v>166701</v>
      </c>
      <c r="E35" s="114" t="s">
        <v>569</v>
      </c>
      <c r="F35" s="113" t="s">
        <v>454</v>
      </c>
      <c r="G35" s="114" t="s">
        <v>570</v>
      </c>
      <c r="H35" s="111">
        <v>11.01</v>
      </c>
      <c r="I35" s="111" t="s">
        <v>539</v>
      </c>
      <c r="J35" s="110" t="s">
        <v>540</v>
      </c>
      <c r="K35" s="111">
        <v>15</v>
      </c>
      <c r="L35" s="117">
        <v>8.94</v>
      </c>
      <c r="M35" s="117">
        <f t="shared" si="0"/>
        <v>134.1</v>
      </c>
      <c r="O35" s="116"/>
    </row>
    <row r="36" spans="1:15" s="115" customFormat="1">
      <c r="A36" s="109" t="s">
        <v>407</v>
      </c>
      <c r="B36" s="110" t="s">
        <v>571</v>
      </c>
      <c r="C36" s="111">
        <v>42131701</v>
      </c>
      <c r="D36" s="111">
        <v>166701</v>
      </c>
      <c r="E36" s="114" t="s">
        <v>572</v>
      </c>
      <c r="F36" s="113" t="s">
        <v>454</v>
      </c>
      <c r="G36" s="114" t="s">
        <v>573</v>
      </c>
      <c r="H36" s="111">
        <v>11.02</v>
      </c>
      <c r="I36" s="111" t="s">
        <v>539</v>
      </c>
      <c r="J36" s="110" t="s">
        <v>574</v>
      </c>
      <c r="K36" s="111">
        <v>32</v>
      </c>
      <c r="L36" s="117">
        <v>5.67</v>
      </c>
      <c r="M36" s="117">
        <f t="shared" si="0"/>
        <v>181.44</v>
      </c>
      <c r="O36" s="116"/>
    </row>
    <row r="37" spans="1:15" s="115" customFormat="1">
      <c r="A37" s="109" t="s">
        <v>575</v>
      </c>
      <c r="B37" s="110" t="s">
        <v>576</v>
      </c>
      <c r="C37" s="111">
        <v>42131701</v>
      </c>
      <c r="D37" s="111">
        <v>137983</v>
      </c>
      <c r="E37" s="114" t="s">
        <v>577</v>
      </c>
      <c r="F37" s="113" t="s">
        <v>529</v>
      </c>
      <c r="G37" s="114" t="s">
        <v>578</v>
      </c>
      <c r="H37" s="111">
        <v>11.02</v>
      </c>
      <c r="I37" s="111" t="s">
        <v>539</v>
      </c>
      <c r="J37" s="110" t="s">
        <v>574</v>
      </c>
      <c r="K37" s="111">
        <v>25</v>
      </c>
      <c r="L37" s="117">
        <v>3.79</v>
      </c>
      <c r="M37" s="117">
        <f t="shared" si="0"/>
        <v>94.75</v>
      </c>
      <c r="O37" s="116"/>
    </row>
    <row r="38" spans="1:15" s="115" customFormat="1">
      <c r="A38" s="109" t="s">
        <v>439</v>
      </c>
      <c r="B38" s="110" t="s">
        <v>579</v>
      </c>
      <c r="C38" s="111">
        <v>42131701</v>
      </c>
      <c r="D38" s="111">
        <v>125159</v>
      </c>
      <c r="E38" s="114" t="s">
        <v>580</v>
      </c>
      <c r="F38" s="113" t="s">
        <v>454</v>
      </c>
      <c r="G38" s="114" t="s">
        <v>581</v>
      </c>
      <c r="H38" s="111">
        <v>11.02</v>
      </c>
      <c r="I38" s="111" t="s">
        <v>539</v>
      </c>
      <c r="J38" s="110" t="s">
        <v>574</v>
      </c>
      <c r="K38" s="111">
        <v>100</v>
      </c>
      <c r="L38" s="117">
        <v>2.58</v>
      </c>
      <c r="M38" s="117">
        <f t="shared" si="0"/>
        <v>258</v>
      </c>
      <c r="O38" s="116"/>
    </row>
    <row r="39" spans="1:15" s="115" customFormat="1">
      <c r="A39" s="109" t="s">
        <v>582</v>
      </c>
      <c r="B39" s="110" t="s">
        <v>583</v>
      </c>
      <c r="C39" s="111">
        <v>42131701</v>
      </c>
      <c r="D39" s="111">
        <v>166701</v>
      </c>
      <c r="E39" s="114" t="s">
        <v>577</v>
      </c>
      <c r="F39" s="113" t="s">
        <v>454</v>
      </c>
      <c r="G39" s="114" t="s">
        <v>578</v>
      </c>
      <c r="H39" s="111">
        <v>11.03</v>
      </c>
      <c r="I39" s="111" t="s">
        <v>539</v>
      </c>
      <c r="J39" s="110" t="s">
        <v>584</v>
      </c>
      <c r="K39" s="111">
        <v>18</v>
      </c>
      <c r="L39" s="117">
        <v>9.56</v>
      </c>
      <c r="M39" s="117">
        <f t="shared" si="0"/>
        <v>172.08</v>
      </c>
      <c r="O39" s="116"/>
    </row>
    <row r="40" spans="1:15" s="115" customFormat="1">
      <c r="A40" s="109" t="s">
        <v>585</v>
      </c>
      <c r="B40" s="110" t="s">
        <v>583</v>
      </c>
      <c r="C40" s="111">
        <v>42131701</v>
      </c>
      <c r="D40" s="111">
        <v>166701</v>
      </c>
      <c r="E40" s="114" t="s">
        <v>586</v>
      </c>
      <c r="F40" s="113" t="s">
        <v>454</v>
      </c>
      <c r="G40" s="114" t="s">
        <v>587</v>
      </c>
      <c r="H40" s="111">
        <v>11.03</v>
      </c>
      <c r="I40" s="111" t="s">
        <v>539</v>
      </c>
      <c r="J40" s="110" t="s">
        <v>584</v>
      </c>
      <c r="K40" s="111">
        <v>24</v>
      </c>
      <c r="L40" s="117">
        <v>6.46</v>
      </c>
      <c r="M40" s="117">
        <f t="shared" ref="M40:M103" si="1">K40*L40</f>
        <v>155.04</v>
      </c>
      <c r="O40" s="116"/>
    </row>
    <row r="41" spans="1:15" s="115" customFormat="1">
      <c r="A41" s="109" t="s">
        <v>431</v>
      </c>
      <c r="B41" s="110" t="s">
        <v>583</v>
      </c>
      <c r="C41" s="111">
        <v>42131701</v>
      </c>
      <c r="D41" s="111">
        <v>166701</v>
      </c>
      <c r="E41" s="114" t="s">
        <v>588</v>
      </c>
      <c r="F41" s="113" t="s">
        <v>454</v>
      </c>
      <c r="G41" s="114" t="s">
        <v>589</v>
      </c>
      <c r="H41" s="111">
        <v>11.03</v>
      </c>
      <c r="I41" s="111" t="s">
        <v>539</v>
      </c>
      <c r="J41" s="110" t="s">
        <v>584</v>
      </c>
      <c r="K41" s="111">
        <v>12</v>
      </c>
      <c r="L41" s="117">
        <v>9.84</v>
      </c>
      <c r="M41" s="117">
        <f t="shared" si="1"/>
        <v>118.08</v>
      </c>
      <c r="O41" s="116"/>
    </row>
    <row r="42" spans="1:15" s="115" customFormat="1">
      <c r="A42" s="109" t="s">
        <v>422</v>
      </c>
      <c r="B42" s="110" t="s">
        <v>590</v>
      </c>
      <c r="C42" s="111">
        <v>42131705</v>
      </c>
      <c r="D42" s="111">
        <v>166701</v>
      </c>
      <c r="E42" s="114" t="s">
        <v>591</v>
      </c>
      <c r="F42" s="113" t="s">
        <v>454</v>
      </c>
      <c r="G42" s="114" t="s">
        <v>592</v>
      </c>
      <c r="H42" s="111">
        <v>11.04</v>
      </c>
      <c r="I42" s="111" t="s">
        <v>539</v>
      </c>
      <c r="J42" s="110" t="s">
        <v>593</v>
      </c>
      <c r="K42" s="111">
        <v>26</v>
      </c>
      <c r="L42" s="117">
        <v>4.7699999999999996</v>
      </c>
      <c r="M42" s="117">
        <f t="shared" si="1"/>
        <v>124.01999999999998</v>
      </c>
      <c r="O42" s="116"/>
    </row>
    <row r="43" spans="1:15" s="115" customFormat="1">
      <c r="A43" s="109" t="s">
        <v>394</v>
      </c>
      <c r="B43" s="110" t="s">
        <v>594</v>
      </c>
      <c r="C43" s="111">
        <v>42131701</v>
      </c>
      <c r="D43" s="111">
        <v>125159</v>
      </c>
      <c r="E43" s="114" t="s">
        <v>595</v>
      </c>
      <c r="F43" s="113" t="s">
        <v>454</v>
      </c>
      <c r="G43" s="114" t="s">
        <v>596</v>
      </c>
      <c r="H43" s="111">
        <v>11.05</v>
      </c>
      <c r="I43" s="111" t="s">
        <v>539</v>
      </c>
      <c r="J43" s="110" t="s">
        <v>597</v>
      </c>
      <c r="K43" s="111">
        <v>30</v>
      </c>
      <c r="L43" s="117">
        <v>1.99</v>
      </c>
      <c r="M43" s="117">
        <f t="shared" si="1"/>
        <v>59.7</v>
      </c>
      <c r="O43" s="116"/>
    </row>
    <row r="44" spans="1:15" s="115" customFormat="1">
      <c r="A44" s="109" t="s">
        <v>395</v>
      </c>
      <c r="B44" s="110" t="s">
        <v>598</v>
      </c>
      <c r="C44" s="111">
        <v>42131701</v>
      </c>
      <c r="D44" s="111">
        <v>125159</v>
      </c>
      <c r="E44" s="114" t="s">
        <v>599</v>
      </c>
      <c r="F44" s="113" t="s">
        <v>454</v>
      </c>
      <c r="G44" s="114" t="s">
        <v>600</v>
      </c>
      <c r="H44" s="111">
        <v>11.05</v>
      </c>
      <c r="I44" s="111" t="s">
        <v>539</v>
      </c>
      <c r="J44" s="110" t="s">
        <v>597</v>
      </c>
      <c r="K44" s="111">
        <v>22</v>
      </c>
      <c r="L44" s="117">
        <v>2.79</v>
      </c>
      <c r="M44" s="117">
        <f t="shared" si="1"/>
        <v>61.38</v>
      </c>
      <c r="O44" s="116"/>
    </row>
    <row r="45" spans="1:15" s="115" customFormat="1">
      <c r="A45" s="109" t="s">
        <v>396</v>
      </c>
      <c r="B45" s="110" t="s">
        <v>601</v>
      </c>
      <c r="C45" s="111">
        <v>42131701</v>
      </c>
      <c r="D45" s="111">
        <v>166701</v>
      </c>
      <c r="E45" s="114" t="s">
        <v>602</v>
      </c>
      <c r="F45" s="113" t="s">
        <v>454</v>
      </c>
      <c r="G45" s="114" t="s">
        <v>603</v>
      </c>
      <c r="H45" s="111">
        <v>11.05</v>
      </c>
      <c r="I45" s="111" t="s">
        <v>539</v>
      </c>
      <c r="J45" s="110" t="s">
        <v>597</v>
      </c>
      <c r="K45" s="111">
        <v>25</v>
      </c>
      <c r="L45" s="117">
        <v>3.2</v>
      </c>
      <c r="M45" s="117">
        <f t="shared" si="1"/>
        <v>80</v>
      </c>
      <c r="O45" s="116"/>
    </row>
    <row r="46" spans="1:15" s="115" customFormat="1">
      <c r="A46" s="109" t="s">
        <v>397</v>
      </c>
      <c r="B46" s="110" t="s">
        <v>604</v>
      </c>
      <c r="C46" s="111">
        <v>42131701</v>
      </c>
      <c r="D46" s="111">
        <v>166701</v>
      </c>
      <c r="E46" s="114" t="s">
        <v>605</v>
      </c>
      <c r="F46" s="113" t="s">
        <v>454</v>
      </c>
      <c r="G46" s="114" t="s">
        <v>606</v>
      </c>
      <c r="H46" s="111">
        <v>11.05</v>
      </c>
      <c r="I46" s="111" t="s">
        <v>539</v>
      </c>
      <c r="J46" s="110" t="s">
        <v>597</v>
      </c>
      <c r="K46" s="111">
        <v>22</v>
      </c>
      <c r="L46" s="117">
        <v>3.86</v>
      </c>
      <c r="M46" s="117">
        <f t="shared" si="1"/>
        <v>84.92</v>
      </c>
      <c r="O46" s="116"/>
    </row>
    <row r="47" spans="1:15" s="115" customFormat="1">
      <c r="A47" s="109" t="s">
        <v>398</v>
      </c>
      <c r="B47" s="110" t="s">
        <v>607</v>
      </c>
      <c r="C47" s="111">
        <v>42131701</v>
      </c>
      <c r="D47" s="111">
        <v>166701</v>
      </c>
      <c r="E47" s="114" t="s">
        <v>608</v>
      </c>
      <c r="F47" s="113" t="s">
        <v>454</v>
      </c>
      <c r="G47" s="114" t="s">
        <v>609</v>
      </c>
      <c r="H47" s="111">
        <v>11.05</v>
      </c>
      <c r="I47" s="111" t="s">
        <v>539</v>
      </c>
      <c r="J47" s="110" t="s">
        <v>597</v>
      </c>
      <c r="K47" s="111">
        <v>24</v>
      </c>
      <c r="L47" s="117">
        <v>5.64</v>
      </c>
      <c r="M47" s="117">
        <f t="shared" si="1"/>
        <v>135.35999999999999</v>
      </c>
      <c r="O47" s="116"/>
    </row>
    <row r="48" spans="1:15" s="115" customFormat="1">
      <c r="A48" s="109" t="s">
        <v>399</v>
      </c>
      <c r="B48" s="110" t="s">
        <v>610</v>
      </c>
      <c r="C48" s="111">
        <v>42131701</v>
      </c>
      <c r="D48" s="111">
        <v>166701</v>
      </c>
      <c r="E48" s="114" t="s">
        <v>611</v>
      </c>
      <c r="F48" s="113" t="s">
        <v>454</v>
      </c>
      <c r="G48" s="114" t="s">
        <v>612</v>
      </c>
      <c r="H48" s="111">
        <v>11.05</v>
      </c>
      <c r="I48" s="111" t="s">
        <v>539</v>
      </c>
      <c r="J48" s="110" t="s">
        <v>597</v>
      </c>
      <c r="K48" s="111">
        <v>20</v>
      </c>
      <c r="L48" s="117">
        <v>6.5</v>
      </c>
      <c r="M48" s="117">
        <f t="shared" si="1"/>
        <v>130</v>
      </c>
      <c r="O48" s="116"/>
    </row>
    <row r="49" spans="1:15" s="115" customFormat="1">
      <c r="A49" s="109" t="s">
        <v>613</v>
      </c>
      <c r="B49" s="110" t="s">
        <v>614</v>
      </c>
      <c r="C49" s="111">
        <v>42131701</v>
      </c>
      <c r="D49" s="111">
        <v>137983</v>
      </c>
      <c r="E49" s="114"/>
      <c r="F49" s="113" t="s">
        <v>529</v>
      </c>
      <c r="G49" s="114"/>
      <c r="H49" s="111">
        <v>11.05</v>
      </c>
      <c r="I49" s="111" t="s">
        <v>539</v>
      </c>
      <c r="J49" s="110" t="s">
        <v>597</v>
      </c>
      <c r="K49" s="111">
        <v>10</v>
      </c>
      <c r="L49" s="117">
        <v>9.5399999999999991</v>
      </c>
      <c r="M49" s="117">
        <f t="shared" si="1"/>
        <v>95.399999999999991</v>
      </c>
      <c r="O49" s="116"/>
    </row>
    <row r="50" spans="1:15" s="115" customFormat="1">
      <c r="A50" s="109" t="s">
        <v>408</v>
      </c>
      <c r="B50" s="110" t="s">
        <v>615</v>
      </c>
      <c r="C50" s="111">
        <v>42131701</v>
      </c>
      <c r="D50" s="111">
        <v>166701</v>
      </c>
      <c r="E50" s="114" t="s">
        <v>616</v>
      </c>
      <c r="F50" s="113" t="s">
        <v>454</v>
      </c>
      <c r="G50" s="114" t="s">
        <v>617</v>
      </c>
      <c r="H50" s="111">
        <v>12.01</v>
      </c>
      <c r="I50" s="111" t="s">
        <v>618</v>
      </c>
      <c r="J50" s="110" t="s">
        <v>619</v>
      </c>
      <c r="K50" s="111">
        <v>50</v>
      </c>
      <c r="L50" s="117">
        <v>4.0999999999999996</v>
      </c>
      <c r="M50" s="117">
        <f t="shared" si="1"/>
        <v>204.99999999999997</v>
      </c>
      <c r="O50" s="116"/>
    </row>
    <row r="51" spans="1:15" s="115" customFormat="1">
      <c r="A51" s="109" t="s">
        <v>400</v>
      </c>
      <c r="B51" s="110" t="s">
        <v>615</v>
      </c>
      <c r="C51" s="111">
        <v>42131701</v>
      </c>
      <c r="D51" s="111">
        <v>125159</v>
      </c>
      <c r="E51" s="114" t="s">
        <v>620</v>
      </c>
      <c r="F51" s="113" t="s">
        <v>454</v>
      </c>
      <c r="G51" s="114" t="s">
        <v>621</v>
      </c>
      <c r="H51" s="111">
        <v>12.01</v>
      </c>
      <c r="I51" s="111" t="s">
        <v>618</v>
      </c>
      <c r="J51" s="110" t="s">
        <v>619</v>
      </c>
      <c r="K51" s="111">
        <v>8</v>
      </c>
      <c r="L51" s="117">
        <v>22.3</v>
      </c>
      <c r="M51" s="117">
        <f t="shared" si="1"/>
        <v>178.4</v>
      </c>
      <c r="O51" s="116"/>
    </row>
    <row r="52" spans="1:15" s="115" customFormat="1">
      <c r="A52" s="109" t="s">
        <v>622</v>
      </c>
      <c r="B52" s="109" t="s">
        <v>623</v>
      </c>
      <c r="C52" s="113" t="s">
        <v>624</v>
      </c>
      <c r="D52" s="113">
        <v>137394</v>
      </c>
      <c r="E52" s="119" t="s">
        <v>625</v>
      </c>
      <c r="F52" s="113" t="s">
        <v>454</v>
      </c>
      <c r="G52" s="114" t="s">
        <v>626</v>
      </c>
      <c r="H52" s="113">
        <v>12.03</v>
      </c>
      <c r="I52" s="111" t="s">
        <v>618</v>
      </c>
      <c r="J52" s="109" t="s">
        <v>627</v>
      </c>
      <c r="K52" s="111">
        <v>10</v>
      </c>
      <c r="L52" s="117">
        <v>80.239999999999995</v>
      </c>
      <c r="M52" s="117">
        <f t="shared" si="1"/>
        <v>802.4</v>
      </c>
      <c r="O52" s="116"/>
    </row>
    <row r="53" spans="1:15" s="115" customFormat="1">
      <c r="A53" s="109" t="s">
        <v>628</v>
      </c>
      <c r="B53" s="109" t="s">
        <v>629</v>
      </c>
      <c r="C53" s="111">
        <v>42131701</v>
      </c>
      <c r="D53" s="111">
        <v>125159</v>
      </c>
      <c r="E53" s="114" t="s">
        <v>630</v>
      </c>
      <c r="F53" s="113" t="s">
        <v>454</v>
      </c>
      <c r="G53" s="114" t="s">
        <v>631</v>
      </c>
      <c r="H53" s="113">
        <v>12.03</v>
      </c>
      <c r="I53" s="111" t="s">
        <v>618</v>
      </c>
      <c r="J53" s="109" t="s">
        <v>627</v>
      </c>
      <c r="K53" s="111">
        <v>10</v>
      </c>
      <c r="L53" s="117">
        <v>12.35</v>
      </c>
      <c r="M53" s="117">
        <f t="shared" si="1"/>
        <v>123.5</v>
      </c>
      <c r="O53" s="116"/>
    </row>
    <row r="54" spans="1:15" s="115" customFormat="1">
      <c r="A54" s="109" t="s">
        <v>632</v>
      </c>
      <c r="B54" s="110" t="s">
        <v>633</v>
      </c>
      <c r="C54" s="111">
        <v>42131701</v>
      </c>
      <c r="D54" s="111">
        <v>166701</v>
      </c>
      <c r="E54" s="114" t="s">
        <v>634</v>
      </c>
      <c r="F54" s="113" t="s">
        <v>454</v>
      </c>
      <c r="G54" s="114" t="s">
        <v>635</v>
      </c>
      <c r="H54" s="111">
        <v>12.03</v>
      </c>
      <c r="I54" s="111" t="s">
        <v>618</v>
      </c>
      <c r="J54" s="110" t="s">
        <v>627</v>
      </c>
      <c r="K54" s="111">
        <v>8</v>
      </c>
      <c r="L54" s="117">
        <v>20.16</v>
      </c>
      <c r="M54" s="117">
        <f t="shared" si="1"/>
        <v>161.28</v>
      </c>
      <c r="O54" s="116"/>
    </row>
    <row r="55" spans="1:15" s="115" customFormat="1">
      <c r="A55" s="109" t="s">
        <v>636</v>
      </c>
      <c r="B55" s="110" t="s">
        <v>633</v>
      </c>
      <c r="C55" s="111">
        <v>42131701</v>
      </c>
      <c r="D55" s="111">
        <v>166701</v>
      </c>
      <c r="E55" s="114" t="s">
        <v>637</v>
      </c>
      <c r="F55" s="113" t="s">
        <v>454</v>
      </c>
      <c r="G55" s="114" t="s">
        <v>638</v>
      </c>
      <c r="H55" s="111">
        <v>12.03</v>
      </c>
      <c r="I55" s="111" t="s">
        <v>618</v>
      </c>
      <c r="J55" s="110" t="s">
        <v>627</v>
      </c>
      <c r="K55" s="111">
        <v>8</v>
      </c>
      <c r="L55" s="117">
        <v>24.36</v>
      </c>
      <c r="M55" s="117">
        <f t="shared" si="1"/>
        <v>194.88</v>
      </c>
      <c r="O55" s="116"/>
    </row>
    <row r="56" spans="1:15" s="115" customFormat="1">
      <c r="A56" s="109" t="s">
        <v>639</v>
      </c>
      <c r="B56" s="110" t="s">
        <v>640</v>
      </c>
      <c r="C56" s="111">
        <v>42131701</v>
      </c>
      <c r="D56" s="111">
        <v>166701</v>
      </c>
      <c r="E56" s="114" t="s">
        <v>641</v>
      </c>
      <c r="F56" s="113" t="s">
        <v>454</v>
      </c>
      <c r="G56" s="114" t="s">
        <v>642</v>
      </c>
      <c r="H56" s="111">
        <v>12.05</v>
      </c>
      <c r="I56" s="111" t="s">
        <v>618</v>
      </c>
      <c r="J56" s="110" t="s">
        <v>643</v>
      </c>
      <c r="K56" s="111">
        <v>15</v>
      </c>
      <c r="L56" s="117">
        <v>12.53</v>
      </c>
      <c r="M56" s="117">
        <f t="shared" si="1"/>
        <v>187.95</v>
      </c>
      <c r="O56" s="116"/>
    </row>
    <row r="57" spans="1:15" s="115" customFormat="1">
      <c r="A57" s="109" t="s">
        <v>644</v>
      </c>
      <c r="B57" s="110" t="s">
        <v>645</v>
      </c>
      <c r="C57" s="111">
        <v>42131701</v>
      </c>
      <c r="D57" s="111">
        <v>166701</v>
      </c>
      <c r="E57" s="114" t="s">
        <v>646</v>
      </c>
      <c r="F57" s="113" t="s">
        <v>454</v>
      </c>
      <c r="G57" s="114" t="s">
        <v>647</v>
      </c>
      <c r="H57" s="111">
        <v>12.05</v>
      </c>
      <c r="I57" s="111" t="s">
        <v>618</v>
      </c>
      <c r="J57" s="110" t="s">
        <v>643</v>
      </c>
      <c r="K57" s="111">
        <v>12</v>
      </c>
      <c r="L57" s="117">
        <v>10.63</v>
      </c>
      <c r="M57" s="117">
        <f t="shared" si="1"/>
        <v>127.56</v>
      </c>
      <c r="O57" s="116"/>
    </row>
    <row r="58" spans="1:15" s="115" customFormat="1">
      <c r="A58" s="109" t="s">
        <v>412</v>
      </c>
      <c r="B58" s="110" t="s">
        <v>648</v>
      </c>
      <c r="C58" s="111">
        <v>42131701</v>
      </c>
      <c r="D58" s="111">
        <v>166701</v>
      </c>
      <c r="E58" s="114" t="s">
        <v>649</v>
      </c>
      <c r="F58" s="113" t="s">
        <v>454</v>
      </c>
      <c r="G58" s="114" t="s">
        <v>650</v>
      </c>
      <c r="H58" s="111">
        <v>12.05</v>
      </c>
      <c r="I58" s="111" t="s">
        <v>618</v>
      </c>
      <c r="J58" s="110" t="s">
        <v>643</v>
      </c>
      <c r="K58" s="111">
        <v>12</v>
      </c>
      <c r="L58" s="117">
        <v>13.38</v>
      </c>
      <c r="M58" s="117">
        <f t="shared" si="1"/>
        <v>160.56</v>
      </c>
      <c r="O58" s="116"/>
    </row>
    <row r="59" spans="1:15" s="115" customFormat="1">
      <c r="A59" s="109" t="s">
        <v>413</v>
      </c>
      <c r="B59" s="110" t="s">
        <v>651</v>
      </c>
      <c r="C59" s="111">
        <v>42131701</v>
      </c>
      <c r="D59" s="111">
        <v>166701</v>
      </c>
      <c r="E59" s="114" t="s">
        <v>652</v>
      </c>
      <c r="F59" s="113" t="s">
        <v>454</v>
      </c>
      <c r="G59" s="114" t="s">
        <v>653</v>
      </c>
      <c r="H59" s="111">
        <v>12.05</v>
      </c>
      <c r="I59" s="111" t="s">
        <v>618</v>
      </c>
      <c r="J59" s="110" t="s">
        <v>643</v>
      </c>
      <c r="K59" s="111">
        <v>10</v>
      </c>
      <c r="L59" s="117">
        <v>15.72</v>
      </c>
      <c r="M59" s="117">
        <f t="shared" si="1"/>
        <v>157.20000000000002</v>
      </c>
      <c r="O59" s="116"/>
    </row>
    <row r="60" spans="1:15" s="115" customFormat="1">
      <c r="A60" s="109" t="s">
        <v>401</v>
      </c>
      <c r="B60" s="110" t="s">
        <v>654</v>
      </c>
      <c r="C60" s="111">
        <v>42131701</v>
      </c>
      <c r="D60" s="111">
        <v>166701</v>
      </c>
      <c r="E60" s="114" t="s">
        <v>655</v>
      </c>
      <c r="F60" s="113" t="s">
        <v>454</v>
      </c>
      <c r="G60" s="114" t="s">
        <v>656</v>
      </c>
      <c r="H60" s="111">
        <v>12.06</v>
      </c>
      <c r="I60" s="111" t="s">
        <v>618</v>
      </c>
      <c r="J60" s="110" t="s">
        <v>657</v>
      </c>
      <c r="K60" s="111">
        <v>32</v>
      </c>
      <c r="L60" s="117">
        <v>4.53</v>
      </c>
      <c r="M60" s="117">
        <f t="shared" si="1"/>
        <v>144.96</v>
      </c>
      <c r="O60" s="116"/>
    </row>
    <row r="61" spans="1:15" s="115" customFormat="1">
      <c r="A61" s="109" t="s">
        <v>658</v>
      </c>
      <c r="B61" s="110" t="s">
        <v>659</v>
      </c>
      <c r="C61" s="111">
        <v>42131701</v>
      </c>
      <c r="D61" s="111">
        <v>166701</v>
      </c>
      <c r="E61" s="114" t="s">
        <v>660</v>
      </c>
      <c r="F61" s="113" t="s">
        <v>454</v>
      </c>
      <c r="G61" s="114" t="s">
        <v>661</v>
      </c>
      <c r="H61" s="111">
        <v>12.07</v>
      </c>
      <c r="I61" s="111" t="s">
        <v>618</v>
      </c>
      <c r="J61" s="110" t="s">
        <v>662</v>
      </c>
      <c r="K61" s="111">
        <v>21</v>
      </c>
      <c r="L61" s="117">
        <v>7.27</v>
      </c>
      <c r="M61" s="117">
        <f t="shared" si="1"/>
        <v>152.66999999999999</v>
      </c>
      <c r="O61" s="116"/>
    </row>
    <row r="62" spans="1:15" s="115" customFormat="1">
      <c r="A62" s="109" t="s">
        <v>410</v>
      </c>
      <c r="B62" s="110" t="s">
        <v>663</v>
      </c>
      <c r="C62" s="111">
        <v>42131701</v>
      </c>
      <c r="D62" s="111">
        <v>166701</v>
      </c>
      <c r="E62" s="114" t="s">
        <v>664</v>
      </c>
      <c r="F62" s="113" t="s">
        <v>454</v>
      </c>
      <c r="G62" s="114" t="s">
        <v>665</v>
      </c>
      <c r="H62" s="111">
        <v>12.07</v>
      </c>
      <c r="I62" s="111" t="s">
        <v>618</v>
      </c>
      <c r="J62" s="110" t="s">
        <v>662</v>
      </c>
      <c r="K62" s="111">
        <v>18</v>
      </c>
      <c r="L62" s="117">
        <v>9.14</v>
      </c>
      <c r="M62" s="117">
        <f t="shared" si="1"/>
        <v>164.52</v>
      </c>
      <c r="O62" s="116"/>
    </row>
    <row r="63" spans="1:15" s="115" customFormat="1">
      <c r="A63" s="109" t="s">
        <v>409</v>
      </c>
      <c r="B63" s="110" t="s">
        <v>659</v>
      </c>
      <c r="C63" s="111">
        <v>42131701</v>
      </c>
      <c r="D63" s="111">
        <v>166701</v>
      </c>
      <c r="E63" s="114" t="s">
        <v>666</v>
      </c>
      <c r="F63" s="113" t="s">
        <v>454</v>
      </c>
      <c r="G63" s="114" t="s">
        <v>667</v>
      </c>
      <c r="H63" s="111">
        <v>12.07</v>
      </c>
      <c r="I63" s="111" t="s">
        <v>618</v>
      </c>
      <c r="J63" s="110" t="s">
        <v>662</v>
      </c>
      <c r="K63" s="111">
        <v>38</v>
      </c>
      <c r="L63" s="117">
        <v>5.12</v>
      </c>
      <c r="M63" s="117">
        <f t="shared" si="1"/>
        <v>194.56</v>
      </c>
      <c r="O63" s="116"/>
    </row>
    <row r="64" spans="1:15" s="115" customFormat="1">
      <c r="A64" s="109" t="s">
        <v>440</v>
      </c>
      <c r="B64" s="110" t="s">
        <v>576</v>
      </c>
      <c r="C64" s="111">
        <v>42131701</v>
      </c>
      <c r="D64" s="111">
        <v>166701</v>
      </c>
      <c r="E64" s="114" t="s">
        <v>668</v>
      </c>
      <c r="F64" s="113" t="s">
        <v>454</v>
      </c>
      <c r="G64" s="114" t="s">
        <v>669</v>
      </c>
      <c r="H64" s="111">
        <v>12.07</v>
      </c>
      <c r="I64" s="111" t="s">
        <v>618</v>
      </c>
      <c r="J64" s="110" t="s">
        <v>662</v>
      </c>
      <c r="K64" s="111">
        <v>15</v>
      </c>
      <c r="L64" s="117">
        <v>9.66</v>
      </c>
      <c r="M64" s="117">
        <f t="shared" si="1"/>
        <v>144.9</v>
      </c>
      <c r="O64" s="116"/>
    </row>
    <row r="65" spans="1:15" s="115" customFormat="1">
      <c r="A65" s="109" t="s">
        <v>670</v>
      </c>
      <c r="B65" s="110" t="s">
        <v>671</v>
      </c>
      <c r="C65" s="111">
        <v>42131701</v>
      </c>
      <c r="D65" s="111">
        <v>166701</v>
      </c>
      <c r="E65" s="114" t="s">
        <v>672</v>
      </c>
      <c r="F65" s="113" t="s">
        <v>454</v>
      </c>
      <c r="G65" s="114" t="s">
        <v>673</v>
      </c>
      <c r="H65" s="111">
        <v>12.07</v>
      </c>
      <c r="I65" s="111" t="s">
        <v>618</v>
      </c>
      <c r="J65" s="110" t="s">
        <v>662</v>
      </c>
      <c r="K65" s="111">
        <v>80</v>
      </c>
      <c r="L65" s="117">
        <v>2.9</v>
      </c>
      <c r="M65" s="117">
        <f t="shared" si="1"/>
        <v>232</v>
      </c>
      <c r="O65" s="116"/>
    </row>
    <row r="66" spans="1:15" s="115" customFormat="1">
      <c r="A66" s="109" t="s">
        <v>414</v>
      </c>
      <c r="B66" s="110" t="s">
        <v>674</v>
      </c>
      <c r="C66" s="111">
        <v>42131701</v>
      </c>
      <c r="D66" s="111">
        <v>166701</v>
      </c>
      <c r="E66" s="114" t="s">
        <v>675</v>
      </c>
      <c r="F66" s="113" t="s">
        <v>454</v>
      </c>
      <c r="G66" s="114" t="s">
        <v>676</v>
      </c>
      <c r="H66" s="111">
        <v>12.08</v>
      </c>
      <c r="I66" s="111" t="s">
        <v>618</v>
      </c>
      <c r="J66" s="110" t="s">
        <v>677</v>
      </c>
      <c r="K66" s="111">
        <v>12</v>
      </c>
      <c r="L66" s="117">
        <v>17.5</v>
      </c>
      <c r="M66" s="117">
        <f t="shared" si="1"/>
        <v>210</v>
      </c>
      <c r="O66" s="116"/>
    </row>
    <row r="67" spans="1:15" s="115" customFormat="1">
      <c r="A67" s="109" t="s">
        <v>678</v>
      </c>
      <c r="B67" s="110" t="s">
        <v>679</v>
      </c>
      <c r="C67" s="111">
        <v>42131701</v>
      </c>
      <c r="D67" s="111">
        <v>125159</v>
      </c>
      <c r="E67" s="114" t="s">
        <v>680</v>
      </c>
      <c r="F67" s="113" t="s">
        <v>454</v>
      </c>
      <c r="G67" s="114" t="s">
        <v>681</v>
      </c>
      <c r="H67" s="111">
        <v>12.08</v>
      </c>
      <c r="I67" s="111" t="s">
        <v>618</v>
      </c>
      <c r="J67" s="110" t="s">
        <v>677</v>
      </c>
      <c r="K67" s="111">
        <v>7</v>
      </c>
      <c r="L67" s="117">
        <v>25.17</v>
      </c>
      <c r="M67" s="117">
        <f t="shared" si="1"/>
        <v>176.19</v>
      </c>
      <c r="O67" s="116"/>
    </row>
    <row r="68" spans="1:15" s="115" customFormat="1">
      <c r="A68" s="109" t="s">
        <v>418</v>
      </c>
      <c r="B68" s="110" t="s">
        <v>682</v>
      </c>
      <c r="C68" s="111">
        <v>42131701</v>
      </c>
      <c r="D68" s="111">
        <v>166701</v>
      </c>
      <c r="E68" s="114" t="s">
        <v>683</v>
      </c>
      <c r="F68" s="113" t="s">
        <v>454</v>
      </c>
      <c r="G68" s="114" t="s">
        <v>684</v>
      </c>
      <c r="H68" s="111">
        <v>12.09</v>
      </c>
      <c r="I68" s="111" t="s">
        <v>618</v>
      </c>
      <c r="J68" s="110" t="s">
        <v>685</v>
      </c>
      <c r="K68" s="111">
        <v>10</v>
      </c>
      <c r="L68" s="117">
        <v>16.05</v>
      </c>
      <c r="M68" s="117">
        <f t="shared" si="1"/>
        <v>160.5</v>
      </c>
      <c r="O68" s="116"/>
    </row>
    <row r="69" spans="1:15" s="115" customFormat="1">
      <c r="A69" s="109" t="s">
        <v>417</v>
      </c>
      <c r="B69" s="110" t="s">
        <v>686</v>
      </c>
      <c r="C69" s="111">
        <v>42131701</v>
      </c>
      <c r="D69" s="111">
        <v>166701</v>
      </c>
      <c r="E69" s="114" t="s">
        <v>687</v>
      </c>
      <c r="F69" s="113" t="s">
        <v>454</v>
      </c>
      <c r="G69" s="114" t="s">
        <v>688</v>
      </c>
      <c r="H69" s="111">
        <v>12.09</v>
      </c>
      <c r="I69" s="111" t="s">
        <v>618</v>
      </c>
      <c r="J69" s="110" t="s">
        <v>685</v>
      </c>
      <c r="K69" s="111">
        <v>5</v>
      </c>
      <c r="L69" s="117">
        <v>29.96</v>
      </c>
      <c r="M69" s="117">
        <f t="shared" si="1"/>
        <v>149.80000000000001</v>
      </c>
      <c r="O69" s="116"/>
    </row>
    <row r="70" spans="1:15" s="115" customFormat="1">
      <c r="A70" s="109" t="s">
        <v>416</v>
      </c>
      <c r="B70" s="110" t="s">
        <v>689</v>
      </c>
      <c r="C70" s="111">
        <v>42131701</v>
      </c>
      <c r="D70" s="111">
        <v>166701</v>
      </c>
      <c r="E70" s="114" t="s">
        <v>690</v>
      </c>
      <c r="F70" s="113" t="s">
        <v>454</v>
      </c>
      <c r="G70" s="114" t="s">
        <v>691</v>
      </c>
      <c r="H70" s="111">
        <v>12.09</v>
      </c>
      <c r="I70" s="111" t="s">
        <v>618</v>
      </c>
      <c r="J70" s="110" t="s">
        <v>685</v>
      </c>
      <c r="K70" s="111">
        <v>7</v>
      </c>
      <c r="L70" s="117">
        <v>22.64</v>
      </c>
      <c r="M70" s="117">
        <f t="shared" si="1"/>
        <v>158.48000000000002</v>
      </c>
      <c r="O70" s="116"/>
    </row>
    <row r="71" spans="1:15" s="115" customFormat="1">
      <c r="A71" s="109" t="s">
        <v>415</v>
      </c>
      <c r="B71" s="110" t="s">
        <v>689</v>
      </c>
      <c r="C71" s="111">
        <v>42131701</v>
      </c>
      <c r="D71" s="111">
        <v>166701</v>
      </c>
      <c r="E71" s="114" t="s">
        <v>692</v>
      </c>
      <c r="F71" s="113" t="s">
        <v>454</v>
      </c>
      <c r="G71" s="114" t="s">
        <v>693</v>
      </c>
      <c r="H71" s="111">
        <v>12.09</v>
      </c>
      <c r="I71" s="111" t="s">
        <v>618</v>
      </c>
      <c r="J71" s="110" t="s">
        <v>685</v>
      </c>
      <c r="K71" s="111">
        <v>8</v>
      </c>
      <c r="L71" s="117">
        <v>22.68</v>
      </c>
      <c r="M71" s="117">
        <f t="shared" si="1"/>
        <v>181.44</v>
      </c>
      <c r="O71" s="116"/>
    </row>
    <row r="72" spans="1:15" s="115" customFormat="1">
      <c r="A72" s="109" t="s">
        <v>694</v>
      </c>
      <c r="B72" s="110" t="s">
        <v>689</v>
      </c>
      <c r="C72" s="111">
        <v>42131701</v>
      </c>
      <c r="D72" s="111">
        <v>166701</v>
      </c>
      <c r="E72" s="114" t="s">
        <v>695</v>
      </c>
      <c r="F72" s="113" t="s">
        <v>454</v>
      </c>
      <c r="G72" s="114" t="s">
        <v>696</v>
      </c>
      <c r="H72" s="111">
        <v>12.09</v>
      </c>
      <c r="I72" s="111" t="s">
        <v>618</v>
      </c>
      <c r="J72" s="110" t="s">
        <v>685</v>
      </c>
      <c r="K72" s="111">
        <v>12</v>
      </c>
      <c r="L72" s="117">
        <v>13.31</v>
      </c>
      <c r="M72" s="117">
        <f t="shared" si="1"/>
        <v>159.72</v>
      </c>
      <c r="O72" s="116"/>
    </row>
    <row r="73" spans="1:15" s="115" customFormat="1">
      <c r="A73" s="109" t="s">
        <v>697</v>
      </c>
      <c r="B73" s="110" t="s">
        <v>698</v>
      </c>
      <c r="C73" s="111">
        <v>42131701</v>
      </c>
      <c r="D73" s="111">
        <v>166701</v>
      </c>
      <c r="E73" s="114" t="s">
        <v>699</v>
      </c>
      <c r="F73" s="113" t="s">
        <v>454</v>
      </c>
      <c r="G73" s="114" t="s">
        <v>700</v>
      </c>
      <c r="H73" s="111">
        <v>12.09</v>
      </c>
      <c r="I73" s="111" t="s">
        <v>618</v>
      </c>
      <c r="J73" s="110" t="s">
        <v>685</v>
      </c>
      <c r="K73" s="111">
        <v>10</v>
      </c>
      <c r="L73" s="117">
        <v>11.8</v>
      </c>
      <c r="M73" s="117">
        <f t="shared" si="1"/>
        <v>118</v>
      </c>
      <c r="O73" s="116"/>
    </row>
    <row r="74" spans="1:15" s="115" customFormat="1">
      <c r="A74" s="109" t="s">
        <v>420</v>
      </c>
      <c r="B74" s="110" t="s">
        <v>701</v>
      </c>
      <c r="C74" s="111">
        <v>42131701</v>
      </c>
      <c r="D74" s="111">
        <v>125159</v>
      </c>
      <c r="E74" s="114" t="s">
        <v>702</v>
      </c>
      <c r="F74" s="113" t="s">
        <v>454</v>
      </c>
      <c r="G74" s="114" t="s">
        <v>703</v>
      </c>
      <c r="H74" s="111">
        <v>12.09</v>
      </c>
      <c r="I74" s="111" t="s">
        <v>618</v>
      </c>
      <c r="J74" s="110" t="s">
        <v>685</v>
      </c>
      <c r="K74" s="111">
        <v>40</v>
      </c>
      <c r="L74" s="117">
        <v>3.73</v>
      </c>
      <c r="M74" s="117">
        <f t="shared" si="1"/>
        <v>149.19999999999999</v>
      </c>
      <c r="O74" s="116"/>
    </row>
    <row r="75" spans="1:15" s="115" customFormat="1">
      <c r="A75" s="109" t="s">
        <v>421</v>
      </c>
      <c r="B75" s="110" t="s">
        <v>701</v>
      </c>
      <c r="C75" s="111">
        <v>42131701</v>
      </c>
      <c r="D75" s="111">
        <v>125159</v>
      </c>
      <c r="E75" s="114" t="s">
        <v>704</v>
      </c>
      <c r="F75" s="113" t="s">
        <v>454</v>
      </c>
      <c r="G75" s="114" t="s">
        <v>705</v>
      </c>
      <c r="H75" s="111">
        <v>12.09</v>
      </c>
      <c r="I75" s="111" t="s">
        <v>618</v>
      </c>
      <c r="J75" s="110" t="s">
        <v>685</v>
      </c>
      <c r="K75" s="111">
        <v>20</v>
      </c>
      <c r="L75" s="117">
        <v>3.67</v>
      </c>
      <c r="M75" s="117">
        <f t="shared" si="1"/>
        <v>73.400000000000006</v>
      </c>
      <c r="O75" s="116"/>
    </row>
    <row r="76" spans="1:15" s="115" customFormat="1">
      <c r="A76" s="109" t="s">
        <v>423</v>
      </c>
      <c r="B76" s="110" t="s">
        <v>706</v>
      </c>
      <c r="C76" s="111">
        <v>42131701</v>
      </c>
      <c r="D76" s="111">
        <v>166701</v>
      </c>
      <c r="E76" s="114" t="s">
        <v>707</v>
      </c>
      <c r="F76" s="113" t="s">
        <v>454</v>
      </c>
      <c r="G76" s="114" t="s">
        <v>708</v>
      </c>
      <c r="H76" s="117">
        <v>12.1</v>
      </c>
      <c r="I76" s="111" t="s">
        <v>618</v>
      </c>
      <c r="J76" s="110" t="s">
        <v>709</v>
      </c>
      <c r="K76" s="111">
        <v>16</v>
      </c>
      <c r="L76" s="117">
        <v>9.68</v>
      </c>
      <c r="M76" s="117">
        <f t="shared" si="1"/>
        <v>154.88</v>
      </c>
      <c r="O76" s="116"/>
    </row>
    <row r="77" spans="1:15" s="115" customFormat="1">
      <c r="A77" s="109" t="s">
        <v>710</v>
      </c>
      <c r="B77" s="110" t="s">
        <v>706</v>
      </c>
      <c r="C77" s="111">
        <v>42131701</v>
      </c>
      <c r="D77" s="111">
        <v>125159</v>
      </c>
      <c r="E77" s="114" t="s">
        <v>711</v>
      </c>
      <c r="F77" s="113" t="s">
        <v>454</v>
      </c>
      <c r="G77" s="114" t="s">
        <v>712</v>
      </c>
      <c r="H77" s="117">
        <v>12.1</v>
      </c>
      <c r="I77" s="111" t="s">
        <v>618</v>
      </c>
      <c r="J77" s="110" t="s">
        <v>709</v>
      </c>
      <c r="K77" s="111">
        <v>40</v>
      </c>
      <c r="L77" s="117">
        <v>6.28</v>
      </c>
      <c r="M77" s="117">
        <f t="shared" si="1"/>
        <v>251.20000000000002</v>
      </c>
      <c r="O77" s="116"/>
    </row>
    <row r="78" spans="1:15" s="115" customFormat="1">
      <c r="A78" s="109" t="s">
        <v>713</v>
      </c>
      <c r="B78" s="110" t="s">
        <v>714</v>
      </c>
      <c r="C78" s="111">
        <v>42131701</v>
      </c>
      <c r="D78" s="111">
        <v>137983</v>
      </c>
      <c r="E78" s="114" t="s">
        <v>715</v>
      </c>
      <c r="F78" s="113" t="s">
        <v>716</v>
      </c>
      <c r="G78" s="114" t="s">
        <v>454</v>
      </c>
      <c r="H78" s="117">
        <v>12.1</v>
      </c>
      <c r="I78" s="111" t="s">
        <v>618</v>
      </c>
      <c r="J78" s="110" t="s">
        <v>709</v>
      </c>
      <c r="K78" s="111">
        <v>10</v>
      </c>
      <c r="L78" s="117">
        <v>3.35</v>
      </c>
      <c r="M78" s="117">
        <f t="shared" si="1"/>
        <v>33.5</v>
      </c>
      <c r="O78" s="116"/>
    </row>
    <row r="79" spans="1:15" s="115" customFormat="1">
      <c r="A79" s="109" t="s">
        <v>717</v>
      </c>
      <c r="B79" s="110" t="s">
        <v>718</v>
      </c>
      <c r="C79" s="111">
        <v>42131701</v>
      </c>
      <c r="D79" s="111">
        <v>137983</v>
      </c>
      <c r="E79" s="114" t="s">
        <v>719</v>
      </c>
      <c r="F79" s="113" t="s">
        <v>720</v>
      </c>
      <c r="G79" s="114" t="s">
        <v>454</v>
      </c>
      <c r="H79" s="117">
        <v>12.1</v>
      </c>
      <c r="I79" s="111" t="s">
        <v>618</v>
      </c>
      <c r="J79" s="110" t="s">
        <v>709</v>
      </c>
      <c r="K79" s="111">
        <v>10</v>
      </c>
      <c r="L79" s="117">
        <v>5.01</v>
      </c>
      <c r="M79" s="117">
        <f t="shared" si="1"/>
        <v>50.099999999999994</v>
      </c>
      <c r="O79" s="116"/>
    </row>
    <row r="80" spans="1:15" s="115" customFormat="1">
      <c r="A80" s="109" t="s">
        <v>721</v>
      </c>
      <c r="B80" s="110" t="s">
        <v>722</v>
      </c>
      <c r="C80" s="111">
        <v>42131701</v>
      </c>
      <c r="D80" s="111">
        <v>137983</v>
      </c>
      <c r="E80" s="112"/>
      <c r="F80" s="113" t="s">
        <v>529</v>
      </c>
      <c r="G80" s="114"/>
      <c r="H80" s="117">
        <v>12.1</v>
      </c>
      <c r="I80" s="111" t="s">
        <v>618</v>
      </c>
      <c r="J80" s="110" t="s">
        <v>709</v>
      </c>
      <c r="K80" s="111">
        <v>10</v>
      </c>
      <c r="L80" s="117">
        <v>14.54</v>
      </c>
      <c r="M80" s="117">
        <f t="shared" si="1"/>
        <v>145.39999999999998</v>
      </c>
      <c r="O80" s="116"/>
    </row>
    <row r="81" spans="1:15" s="115" customFormat="1">
      <c r="A81" s="109" t="s">
        <v>723</v>
      </c>
      <c r="B81" s="110" t="s">
        <v>724</v>
      </c>
      <c r="C81" s="111">
        <v>42131701</v>
      </c>
      <c r="D81" s="111">
        <v>137983</v>
      </c>
      <c r="E81" s="112"/>
      <c r="F81" s="113" t="s">
        <v>529</v>
      </c>
      <c r="G81" s="114"/>
      <c r="H81" s="117">
        <v>12.1</v>
      </c>
      <c r="I81" s="111" t="s">
        <v>618</v>
      </c>
      <c r="J81" s="110" t="s">
        <v>709</v>
      </c>
      <c r="K81" s="111">
        <v>10</v>
      </c>
      <c r="L81" s="117">
        <v>8.17</v>
      </c>
      <c r="M81" s="117">
        <f t="shared" si="1"/>
        <v>81.7</v>
      </c>
      <c r="O81" s="116"/>
    </row>
    <row r="82" spans="1:15" s="115" customFormat="1">
      <c r="A82" s="109" t="s">
        <v>424</v>
      </c>
      <c r="B82" s="110" t="s">
        <v>725</v>
      </c>
      <c r="C82" s="111">
        <v>42131701</v>
      </c>
      <c r="D82" s="111">
        <v>166701</v>
      </c>
      <c r="E82" s="114" t="s">
        <v>726</v>
      </c>
      <c r="F82" s="113" t="s">
        <v>454</v>
      </c>
      <c r="G82" s="114" t="s">
        <v>727</v>
      </c>
      <c r="H82" s="117">
        <v>12.11</v>
      </c>
      <c r="I82" s="111" t="s">
        <v>618</v>
      </c>
      <c r="J82" s="110" t="s">
        <v>728</v>
      </c>
      <c r="K82" s="111">
        <v>9</v>
      </c>
      <c r="L82" s="117">
        <v>15.77</v>
      </c>
      <c r="M82" s="117">
        <f t="shared" si="1"/>
        <v>141.93</v>
      </c>
      <c r="O82" s="116"/>
    </row>
    <row r="83" spans="1:15" s="115" customFormat="1">
      <c r="A83" s="109" t="s">
        <v>430</v>
      </c>
      <c r="B83" s="110" t="s">
        <v>729</v>
      </c>
      <c r="C83" s="111">
        <v>42131701</v>
      </c>
      <c r="D83" s="111">
        <v>166701</v>
      </c>
      <c r="E83" s="114" t="s">
        <v>730</v>
      </c>
      <c r="F83" s="113" t="s">
        <v>454</v>
      </c>
      <c r="G83" s="114" t="s">
        <v>731</v>
      </c>
      <c r="H83" s="117">
        <v>12.11</v>
      </c>
      <c r="I83" s="111" t="s">
        <v>618</v>
      </c>
      <c r="J83" s="110" t="s">
        <v>728</v>
      </c>
      <c r="K83" s="111">
        <v>6</v>
      </c>
      <c r="L83" s="117">
        <v>26.08</v>
      </c>
      <c r="M83" s="117">
        <f t="shared" si="1"/>
        <v>156.47999999999999</v>
      </c>
      <c r="O83" s="116"/>
    </row>
    <row r="84" spans="1:15" s="115" customFormat="1">
      <c r="A84" s="109" t="s">
        <v>732</v>
      </c>
      <c r="B84" s="110" t="s">
        <v>733</v>
      </c>
      <c r="C84" s="111">
        <v>42131701</v>
      </c>
      <c r="D84" s="111">
        <v>166701</v>
      </c>
      <c r="E84" s="114" t="s">
        <v>734</v>
      </c>
      <c r="F84" s="113" t="s">
        <v>454</v>
      </c>
      <c r="G84" s="114" t="s">
        <v>735</v>
      </c>
      <c r="H84" s="117">
        <v>12.11</v>
      </c>
      <c r="I84" s="111" t="s">
        <v>618</v>
      </c>
      <c r="J84" s="110" t="s">
        <v>728</v>
      </c>
      <c r="K84" s="111">
        <v>10</v>
      </c>
      <c r="L84" s="117">
        <v>16.54</v>
      </c>
      <c r="M84" s="117">
        <f t="shared" si="1"/>
        <v>165.39999999999998</v>
      </c>
      <c r="O84" s="116"/>
    </row>
    <row r="85" spans="1:15" s="115" customFormat="1">
      <c r="A85" s="109" t="s">
        <v>428</v>
      </c>
      <c r="B85" s="110" t="s">
        <v>736</v>
      </c>
      <c r="C85" s="111">
        <v>42131701</v>
      </c>
      <c r="D85" s="111">
        <v>166701</v>
      </c>
      <c r="E85" s="114" t="s">
        <v>737</v>
      </c>
      <c r="F85" s="113" t="s">
        <v>454</v>
      </c>
      <c r="G85" s="114" t="s">
        <v>738</v>
      </c>
      <c r="H85" s="117">
        <v>12.11</v>
      </c>
      <c r="I85" s="111" t="s">
        <v>618</v>
      </c>
      <c r="J85" s="110" t="s">
        <v>728</v>
      </c>
      <c r="K85" s="111">
        <v>6</v>
      </c>
      <c r="L85" s="117">
        <v>23.48</v>
      </c>
      <c r="M85" s="117">
        <f t="shared" si="1"/>
        <v>140.88</v>
      </c>
      <c r="O85" s="116"/>
    </row>
    <row r="86" spans="1:15" s="115" customFormat="1">
      <c r="A86" s="109" t="s">
        <v>425</v>
      </c>
      <c r="B86" s="110" t="s">
        <v>739</v>
      </c>
      <c r="C86" s="111">
        <v>42131701</v>
      </c>
      <c r="D86" s="111">
        <v>166701</v>
      </c>
      <c r="E86" s="114" t="s">
        <v>740</v>
      </c>
      <c r="F86" s="113" t="s">
        <v>454</v>
      </c>
      <c r="G86" s="114" t="s">
        <v>741</v>
      </c>
      <c r="H86" s="117">
        <v>12.11</v>
      </c>
      <c r="I86" s="111" t="s">
        <v>618</v>
      </c>
      <c r="J86" s="110" t="s">
        <v>728</v>
      </c>
      <c r="K86" s="111">
        <v>12</v>
      </c>
      <c r="L86" s="117">
        <v>12.31</v>
      </c>
      <c r="M86" s="117">
        <f t="shared" si="1"/>
        <v>147.72</v>
      </c>
      <c r="O86" s="116"/>
    </row>
    <row r="87" spans="1:15" s="115" customFormat="1">
      <c r="A87" s="109" t="s">
        <v>429</v>
      </c>
      <c r="B87" s="110" t="s">
        <v>742</v>
      </c>
      <c r="C87" s="111">
        <v>42131701</v>
      </c>
      <c r="D87" s="111">
        <v>166701</v>
      </c>
      <c r="E87" s="114" t="s">
        <v>743</v>
      </c>
      <c r="F87" s="113" t="s">
        <v>454</v>
      </c>
      <c r="G87" s="114" t="s">
        <v>744</v>
      </c>
      <c r="H87" s="117">
        <v>12.11</v>
      </c>
      <c r="I87" s="111" t="s">
        <v>618</v>
      </c>
      <c r="J87" s="110" t="s">
        <v>728</v>
      </c>
      <c r="K87" s="111">
        <v>8</v>
      </c>
      <c r="L87" s="117">
        <v>21.92</v>
      </c>
      <c r="M87" s="117">
        <f t="shared" si="1"/>
        <v>175.36</v>
      </c>
      <c r="O87" s="116"/>
    </row>
    <row r="88" spans="1:15" s="115" customFormat="1">
      <c r="A88" s="109" t="s">
        <v>426</v>
      </c>
      <c r="B88" s="110" t="s">
        <v>739</v>
      </c>
      <c r="C88" s="111">
        <v>42131701</v>
      </c>
      <c r="D88" s="111">
        <v>166701</v>
      </c>
      <c r="E88" s="114" t="s">
        <v>745</v>
      </c>
      <c r="F88" s="113" t="s">
        <v>454</v>
      </c>
      <c r="G88" s="114" t="s">
        <v>746</v>
      </c>
      <c r="H88" s="117">
        <v>12.11</v>
      </c>
      <c r="I88" s="111" t="s">
        <v>618</v>
      </c>
      <c r="J88" s="110" t="s">
        <v>728</v>
      </c>
      <c r="K88" s="111">
        <v>9</v>
      </c>
      <c r="L88" s="117">
        <v>17.28</v>
      </c>
      <c r="M88" s="117">
        <f t="shared" si="1"/>
        <v>155.52000000000001</v>
      </c>
      <c r="O88" s="116"/>
    </row>
    <row r="89" spans="1:15" s="115" customFormat="1">
      <c r="A89" s="109" t="s">
        <v>747</v>
      </c>
      <c r="B89" s="110" t="s">
        <v>748</v>
      </c>
      <c r="C89" s="111">
        <v>42131701</v>
      </c>
      <c r="D89" s="111">
        <v>125159</v>
      </c>
      <c r="E89" s="114" t="s">
        <v>749</v>
      </c>
      <c r="F89" s="113" t="s">
        <v>454</v>
      </c>
      <c r="G89" s="114" t="s">
        <v>750</v>
      </c>
      <c r="H89" s="117">
        <v>12.11</v>
      </c>
      <c r="I89" s="111" t="s">
        <v>618</v>
      </c>
      <c r="J89" s="110" t="s">
        <v>728</v>
      </c>
      <c r="K89" s="111">
        <v>12</v>
      </c>
      <c r="L89" s="117">
        <v>20.350000000000001</v>
      </c>
      <c r="M89" s="117">
        <f t="shared" si="1"/>
        <v>244.20000000000002</v>
      </c>
      <c r="O89" s="116"/>
    </row>
    <row r="90" spans="1:15" s="115" customFormat="1">
      <c r="A90" s="109" t="s">
        <v>427</v>
      </c>
      <c r="B90" s="110" t="s">
        <v>751</v>
      </c>
      <c r="C90" s="111">
        <v>42131701</v>
      </c>
      <c r="D90" s="111">
        <v>166701</v>
      </c>
      <c r="E90" s="114" t="s">
        <v>752</v>
      </c>
      <c r="F90" s="113" t="s">
        <v>454</v>
      </c>
      <c r="G90" s="114" t="s">
        <v>753</v>
      </c>
      <c r="H90" s="117">
        <v>12.11</v>
      </c>
      <c r="I90" s="111" t="s">
        <v>618</v>
      </c>
      <c r="J90" s="110" t="s">
        <v>728</v>
      </c>
      <c r="K90" s="111">
        <v>9</v>
      </c>
      <c r="L90" s="117">
        <v>18.32</v>
      </c>
      <c r="M90" s="117">
        <f t="shared" si="1"/>
        <v>164.88</v>
      </c>
      <c r="O90" s="116"/>
    </row>
    <row r="91" spans="1:15" s="115" customFormat="1">
      <c r="A91" s="109" t="s">
        <v>754</v>
      </c>
      <c r="B91" s="110" t="s">
        <v>755</v>
      </c>
      <c r="C91" s="111">
        <v>42131701</v>
      </c>
      <c r="D91" s="111">
        <v>137983</v>
      </c>
      <c r="E91" s="114" t="s">
        <v>756</v>
      </c>
      <c r="F91" s="113" t="s">
        <v>757</v>
      </c>
      <c r="G91" s="114" t="s">
        <v>454</v>
      </c>
      <c r="H91" s="117">
        <v>12.11</v>
      </c>
      <c r="I91" s="111" t="s">
        <v>618</v>
      </c>
      <c r="J91" s="110" t="s">
        <v>728</v>
      </c>
      <c r="K91" s="111">
        <v>5</v>
      </c>
      <c r="L91" s="117">
        <v>27.34</v>
      </c>
      <c r="M91" s="117">
        <f t="shared" si="1"/>
        <v>136.69999999999999</v>
      </c>
      <c r="O91" s="116"/>
    </row>
    <row r="92" spans="1:15" s="115" customFormat="1">
      <c r="A92" s="109" t="s">
        <v>758</v>
      </c>
      <c r="B92" s="110" t="s">
        <v>759</v>
      </c>
      <c r="C92" s="111">
        <v>42131701</v>
      </c>
      <c r="D92" s="111">
        <v>137983</v>
      </c>
      <c r="E92" s="114" t="s">
        <v>760</v>
      </c>
      <c r="F92" s="113" t="s">
        <v>761</v>
      </c>
      <c r="G92" s="114" t="s">
        <v>454</v>
      </c>
      <c r="H92" s="117">
        <v>12.11</v>
      </c>
      <c r="I92" s="111" t="s">
        <v>618</v>
      </c>
      <c r="J92" s="110" t="s">
        <v>728</v>
      </c>
      <c r="K92" s="111">
        <v>5</v>
      </c>
      <c r="L92" s="117">
        <v>38.94</v>
      </c>
      <c r="M92" s="117">
        <f t="shared" si="1"/>
        <v>194.7</v>
      </c>
      <c r="O92" s="116"/>
    </row>
    <row r="93" spans="1:15" s="115" customFormat="1">
      <c r="A93" s="109" t="s">
        <v>433</v>
      </c>
      <c r="B93" s="110" t="s">
        <v>762</v>
      </c>
      <c r="C93" s="111">
        <v>42131701</v>
      </c>
      <c r="D93" s="111">
        <v>125159</v>
      </c>
      <c r="E93" s="114" t="s">
        <v>763</v>
      </c>
      <c r="F93" s="113" t="s">
        <v>454</v>
      </c>
      <c r="G93" s="114" t="s">
        <v>764</v>
      </c>
      <c r="H93" s="117">
        <v>12.11</v>
      </c>
      <c r="I93" s="111" t="s">
        <v>618</v>
      </c>
      <c r="J93" s="110" t="s">
        <v>728</v>
      </c>
      <c r="K93" s="111">
        <v>22</v>
      </c>
      <c r="L93" s="117">
        <v>3.69</v>
      </c>
      <c r="M93" s="117">
        <f t="shared" si="1"/>
        <v>81.179999999999993</v>
      </c>
      <c r="O93" s="116"/>
    </row>
    <row r="94" spans="1:15" s="115" customFormat="1">
      <c r="A94" s="109" t="s">
        <v>432</v>
      </c>
      <c r="B94" s="110" t="s">
        <v>762</v>
      </c>
      <c r="C94" s="111">
        <v>42131701</v>
      </c>
      <c r="D94" s="111">
        <v>125159</v>
      </c>
      <c r="E94" s="114" t="s">
        <v>765</v>
      </c>
      <c r="F94" s="113" t="s">
        <v>454</v>
      </c>
      <c r="G94" s="114" t="s">
        <v>766</v>
      </c>
      <c r="H94" s="117">
        <v>12.11</v>
      </c>
      <c r="I94" s="111" t="s">
        <v>618</v>
      </c>
      <c r="J94" s="110" t="s">
        <v>728</v>
      </c>
      <c r="K94" s="111">
        <v>24</v>
      </c>
      <c r="L94" s="117">
        <v>3.94</v>
      </c>
      <c r="M94" s="117">
        <f t="shared" si="1"/>
        <v>94.56</v>
      </c>
      <c r="O94" s="116"/>
    </row>
    <row r="95" spans="1:15" s="115" customFormat="1">
      <c r="A95" s="109" t="s">
        <v>767</v>
      </c>
      <c r="B95" s="110" t="s">
        <v>768</v>
      </c>
      <c r="C95" s="111">
        <v>42131701</v>
      </c>
      <c r="D95" s="111">
        <v>137983</v>
      </c>
      <c r="E95" s="114" t="s">
        <v>769</v>
      </c>
      <c r="F95" s="113" t="s">
        <v>770</v>
      </c>
      <c r="G95" s="114" t="s">
        <v>454</v>
      </c>
      <c r="H95" s="117">
        <v>12.11</v>
      </c>
      <c r="I95" s="111" t="s">
        <v>618</v>
      </c>
      <c r="J95" s="110" t="s">
        <v>728</v>
      </c>
      <c r="K95" s="111">
        <v>10</v>
      </c>
      <c r="L95" s="117">
        <v>11.08</v>
      </c>
      <c r="M95" s="117">
        <f t="shared" si="1"/>
        <v>110.8</v>
      </c>
      <c r="O95" s="116"/>
    </row>
    <row r="96" spans="1:15" s="115" customFormat="1">
      <c r="A96" s="109" t="s">
        <v>771</v>
      </c>
      <c r="B96" s="110" t="s">
        <v>772</v>
      </c>
      <c r="C96" s="111">
        <v>42131701</v>
      </c>
      <c r="D96" s="111">
        <v>137983</v>
      </c>
      <c r="E96" s="114" t="s">
        <v>773</v>
      </c>
      <c r="F96" s="113" t="s">
        <v>774</v>
      </c>
      <c r="G96" s="114" t="s">
        <v>454</v>
      </c>
      <c r="H96" s="117">
        <v>12.11</v>
      </c>
      <c r="I96" s="111" t="s">
        <v>618</v>
      </c>
      <c r="J96" s="110" t="s">
        <v>728</v>
      </c>
      <c r="K96" s="111">
        <v>10</v>
      </c>
      <c r="L96" s="117">
        <v>15.44</v>
      </c>
      <c r="M96" s="117">
        <f t="shared" si="1"/>
        <v>154.4</v>
      </c>
      <c r="O96" s="116"/>
    </row>
    <row r="97" spans="1:15" s="115" customFormat="1">
      <c r="A97" s="109" t="s">
        <v>775</v>
      </c>
      <c r="B97" s="110" t="s">
        <v>776</v>
      </c>
      <c r="C97" s="111">
        <v>42131701</v>
      </c>
      <c r="D97" s="111">
        <v>137983</v>
      </c>
      <c r="E97" s="114" t="s">
        <v>777</v>
      </c>
      <c r="F97" s="113" t="s">
        <v>778</v>
      </c>
      <c r="G97" s="114" t="s">
        <v>454</v>
      </c>
      <c r="H97" s="117">
        <v>12.11</v>
      </c>
      <c r="I97" s="111" t="s">
        <v>618</v>
      </c>
      <c r="J97" s="110" t="s">
        <v>728</v>
      </c>
      <c r="K97" s="111">
        <v>5</v>
      </c>
      <c r="L97" s="117">
        <v>28.92</v>
      </c>
      <c r="M97" s="117">
        <f t="shared" si="1"/>
        <v>144.60000000000002</v>
      </c>
      <c r="O97" s="116"/>
    </row>
    <row r="98" spans="1:15" s="115" customFormat="1">
      <c r="A98" s="109" t="s">
        <v>419</v>
      </c>
      <c r="B98" s="110" t="s">
        <v>779</v>
      </c>
      <c r="C98" s="111">
        <v>42131701</v>
      </c>
      <c r="D98" s="111">
        <v>166701</v>
      </c>
      <c r="E98" s="114" t="s">
        <v>780</v>
      </c>
      <c r="F98" s="113" t="s">
        <v>454</v>
      </c>
      <c r="G98" s="114" t="s">
        <v>781</v>
      </c>
      <c r="H98" s="117">
        <v>12.13</v>
      </c>
      <c r="I98" s="111" t="s">
        <v>618</v>
      </c>
      <c r="J98" s="110" t="s">
        <v>782</v>
      </c>
      <c r="K98" s="111">
        <v>8</v>
      </c>
      <c r="L98" s="117">
        <v>31.94</v>
      </c>
      <c r="M98" s="117">
        <f t="shared" si="1"/>
        <v>255.52</v>
      </c>
      <c r="O98" s="116"/>
    </row>
    <row r="99" spans="1:15" s="115" customFormat="1">
      <c r="A99" s="109" t="s">
        <v>783</v>
      </c>
      <c r="B99" s="110" t="s">
        <v>784</v>
      </c>
      <c r="C99" s="111">
        <v>42131701</v>
      </c>
      <c r="D99" s="111">
        <v>137983</v>
      </c>
      <c r="E99" s="112"/>
      <c r="F99" s="113" t="s">
        <v>529</v>
      </c>
      <c r="G99" s="114"/>
      <c r="H99" s="117">
        <v>12.13</v>
      </c>
      <c r="I99" s="111" t="s">
        <v>618</v>
      </c>
      <c r="J99" s="110" t="s">
        <v>782</v>
      </c>
      <c r="K99" s="111">
        <v>10</v>
      </c>
      <c r="L99" s="117">
        <v>10.69</v>
      </c>
      <c r="M99" s="117">
        <f t="shared" si="1"/>
        <v>106.89999999999999</v>
      </c>
      <c r="O99" s="116"/>
    </row>
    <row r="100" spans="1:15" s="115" customFormat="1">
      <c r="A100" s="109" t="s">
        <v>785</v>
      </c>
      <c r="B100" s="110" t="s">
        <v>786</v>
      </c>
      <c r="C100" s="111">
        <v>42131703</v>
      </c>
      <c r="D100" s="111">
        <v>125158</v>
      </c>
      <c r="E100" s="114" t="s">
        <v>787</v>
      </c>
      <c r="F100" s="113" t="s">
        <v>454</v>
      </c>
      <c r="G100" s="114" t="s">
        <v>788</v>
      </c>
      <c r="H100" s="117">
        <v>13.05</v>
      </c>
      <c r="I100" s="117" t="s">
        <v>789</v>
      </c>
      <c r="J100" s="110" t="s">
        <v>790</v>
      </c>
      <c r="K100" s="111">
        <v>13</v>
      </c>
      <c r="L100" s="117">
        <v>4.41</v>
      </c>
      <c r="M100" s="117">
        <f t="shared" si="1"/>
        <v>57.33</v>
      </c>
      <c r="O100" s="116"/>
    </row>
    <row r="101" spans="1:15" s="115" customFormat="1">
      <c r="A101" s="109" t="s">
        <v>791</v>
      </c>
      <c r="B101" s="110" t="s">
        <v>792</v>
      </c>
      <c r="C101" s="111">
        <v>42131703</v>
      </c>
      <c r="D101" s="111">
        <v>166700</v>
      </c>
      <c r="E101" s="114" t="s">
        <v>793</v>
      </c>
      <c r="F101" s="113" t="s">
        <v>454</v>
      </c>
      <c r="G101" s="114" t="s">
        <v>794</v>
      </c>
      <c r="H101" s="117">
        <v>13.05</v>
      </c>
      <c r="I101" s="117" t="s">
        <v>789</v>
      </c>
      <c r="J101" s="110" t="s">
        <v>790</v>
      </c>
      <c r="K101" s="111">
        <v>8</v>
      </c>
      <c r="L101" s="117">
        <v>16.68</v>
      </c>
      <c r="M101" s="117">
        <f t="shared" si="1"/>
        <v>133.44</v>
      </c>
      <c r="O101" s="116"/>
    </row>
    <row r="102" spans="1:15" s="115" customFormat="1">
      <c r="A102" s="109" t="s">
        <v>795</v>
      </c>
      <c r="B102" s="110" t="s">
        <v>796</v>
      </c>
      <c r="C102" s="111">
        <v>42131703</v>
      </c>
      <c r="D102" s="111">
        <v>166700</v>
      </c>
      <c r="E102" s="114" t="s">
        <v>797</v>
      </c>
      <c r="F102" s="113" t="s">
        <v>454</v>
      </c>
      <c r="G102" s="114" t="s">
        <v>798</v>
      </c>
      <c r="H102" s="117">
        <v>13.05</v>
      </c>
      <c r="I102" s="117" t="s">
        <v>789</v>
      </c>
      <c r="J102" s="110" t="s">
        <v>790</v>
      </c>
      <c r="K102" s="111">
        <v>12</v>
      </c>
      <c r="L102" s="117">
        <v>12.2</v>
      </c>
      <c r="M102" s="117">
        <f t="shared" si="1"/>
        <v>146.39999999999998</v>
      </c>
      <c r="O102" s="116"/>
    </row>
    <row r="103" spans="1:15" s="115" customFormat="1">
      <c r="A103" s="109" t="s">
        <v>799</v>
      </c>
      <c r="B103" s="110" t="s">
        <v>796</v>
      </c>
      <c r="C103" s="111">
        <v>42131703</v>
      </c>
      <c r="D103" s="111">
        <v>166700</v>
      </c>
      <c r="E103" s="114" t="s">
        <v>800</v>
      </c>
      <c r="F103" s="113" t="s">
        <v>454</v>
      </c>
      <c r="G103" s="114" t="s">
        <v>801</v>
      </c>
      <c r="H103" s="117">
        <v>13.05</v>
      </c>
      <c r="I103" s="117" t="s">
        <v>789</v>
      </c>
      <c r="J103" s="110" t="s">
        <v>790</v>
      </c>
      <c r="K103" s="111">
        <v>16</v>
      </c>
      <c r="L103" s="117">
        <v>8.2100000000000009</v>
      </c>
      <c r="M103" s="117">
        <f t="shared" si="1"/>
        <v>131.36000000000001</v>
      </c>
      <c r="O103" s="116"/>
    </row>
    <row r="104" spans="1:15" s="115" customFormat="1">
      <c r="A104" s="109" t="s">
        <v>802</v>
      </c>
      <c r="B104" s="110" t="s">
        <v>803</v>
      </c>
      <c r="C104" s="111">
        <v>42131703</v>
      </c>
      <c r="D104" s="111">
        <v>166700</v>
      </c>
      <c r="E104" s="114" t="s">
        <v>804</v>
      </c>
      <c r="F104" s="113" t="s">
        <v>454</v>
      </c>
      <c r="G104" s="114" t="s">
        <v>805</v>
      </c>
      <c r="H104" s="117">
        <v>13.05</v>
      </c>
      <c r="I104" s="117" t="s">
        <v>789</v>
      </c>
      <c r="J104" s="110" t="s">
        <v>790</v>
      </c>
      <c r="K104" s="111">
        <v>4</v>
      </c>
      <c r="L104" s="117">
        <v>23.43</v>
      </c>
      <c r="M104" s="117">
        <f t="shared" ref="M104:M127" si="2">K104*L104</f>
        <v>93.72</v>
      </c>
      <c r="O104" s="116"/>
    </row>
    <row r="105" spans="1:15" s="115" customFormat="1">
      <c r="A105" s="109" t="s">
        <v>411</v>
      </c>
      <c r="B105" s="110" t="s">
        <v>803</v>
      </c>
      <c r="C105" s="111">
        <v>42131703</v>
      </c>
      <c r="D105" s="111">
        <v>166700</v>
      </c>
      <c r="E105" s="114" t="s">
        <v>806</v>
      </c>
      <c r="F105" s="113" t="s">
        <v>454</v>
      </c>
      <c r="G105" s="114" t="s">
        <v>807</v>
      </c>
      <c r="H105" s="117">
        <v>13.05</v>
      </c>
      <c r="I105" s="117" t="s">
        <v>789</v>
      </c>
      <c r="J105" s="110" t="s">
        <v>790</v>
      </c>
      <c r="K105" s="111">
        <v>4</v>
      </c>
      <c r="L105" s="117">
        <v>31.7</v>
      </c>
      <c r="M105" s="117">
        <f t="shared" si="2"/>
        <v>126.8</v>
      </c>
      <c r="O105" s="116"/>
    </row>
    <row r="106" spans="1:15" s="115" customFormat="1">
      <c r="A106" s="109" t="s">
        <v>808</v>
      </c>
      <c r="B106" s="110" t="s">
        <v>803</v>
      </c>
      <c r="C106" s="111">
        <v>42131703</v>
      </c>
      <c r="D106" s="111">
        <v>166700</v>
      </c>
      <c r="E106" s="114" t="s">
        <v>809</v>
      </c>
      <c r="F106" s="113" t="s">
        <v>454</v>
      </c>
      <c r="G106" s="114" t="s">
        <v>810</v>
      </c>
      <c r="H106" s="117">
        <v>13.05</v>
      </c>
      <c r="I106" s="117" t="s">
        <v>789</v>
      </c>
      <c r="J106" s="110" t="s">
        <v>790</v>
      </c>
      <c r="K106" s="111">
        <v>6</v>
      </c>
      <c r="L106" s="117">
        <v>22.05</v>
      </c>
      <c r="M106" s="117">
        <f t="shared" si="2"/>
        <v>132.30000000000001</v>
      </c>
      <c r="O106" s="116"/>
    </row>
    <row r="107" spans="1:15" s="115" customFormat="1">
      <c r="A107" s="109" t="s">
        <v>811</v>
      </c>
      <c r="B107" s="110" t="s">
        <v>812</v>
      </c>
      <c r="C107" s="111">
        <v>42131703</v>
      </c>
      <c r="D107" s="111">
        <v>166700</v>
      </c>
      <c r="E107" s="114" t="s">
        <v>813</v>
      </c>
      <c r="F107" s="113" t="s">
        <v>454</v>
      </c>
      <c r="G107" s="114" t="s">
        <v>814</v>
      </c>
      <c r="H107" s="117">
        <v>13.05</v>
      </c>
      <c r="I107" s="117" t="s">
        <v>789</v>
      </c>
      <c r="J107" s="110" t="s">
        <v>790</v>
      </c>
      <c r="K107" s="111">
        <v>6</v>
      </c>
      <c r="L107" s="117">
        <v>22.96</v>
      </c>
      <c r="M107" s="117">
        <f t="shared" si="2"/>
        <v>137.76</v>
      </c>
      <c r="O107" s="116"/>
    </row>
    <row r="108" spans="1:15" s="115" customFormat="1">
      <c r="A108" s="109" t="s">
        <v>815</v>
      </c>
      <c r="B108" s="110" t="s">
        <v>816</v>
      </c>
      <c r="C108" s="111">
        <v>42131703</v>
      </c>
      <c r="D108" s="111">
        <v>166700</v>
      </c>
      <c r="E108" s="114" t="s">
        <v>817</v>
      </c>
      <c r="F108" s="113" t="s">
        <v>454</v>
      </c>
      <c r="G108" s="114" t="s">
        <v>818</v>
      </c>
      <c r="H108" s="117">
        <v>13.06</v>
      </c>
      <c r="I108" s="117" t="s">
        <v>789</v>
      </c>
      <c r="J108" s="110" t="s">
        <v>819</v>
      </c>
      <c r="K108" s="111">
        <v>5</v>
      </c>
      <c r="L108" s="117">
        <v>23.21</v>
      </c>
      <c r="M108" s="117">
        <f t="shared" si="2"/>
        <v>116.05000000000001</v>
      </c>
      <c r="O108" s="116"/>
    </row>
    <row r="109" spans="1:15" s="115" customFormat="1">
      <c r="A109" s="109" t="s">
        <v>820</v>
      </c>
      <c r="B109" s="110" t="s">
        <v>821</v>
      </c>
      <c r="C109" s="111">
        <v>42131703</v>
      </c>
      <c r="D109" s="111">
        <v>166700</v>
      </c>
      <c r="E109" s="114" t="s">
        <v>822</v>
      </c>
      <c r="F109" s="113" t="s">
        <v>454</v>
      </c>
      <c r="G109" s="114" t="s">
        <v>823</v>
      </c>
      <c r="H109" s="117">
        <v>13.09</v>
      </c>
      <c r="I109" s="117" t="s">
        <v>789</v>
      </c>
      <c r="J109" s="110" t="s">
        <v>824</v>
      </c>
      <c r="K109" s="111">
        <v>10</v>
      </c>
      <c r="L109" s="117">
        <v>27.31</v>
      </c>
      <c r="M109" s="117">
        <f t="shared" si="2"/>
        <v>273.09999999999997</v>
      </c>
      <c r="O109" s="116"/>
    </row>
    <row r="110" spans="1:15" s="115" customFormat="1">
      <c r="A110" s="109" t="s">
        <v>825</v>
      </c>
      <c r="B110" s="110" t="s">
        <v>821</v>
      </c>
      <c r="C110" s="111">
        <v>42131703</v>
      </c>
      <c r="D110" s="111">
        <v>166700</v>
      </c>
      <c r="E110" s="114" t="s">
        <v>826</v>
      </c>
      <c r="F110" s="113" t="s">
        <v>454</v>
      </c>
      <c r="G110" s="114" t="s">
        <v>827</v>
      </c>
      <c r="H110" s="117">
        <v>13.09</v>
      </c>
      <c r="I110" s="117" t="s">
        <v>789</v>
      </c>
      <c r="J110" s="110" t="s">
        <v>824</v>
      </c>
      <c r="K110" s="111">
        <v>9</v>
      </c>
      <c r="L110" s="117">
        <v>17.03</v>
      </c>
      <c r="M110" s="117">
        <f t="shared" si="2"/>
        <v>153.27000000000001</v>
      </c>
      <c r="O110" s="116"/>
    </row>
    <row r="111" spans="1:15" s="115" customFormat="1">
      <c r="A111" s="109" t="s">
        <v>828</v>
      </c>
      <c r="B111" s="110" t="s">
        <v>829</v>
      </c>
      <c r="C111" s="111">
        <v>42131703</v>
      </c>
      <c r="D111" s="111">
        <v>166700</v>
      </c>
      <c r="E111" s="114" t="s">
        <v>830</v>
      </c>
      <c r="F111" s="113" t="s">
        <v>454</v>
      </c>
      <c r="G111" s="114" t="s">
        <v>831</v>
      </c>
      <c r="H111" s="117">
        <v>13.09</v>
      </c>
      <c r="I111" s="117" t="s">
        <v>789</v>
      </c>
      <c r="J111" s="110" t="s">
        <v>824</v>
      </c>
      <c r="K111" s="111">
        <v>10</v>
      </c>
      <c r="L111" s="117">
        <v>14.16</v>
      </c>
      <c r="M111" s="117">
        <f t="shared" si="2"/>
        <v>141.6</v>
      </c>
      <c r="O111" s="116"/>
    </row>
    <row r="112" spans="1:15" s="115" customFormat="1">
      <c r="A112" s="109" t="s">
        <v>832</v>
      </c>
      <c r="B112" s="110" t="s">
        <v>829</v>
      </c>
      <c r="C112" s="111">
        <v>42131703</v>
      </c>
      <c r="D112" s="111">
        <v>166700</v>
      </c>
      <c r="E112" s="114" t="s">
        <v>833</v>
      </c>
      <c r="F112" s="113" t="s">
        <v>454</v>
      </c>
      <c r="G112" s="114" t="s">
        <v>834</v>
      </c>
      <c r="H112" s="117">
        <v>13.09</v>
      </c>
      <c r="I112" s="117" t="s">
        <v>789</v>
      </c>
      <c r="J112" s="110" t="s">
        <v>824</v>
      </c>
      <c r="K112" s="111">
        <v>10</v>
      </c>
      <c r="L112" s="117">
        <v>13.96</v>
      </c>
      <c r="M112" s="117">
        <f t="shared" si="2"/>
        <v>139.60000000000002</v>
      </c>
      <c r="O112" s="116"/>
    </row>
    <row r="113" spans="1:15" s="115" customFormat="1">
      <c r="A113" s="109" t="s">
        <v>835</v>
      </c>
      <c r="B113" s="110" t="s">
        <v>836</v>
      </c>
      <c r="C113" s="111">
        <v>42131703</v>
      </c>
      <c r="D113" s="111">
        <v>166700</v>
      </c>
      <c r="E113" s="114" t="s">
        <v>837</v>
      </c>
      <c r="F113" s="113" t="s">
        <v>454</v>
      </c>
      <c r="G113" s="114" t="s">
        <v>838</v>
      </c>
      <c r="H113" s="117">
        <v>13.11</v>
      </c>
      <c r="I113" s="117" t="s">
        <v>789</v>
      </c>
      <c r="J113" s="110" t="s">
        <v>839</v>
      </c>
      <c r="K113" s="111">
        <v>6</v>
      </c>
      <c r="L113" s="117">
        <v>26.66</v>
      </c>
      <c r="M113" s="117">
        <f t="shared" si="2"/>
        <v>159.96</v>
      </c>
      <c r="O113" s="116"/>
    </row>
    <row r="114" spans="1:15" s="115" customFormat="1">
      <c r="A114" s="109" t="s">
        <v>840</v>
      </c>
      <c r="B114" s="110" t="s">
        <v>841</v>
      </c>
      <c r="C114" s="111">
        <v>42131703</v>
      </c>
      <c r="D114" s="111">
        <v>166700</v>
      </c>
      <c r="E114" s="114" t="s">
        <v>842</v>
      </c>
      <c r="F114" s="113" t="s">
        <v>454</v>
      </c>
      <c r="G114" s="114" t="s">
        <v>843</v>
      </c>
      <c r="H114" s="117">
        <v>13.11</v>
      </c>
      <c r="I114" s="117" t="s">
        <v>789</v>
      </c>
      <c r="J114" s="110" t="s">
        <v>839</v>
      </c>
      <c r="K114" s="111">
        <v>4</v>
      </c>
      <c r="L114" s="117">
        <v>36.840000000000003</v>
      </c>
      <c r="M114" s="117">
        <f t="shared" si="2"/>
        <v>147.36000000000001</v>
      </c>
      <c r="O114" s="116"/>
    </row>
    <row r="115" spans="1:15" s="115" customFormat="1">
      <c r="A115" s="109" t="s">
        <v>844</v>
      </c>
      <c r="B115" s="110" t="s">
        <v>845</v>
      </c>
      <c r="C115" s="111">
        <v>42131703</v>
      </c>
      <c r="D115" s="111">
        <v>166700</v>
      </c>
      <c r="E115" s="114" t="s">
        <v>846</v>
      </c>
      <c r="F115" s="113" t="s">
        <v>454</v>
      </c>
      <c r="G115" s="114" t="s">
        <v>847</v>
      </c>
      <c r="H115" s="117">
        <v>13.11</v>
      </c>
      <c r="I115" s="117" t="s">
        <v>789</v>
      </c>
      <c r="J115" s="110" t="s">
        <v>839</v>
      </c>
      <c r="K115" s="111">
        <v>8</v>
      </c>
      <c r="L115" s="117">
        <v>22.54</v>
      </c>
      <c r="M115" s="117">
        <f t="shared" si="2"/>
        <v>180.32</v>
      </c>
      <c r="O115" s="116"/>
    </row>
    <row r="116" spans="1:15" s="115" customFormat="1">
      <c r="A116" s="109" t="s">
        <v>436</v>
      </c>
      <c r="B116" s="110" t="s">
        <v>845</v>
      </c>
      <c r="C116" s="111">
        <v>42131703</v>
      </c>
      <c r="D116" s="111">
        <v>166700</v>
      </c>
      <c r="E116" s="114" t="s">
        <v>848</v>
      </c>
      <c r="F116" s="113" t="s">
        <v>454</v>
      </c>
      <c r="G116" s="114" t="s">
        <v>849</v>
      </c>
      <c r="H116" s="117">
        <v>13.11</v>
      </c>
      <c r="I116" s="117" t="s">
        <v>789</v>
      </c>
      <c r="J116" s="110" t="s">
        <v>839</v>
      </c>
      <c r="K116" s="111">
        <v>8</v>
      </c>
      <c r="L116" s="117">
        <v>21.54</v>
      </c>
      <c r="M116" s="117">
        <f t="shared" si="2"/>
        <v>172.32</v>
      </c>
      <c r="O116" s="116"/>
    </row>
    <row r="117" spans="1:15" s="115" customFormat="1">
      <c r="A117" s="109" t="s">
        <v>850</v>
      </c>
      <c r="B117" s="110" t="s">
        <v>851</v>
      </c>
      <c r="C117" s="111">
        <v>42131703</v>
      </c>
      <c r="D117" s="111">
        <v>166700</v>
      </c>
      <c r="E117" s="114" t="s">
        <v>852</v>
      </c>
      <c r="F117" s="113" t="s">
        <v>454</v>
      </c>
      <c r="G117" s="114" t="s">
        <v>853</v>
      </c>
      <c r="H117" s="117">
        <v>13.13</v>
      </c>
      <c r="I117" s="117" t="s">
        <v>789</v>
      </c>
      <c r="J117" s="110" t="s">
        <v>854</v>
      </c>
      <c r="K117" s="111">
        <v>6</v>
      </c>
      <c r="L117" s="117">
        <v>23.08</v>
      </c>
      <c r="M117" s="117">
        <f t="shared" si="2"/>
        <v>138.47999999999999</v>
      </c>
      <c r="O117" s="116"/>
    </row>
    <row r="118" spans="1:15" s="115" customFormat="1">
      <c r="A118" s="109" t="s">
        <v>855</v>
      </c>
      <c r="B118" s="110" t="s">
        <v>856</v>
      </c>
      <c r="C118" s="111">
        <v>42131703</v>
      </c>
      <c r="D118" s="111">
        <v>125161</v>
      </c>
      <c r="E118" s="114" t="s">
        <v>857</v>
      </c>
      <c r="F118" s="113" t="s">
        <v>454</v>
      </c>
      <c r="G118" s="114" t="s">
        <v>858</v>
      </c>
      <c r="H118" s="117">
        <v>14.02</v>
      </c>
      <c r="I118" s="117" t="s">
        <v>859</v>
      </c>
      <c r="J118" s="110" t="s">
        <v>860</v>
      </c>
      <c r="K118" s="111">
        <v>160</v>
      </c>
      <c r="L118" s="117">
        <v>1.36</v>
      </c>
      <c r="M118" s="117">
        <f t="shared" si="2"/>
        <v>217.60000000000002</v>
      </c>
      <c r="O118" s="116"/>
    </row>
    <row r="119" spans="1:15" s="115" customFormat="1">
      <c r="A119" s="109" t="s">
        <v>861</v>
      </c>
      <c r="B119" s="110" t="s">
        <v>862</v>
      </c>
      <c r="C119" s="111">
        <v>42131703</v>
      </c>
      <c r="D119" s="111">
        <v>137983</v>
      </c>
      <c r="E119" s="114" t="s">
        <v>863</v>
      </c>
      <c r="F119" s="113" t="s">
        <v>864</v>
      </c>
      <c r="G119" s="114" t="s">
        <v>454</v>
      </c>
      <c r="H119" s="117">
        <v>14.02</v>
      </c>
      <c r="I119" s="117" t="s">
        <v>859</v>
      </c>
      <c r="J119" s="110" t="s">
        <v>860</v>
      </c>
      <c r="K119" s="111">
        <v>10</v>
      </c>
      <c r="L119" s="117">
        <v>5.29</v>
      </c>
      <c r="M119" s="117">
        <f>K119*L119</f>
        <v>52.9</v>
      </c>
      <c r="O119" s="116"/>
    </row>
    <row r="120" spans="1:15" s="115" customFormat="1">
      <c r="A120" s="109" t="s">
        <v>865</v>
      </c>
      <c r="B120" s="110" t="s">
        <v>866</v>
      </c>
      <c r="C120" s="111">
        <v>42131703</v>
      </c>
      <c r="D120" s="111">
        <v>137983</v>
      </c>
      <c r="E120" s="112"/>
      <c r="F120" s="113" t="s">
        <v>529</v>
      </c>
      <c r="G120" s="114"/>
      <c r="H120" s="117">
        <v>14.02</v>
      </c>
      <c r="I120" s="117" t="s">
        <v>859</v>
      </c>
      <c r="J120" s="110" t="s">
        <v>860</v>
      </c>
      <c r="K120" s="111">
        <v>10</v>
      </c>
      <c r="L120" s="117">
        <v>14.38</v>
      </c>
      <c r="M120" s="117">
        <f>K120*L120</f>
        <v>143.80000000000001</v>
      </c>
      <c r="O120" s="116"/>
    </row>
    <row r="121" spans="1:15" s="115" customFormat="1">
      <c r="A121" s="109" t="s">
        <v>867</v>
      </c>
      <c r="B121" s="110" t="s">
        <v>868</v>
      </c>
      <c r="C121" s="111">
        <v>42131703</v>
      </c>
      <c r="D121" s="111">
        <v>137983</v>
      </c>
      <c r="E121" s="119" t="s">
        <v>454</v>
      </c>
      <c r="F121" s="113" t="s">
        <v>869</v>
      </c>
      <c r="G121" s="114" t="s">
        <v>454</v>
      </c>
      <c r="H121" s="117">
        <v>14.02</v>
      </c>
      <c r="I121" s="117" t="s">
        <v>859</v>
      </c>
      <c r="J121" s="110" t="s">
        <v>860</v>
      </c>
      <c r="K121" s="111">
        <v>10</v>
      </c>
      <c r="L121" s="117">
        <v>2.95</v>
      </c>
      <c r="M121" s="117">
        <f t="shared" si="2"/>
        <v>29.5</v>
      </c>
      <c r="O121" s="116"/>
    </row>
    <row r="122" spans="1:15" s="115" customFormat="1">
      <c r="A122" s="109" t="s">
        <v>870</v>
      </c>
      <c r="B122" s="110" t="s">
        <v>871</v>
      </c>
      <c r="C122" s="111">
        <v>42131704</v>
      </c>
      <c r="D122" s="111">
        <v>166703</v>
      </c>
      <c r="E122" s="114" t="s">
        <v>872</v>
      </c>
      <c r="F122" s="113" t="s">
        <v>454</v>
      </c>
      <c r="G122" s="114" t="s">
        <v>873</v>
      </c>
      <c r="H122" s="117">
        <v>14.02</v>
      </c>
      <c r="I122" s="117" t="s">
        <v>859</v>
      </c>
      <c r="J122" s="110" t="s">
        <v>860</v>
      </c>
      <c r="K122" s="111">
        <v>80</v>
      </c>
      <c r="L122" s="117">
        <v>1.74</v>
      </c>
      <c r="M122" s="117">
        <f t="shared" si="2"/>
        <v>139.19999999999999</v>
      </c>
      <c r="O122" s="116"/>
    </row>
    <row r="123" spans="1:15" s="115" customFormat="1">
      <c r="A123" s="109" t="s">
        <v>874</v>
      </c>
      <c r="B123" s="110" t="s">
        <v>875</v>
      </c>
      <c r="C123" s="111">
        <v>42131704</v>
      </c>
      <c r="D123" s="111">
        <v>166703</v>
      </c>
      <c r="E123" s="114" t="s">
        <v>876</v>
      </c>
      <c r="F123" s="113" t="s">
        <v>454</v>
      </c>
      <c r="G123" s="114" t="s">
        <v>877</v>
      </c>
      <c r="H123" s="117">
        <v>14.02</v>
      </c>
      <c r="I123" s="117" t="s">
        <v>859</v>
      </c>
      <c r="J123" s="110" t="s">
        <v>860</v>
      </c>
      <c r="K123" s="111">
        <v>40</v>
      </c>
      <c r="L123" s="117">
        <v>2.91</v>
      </c>
      <c r="M123" s="117">
        <f t="shared" si="2"/>
        <v>116.4</v>
      </c>
      <c r="O123" s="116"/>
    </row>
    <row r="124" spans="1:15" s="115" customFormat="1">
      <c r="A124" s="109" t="s">
        <v>878</v>
      </c>
      <c r="B124" s="110" t="s">
        <v>879</v>
      </c>
      <c r="C124" s="111">
        <v>42131701</v>
      </c>
      <c r="D124" s="111">
        <v>125159</v>
      </c>
      <c r="E124" s="119" t="s">
        <v>880</v>
      </c>
      <c r="F124" s="113" t="s">
        <v>881</v>
      </c>
      <c r="G124" s="119" t="s">
        <v>882</v>
      </c>
      <c r="H124" s="117">
        <v>16.010000000000002</v>
      </c>
      <c r="I124" s="117" t="s">
        <v>883</v>
      </c>
      <c r="J124" s="110" t="s">
        <v>883</v>
      </c>
      <c r="K124" s="111">
        <v>30</v>
      </c>
      <c r="L124" s="117">
        <v>3.25</v>
      </c>
      <c r="M124" s="117">
        <f t="shared" si="2"/>
        <v>97.5</v>
      </c>
      <c r="O124" s="116"/>
    </row>
    <row r="125" spans="1:15" s="115" customFormat="1">
      <c r="A125" s="109" t="s">
        <v>884</v>
      </c>
      <c r="B125" s="110" t="s">
        <v>885</v>
      </c>
      <c r="C125" s="111">
        <v>42131701</v>
      </c>
      <c r="D125" s="111">
        <v>125159</v>
      </c>
      <c r="E125" s="119" t="s">
        <v>886</v>
      </c>
      <c r="F125" s="113" t="s">
        <v>887</v>
      </c>
      <c r="G125" s="119" t="s">
        <v>888</v>
      </c>
      <c r="H125" s="117">
        <v>16.010000000000002</v>
      </c>
      <c r="I125" s="117" t="s">
        <v>883</v>
      </c>
      <c r="J125" s="110" t="s">
        <v>883</v>
      </c>
      <c r="K125" s="111">
        <v>30</v>
      </c>
      <c r="L125" s="117">
        <v>3.75</v>
      </c>
      <c r="M125" s="117">
        <f t="shared" si="2"/>
        <v>112.5</v>
      </c>
      <c r="O125" s="116"/>
    </row>
    <row r="126" spans="1:15" s="115" customFormat="1">
      <c r="A126" s="109" t="s">
        <v>434</v>
      </c>
      <c r="B126" s="110" t="s">
        <v>889</v>
      </c>
      <c r="C126" s="111">
        <v>42131701</v>
      </c>
      <c r="D126" s="111">
        <v>125159</v>
      </c>
      <c r="E126" s="119" t="s">
        <v>890</v>
      </c>
      <c r="F126" s="113" t="s">
        <v>891</v>
      </c>
      <c r="G126" s="119" t="s">
        <v>892</v>
      </c>
      <c r="H126" s="117">
        <v>16.010000000000002</v>
      </c>
      <c r="I126" s="117" t="s">
        <v>883</v>
      </c>
      <c r="J126" s="110" t="s">
        <v>883</v>
      </c>
      <c r="K126" s="111">
        <v>40</v>
      </c>
      <c r="L126" s="117">
        <v>4.25</v>
      </c>
      <c r="M126" s="117">
        <f t="shared" si="2"/>
        <v>170</v>
      </c>
      <c r="O126" s="116"/>
    </row>
    <row r="127" spans="1:15" s="115" customFormat="1">
      <c r="A127" s="109" t="s">
        <v>435</v>
      </c>
      <c r="B127" s="110" t="s">
        <v>893</v>
      </c>
      <c r="C127" s="111">
        <v>42131701</v>
      </c>
      <c r="D127" s="111">
        <v>125159</v>
      </c>
      <c r="E127" s="120" t="s">
        <v>894</v>
      </c>
      <c r="F127" s="113" t="s">
        <v>895</v>
      </c>
      <c r="G127" s="121" t="s">
        <v>896</v>
      </c>
      <c r="H127" s="117">
        <v>16.010000000000002</v>
      </c>
      <c r="I127" s="117" t="s">
        <v>883</v>
      </c>
      <c r="J127" s="110" t="s">
        <v>883</v>
      </c>
      <c r="K127" s="111">
        <v>40</v>
      </c>
      <c r="L127" s="117">
        <v>4.75</v>
      </c>
      <c r="M127" s="117">
        <f t="shared" si="2"/>
        <v>190</v>
      </c>
      <c r="O127" s="116"/>
    </row>
    <row r="128" spans="1:15" s="129" customFormat="1">
      <c r="A128" s="122" t="s">
        <v>897</v>
      </c>
      <c r="B128" s="123" t="s">
        <v>898</v>
      </c>
      <c r="C128" s="124">
        <v>42131703</v>
      </c>
      <c r="D128" s="124">
        <v>125159</v>
      </c>
      <c r="E128" s="125" t="s">
        <v>899</v>
      </c>
      <c r="F128" s="126" t="s">
        <v>454</v>
      </c>
      <c r="G128" s="127" t="s">
        <v>900</v>
      </c>
      <c r="H128" s="128">
        <v>14.01</v>
      </c>
      <c r="I128" s="128" t="s">
        <v>859</v>
      </c>
      <c r="J128" s="123" t="s">
        <v>901</v>
      </c>
      <c r="K128" s="124"/>
      <c r="L128" s="124"/>
      <c r="M128" s="124"/>
      <c r="O128" s="116"/>
    </row>
    <row r="129" spans="1:15" s="115" customFormat="1">
      <c r="A129" s="130"/>
      <c r="B129" s="131"/>
      <c r="C129" s="112"/>
      <c r="D129" s="112"/>
      <c r="E129" s="119"/>
      <c r="F129" s="119"/>
      <c r="G129" s="119"/>
      <c r="H129" s="132"/>
      <c r="I129" s="132"/>
      <c r="J129" s="131"/>
      <c r="K129" s="112"/>
      <c r="L129" s="132"/>
      <c r="M129" s="132"/>
      <c r="O129" s="116"/>
    </row>
  </sheetData>
  <mergeCells count="1">
    <mergeCell ref="E1:G1"/>
  </mergeCells>
  <conditionalFormatting sqref="L129 L3:L127">
    <cfRule type="cellIs" dxfId="0" priority="1" stopIfTrue="1" operator="notEqual">
      <formula>#REF!</formula>
    </cfRule>
  </conditionalFormatting>
  <dataValidations count="1">
    <dataValidation type="whole" allowBlank="1" showErrorMessage="1" error="Must be a whole number, can not contain letters or decimal points" prompt="Numeric value only, can not contain any letters.  Whole numbers only" sqref="D65662 IZ65662 SV65662 ACR65662 AMN65662 AWJ65662 BGF65662 BQB65662 BZX65662 CJT65662 CTP65662 DDL65662 DNH65662 DXD65662 EGZ65662 EQV65662 FAR65662 FKN65662 FUJ65662 GEF65662 GOB65662 GXX65662 HHT65662 HRP65662 IBL65662 ILH65662 IVD65662 JEZ65662 JOV65662 JYR65662 KIN65662 KSJ65662 LCF65662 LMB65662 LVX65662 MFT65662 MPP65662 MZL65662 NJH65662 NTD65662 OCZ65662 OMV65662 OWR65662 PGN65662 PQJ65662 QAF65662 QKB65662 QTX65662 RDT65662 RNP65662 RXL65662 SHH65662 SRD65662 TAZ65662 TKV65662 TUR65662 UEN65662 UOJ65662 UYF65662 VIB65662 VRX65662 WBT65662 WLP65662 WVL65662 D131198 IZ131198 SV131198 ACR131198 AMN131198 AWJ131198 BGF131198 BQB131198 BZX131198 CJT131198 CTP131198 DDL131198 DNH131198 DXD131198 EGZ131198 EQV131198 FAR131198 FKN131198 FUJ131198 GEF131198 GOB131198 GXX131198 HHT131198 HRP131198 IBL131198 ILH131198 IVD131198 JEZ131198 JOV131198 JYR131198 KIN131198 KSJ131198 LCF131198 LMB131198 LVX131198 MFT131198 MPP131198 MZL131198 NJH131198 NTD131198 OCZ131198 OMV131198 OWR131198 PGN131198 PQJ131198 QAF131198 QKB131198 QTX131198 RDT131198 RNP131198 RXL131198 SHH131198 SRD131198 TAZ131198 TKV131198 TUR131198 UEN131198 UOJ131198 UYF131198 VIB131198 VRX131198 WBT131198 WLP131198 WVL131198 D196734 IZ196734 SV196734 ACR196734 AMN196734 AWJ196734 BGF196734 BQB196734 BZX196734 CJT196734 CTP196734 DDL196734 DNH196734 DXD196734 EGZ196734 EQV196734 FAR196734 FKN196734 FUJ196734 GEF196734 GOB196734 GXX196734 HHT196734 HRP196734 IBL196734 ILH196734 IVD196734 JEZ196734 JOV196734 JYR196734 KIN196734 KSJ196734 LCF196734 LMB196734 LVX196734 MFT196734 MPP196734 MZL196734 NJH196734 NTD196734 OCZ196734 OMV196734 OWR196734 PGN196734 PQJ196734 QAF196734 QKB196734 QTX196734 RDT196734 RNP196734 RXL196734 SHH196734 SRD196734 TAZ196734 TKV196734 TUR196734 UEN196734 UOJ196734 UYF196734 VIB196734 VRX196734 WBT196734 WLP196734 WVL196734 D262270 IZ262270 SV262270 ACR262270 AMN262270 AWJ262270 BGF262270 BQB262270 BZX262270 CJT262270 CTP262270 DDL262270 DNH262270 DXD262270 EGZ262270 EQV262270 FAR262270 FKN262270 FUJ262270 GEF262270 GOB262270 GXX262270 HHT262270 HRP262270 IBL262270 ILH262270 IVD262270 JEZ262270 JOV262270 JYR262270 KIN262270 KSJ262270 LCF262270 LMB262270 LVX262270 MFT262270 MPP262270 MZL262270 NJH262270 NTD262270 OCZ262270 OMV262270 OWR262270 PGN262270 PQJ262270 QAF262270 QKB262270 QTX262270 RDT262270 RNP262270 RXL262270 SHH262270 SRD262270 TAZ262270 TKV262270 TUR262270 UEN262270 UOJ262270 UYF262270 VIB262270 VRX262270 WBT262270 WLP262270 WVL262270 D327806 IZ327806 SV327806 ACR327806 AMN327806 AWJ327806 BGF327806 BQB327806 BZX327806 CJT327806 CTP327806 DDL327806 DNH327806 DXD327806 EGZ327806 EQV327806 FAR327806 FKN327806 FUJ327806 GEF327806 GOB327806 GXX327806 HHT327806 HRP327806 IBL327806 ILH327806 IVD327806 JEZ327806 JOV327806 JYR327806 KIN327806 KSJ327806 LCF327806 LMB327806 LVX327806 MFT327806 MPP327806 MZL327806 NJH327806 NTD327806 OCZ327806 OMV327806 OWR327806 PGN327806 PQJ327806 QAF327806 QKB327806 QTX327806 RDT327806 RNP327806 RXL327806 SHH327806 SRD327806 TAZ327806 TKV327806 TUR327806 UEN327806 UOJ327806 UYF327806 VIB327806 VRX327806 WBT327806 WLP327806 WVL327806 D393342 IZ393342 SV393342 ACR393342 AMN393342 AWJ393342 BGF393342 BQB393342 BZX393342 CJT393342 CTP393342 DDL393342 DNH393342 DXD393342 EGZ393342 EQV393342 FAR393342 FKN393342 FUJ393342 GEF393342 GOB393342 GXX393342 HHT393342 HRP393342 IBL393342 ILH393342 IVD393342 JEZ393342 JOV393342 JYR393342 KIN393342 KSJ393342 LCF393342 LMB393342 LVX393342 MFT393342 MPP393342 MZL393342 NJH393342 NTD393342 OCZ393342 OMV393342 OWR393342 PGN393342 PQJ393342 QAF393342 QKB393342 QTX393342 RDT393342 RNP393342 RXL393342 SHH393342 SRD393342 TAZ393342 TKV393342 TUR393342 UEN393342 UOJ393342 UYF393342 VIB393342 VRX393342 WBT393342 WLP393342 WVL393342 D458878 IZ458878 SV458878 ACR458878 AMN458878 AWJ458878 BGF458878 BQB458878 BZX458878 CJT458878 CTP458878 DDL458878 DNH458878 DXD458878 EGZ458878 EQV458878 FAR458878 FKN458878 FUJ458878 GEF458878 GOB458878 GXX458878 HHT458878 HRP458878 IBL458878 ILH458878 IVD458878 JEZ458878 JOV458878 JYR458878 KIN458878 KSJ458878 LCF458878 LMB458878 LVX458878 MFT458878 MPP458878 MZL458878 NJH458878 NTD458878 OCZ458878 OMV458878 OWR458878 PGN458878 PQJ458878 QAF458878 QKB458878 QTX458878 RDT458878 RNP458878 RXL458878 SHH458878 SRD458878 TAZ458878 TKV458878 TUR458878 UEN458878 UOJ458878 UYF458878 VIB458878 VRX458878 WBT458878 WLP458878 WVL458878 D524414 IZ524414 SV524414 ACR524414 AMN524414 AWJ524414 BGF524414 BQB524414 BZX524414 CJT524414 CTP524414 DDL524414 DNH524414 DXD524414 EGZ524414 EQV524414 FAR524414 FKN524414 FUJ524414 GEF524414 GOB524414 GXX524414 HHT524414 HRP524414 IBL524414 ILH524414 IVD524414 JEZ524414 JOV524414 JYR524414 KIN524414 KSJ524414 LCF524414 LMB524414 LVX524414 MFT524414 MPP524414 MZL524414 NJH524414 NTD524414 OCZ524414 OMV524414 OWR524414 PGN524414 PQJ524414 QAF524414 QKB524414 QTX524414 RDT524414 RNP524414 RXL524414 SHH524414 SRD524414 TAZ524414 TKV524414 TUR524414 UEN524414 UOJ524414 UYF524414 VIB524414 VRX524414 WBT524414 WLP524414 WVL524414 D589950 IZ589950 SV589950 ACR589950 AMN589950 AWJ589950 BGF589950 BQB589950 BZX589950 CJT589950 CTP589950 DDL589950 DNH589950 DXD589950 EGZ589950 EQV589950 FAR589950 FKN589950 FUJ589950 GEF589950 GOB589950 GXX589950 HHT589950 HRP589950 IBL589950 ILH589950 IVD589950 JEZ589950 JOV589950 JYR589950 KIN589950 KSJ589950 LCF589950 LMB589950 LVX589950 MFT589950 MPP589950 MZL589950 NJH589950 NTD589950 OCZ589950 OMV589950 OWR589950 PGN589950 PQJ589950 QAF589950 QKB589950 QTX589950 RDT589950 RNP589950 RXL589950 SHH589950 SRD589950 TAZ589950 TKV589950 TUR589950 UEN589950 UOJ589950 UYF589950 VIB589950 VRX589950 WBT589950 WLP589950 WVL589950 D655486 IZ655486 SV655486 ACR655486 AMN655486 AWJ655486 BGF655486 BQB655486 BZX655486 CJT655486 CTP655486 DDL655486 DNH655486 DXD655486 EGZ655486 EQV655486 FAR655486 FKN655486 FUJ655486 GEF655486 GOB655486 GXX655486 HHT655486 HRP655486 IBL655486 ILH655486 IVD655486 JEZ655486 JOV655486 JYR655486 KIN655486 KSJ655486 LCF655486 LMB655486 LVX655486 MFT655486 MPP655486 MZL655486 NJH655486 NTD655486 OCZ655486 OMV655486 OWR655486 PGN655486 PQJ655486 QAF655486 QKB655486 QTX655486 RDT655486 RNP655486 RXL655486 SHH655486 SRD655486 TAZ655486 TKV655486 TUR655486 UEN655486 UOJ655486 UYF655486 VIB655486 VRX655486 WBT655486 WLP655486 WVL655486 D721022 IZ721022 SV721022 ACR721022 AMN721022 AWJ721022 BGF721022 BQB721022 BZX721022 CJT721022 CTP721022 DDL721022 DNH721022 DXD721022 EGZ721022 EQV721022 FAR721022 FKN721022 FUJ721022 GEF721022 GOB721022 GXX721022 HHT721022 HRP721022 IBL721022 ILH721022 IVD721022 JEZ721022 JOV721022 JYR721022 KIN721022 KSJ721022 LCF721022 LMB721022 LVX721022 MFT721022 MPP721022 MZL721022 NJH721022 NTD721022 OCZ721022 OMV721022 OWR721022 PGN721022 PQJ721022 QAF721022 QKB721022 QTX721022 RDT721022 RNP721022 RXL721022 SHH721022 SRD721022 TAZ721022 TKV721022 TUR721022 UEN721022 UOJ721022 UYF721022 VIB721022 VRX721022 WBT721022 WLP721022 WVL721022 D786558 IZ786558 SV786558 ACR786558 AMN786558 AWJ786558 BGF786558 BQB786558 BZX786558 CJT786558 CTP786558 DDL786558 DNH786558 DXD786558 EGZ786558 EQV786558 FAR786558 FKN786558 FUJ786558 GEF786558 GOB786558 GXX786558 HHT786558 HRP786558 IBL786558 ILH786558 IVD786558 JEZ786558 JOV786558 JYR786558 KIN786558 KSJ786558 LCF786558 LMB786558 LVX786558 MFT786558 MPP786558 MZL786558 NJH786558 NTD786558 OCZ786558 OMV786558 OWR786558 PGN786558 PQJ786558 QAF786558 QKB786558 QTX786558 RDT786558 RNP786558 RXL786558 SHH786558 SRD786558 TAZ786558 TKV786558 TUR786558 UEN786558 UOJ786558 UYF786558 VIB786558 VRX786558 WBT786558 WLP786558 WVL786558 D852094 IZ852094 SV852094 ACR852094 AMN852094 AWJ852094 BGF852094 BQB852094 BZX852094 CJT852094 CTP852094 DDL852094 DNH852094 DXD852094 EGZ852094 EQV852094 FAR852094 FKN852094 FUJ852094 GEF852094 GOB852094 GXX852094 HHT852094 HRP852094 IBL852094 ILH852094 IVD852094 JEZ852094 JOV852094 JYR852094 KIN852094 KSJ852094 LCF852094 LMB852094 LVX852094 MFT852094 MPP852094 MZL852094 NJH852094 NTD852094 OCZ852094 OMV852094 OWR852094 PGN852094 PQJ852094 QAF852094 QKB852094 QTX852094 RDT852094 RNP852094 RXL852094 SHH852094 SRD852094 TAZ852094 TKV852094 TUR852094 UEN852094 UOJ852094 UYF852094 VIB852094 VRX852094 WBT852094 WLP852094 WVL852094 D917630 IZ917630 SV917630 ACR917630 AMN917630 AWJ917630 BGF917630 BQB917630 BZX917630 CJT917630 CTP917630 DDL917630 DNH917630 DXD917630 EGZ917630 EQV917630 FAR917630 FKN917630 FUJ917630 GEF917630 GOB917630 GXX917630 HHT917630 HRP917630 IBL917630 ILH917630 IVD917630 JEZ917630 JOV917630 JYR917630 KIN917630 KSJ917630 LCF917630 LMB917630 LVX917630 MFT917630 MPP917630 MZL917630 NJH917630 NTD917630 OCZ917630 OMV917630 OWR917630 PGN917630 PQJ917630 QAF917630 QKB917630 QTX917630 RDT917630 RNP917630 RXL917630 SHH917630 SRD917630 TAZ917630 TKV917630 TUR917630 UEN917630 UOJ917630 UYF917630 VIB917630 VRX917630 WBT917630 WLP917630 WVL917630 D983166 IZ983166 SV983166 ACR983166 AMN983166 AWJ983166 BGF983166 BQB983166 BZX983166 CJT983166 CTP983166 DDL983166 DNH983166 DXD983166 EGZ983166 EQV983166 FAR983166 FKN983166 FUJ983166 GEF983166 GOB983166 GXX983166 HHT983166 HRP983166 IBL983166 ILH983166 IVD983166 JEZ983166 JOV983166 JYR983166 KIN983166 KSJ983166 LCF983166 LMB983166 LVX983166 MFT983166 MPP983166 MZL983166 NJH983166 NTD983166 OCZ983166 OMV983166 OWR983166 PGN983166 PQJ983166 QAF983166 QKB983166 QTX983166 RDT983166 RNP983166 RXL983166 SHH983166 SRD983166 TAZ983166 TKV983166 TUR983166 UEN983166 UOJ983166 UYF983166 VIB983166 VRX983166 WBT983166 WLP983166 WVL983166 D65505:D65516 IZ65505:IZ65516 SV65505:SV65516 ACR65505:ACR65516 AMN65505:AMN65516 AWJ65505:AWJ65516 BGF65505:BGF65516 BQB65505:BQB65516 BZX65505:BZX65516 CJT65505:CJT65516 CTP65505:CTP65516 DDL65505:DDL65516 DNH65505:DNH65516 DXD65505:DXD65516 EGZ65505:EGZ65516 EQV65505:EQV65516 FAR65505:FAR65516 FKN65505:FKN65516 FUJ65505:FUJ65516 GEF65505:GEF65516 GOB65505:GOB65516 GXX65505:GXX65516 HHT65505:HHT65516 HRP65505:HRP65516 IBL65505:IBL65516 ILH65505:ILH65516 IVD65505:IVD65516 JEZ65505:JEZ65516 JOV65505:JOV65516 JYR65505:JYR65516 KIN65505:KIN65516 KSJ65505:KSJ65516 LCF65505:LCF65516 LMB65505:LMB65516 LVX65505:LVX65516 MFT65505:MFT65516 MPP65505:MPP65516 MZL65505:MZL65516 NJH65505:NJH65516 NTD65505:NTD65516 OCZ65505:OCZ65516 OMV65505:OMV65516 OWR65505:OWR65516 PGN65505:PGN65516 PQJ65505:PQJ65516 QAF65505:QAF65516 QKB65505:QKB65516 QTX65505:QTX65516 RDT65505:RDT65516 RNP65505:RNP65516 RXL65505:RXL65516 SHH65505:SHH65516 SRD65505:SRD65516 TAZ65505:TAZ65516 TKV65505:TKV65516 TUR65505:TUR65516 UEN65505:UEN65516 UOJ65505:UOJ65516 UYF65505:UYF65516 VIB65505:VIB65516 VRX65505:VRX65516 WBT65505:WBT65516 WLP65505:WLP65516 WVL65505:WVL65516 D131041:D131052 IZ131041:IZ131052 SV131041:SV131052 ACR131041:ACR131052 AMN131041:AMN131052 AWJ131041:AWJ131052 BGF131041:BGF131052 BQB131041:BQB131052 BZX131041:BZX131052 CJT131041:CJT131052 CTP131041:CTP131052 DDL131041:DDL131052 DNH131041:DNH131052 DXD131041:DXD131052 EGZ131041:EGZ131052 EQV131041:EQV131052 FAR131041:FAR131052 FKN131041:FKN131052 FUJ131041:FUJ131052 GEF131041:GEF131052 GOB131041:GOB131052 GXX131041:GXX131052 HHT131041:HHT131052 HRP131041:HRP131052 IBL131041:IBL131052 ILH131041:ILH131052 IVD131041:IVD131052 JEZ131041:JEZ131052 JOV131041:JOV131052 JYR131041:JYR131052 KIN131041:KIN131052 KSJ131041:KSJ131052 LCF131041:LCF131052 LMB131041:LMB131052 LVX131041:LVX131052 MFT131041:MFT131052 MPP131041:MPP131052 MZL131041:MZL131052 NJH131041:NJH131052 NTD131041:NTD131052 OCZ131041:OCZ131052 OMV131041:OMV131052 OWR131041:OWR131052 PGN131041:PGN131052 PQJ131041:PQJ131052 QAF131041:QAF131052 QKB131041:QKB131052 QTX131041:QTX131052 RDT131041:RDT131052 RNP131041:RNP131052 RXL131041:RXL131052 SHH131041:SHH131052 SRD131041:SRD131052 TAZ131041:TAZ131052 TKV131041:TKV131052 TUR131041:TUR131052 UEN131041:UEN131052 UOJ131041:UOJ131052 UYF131041:UYF131052 VIB131041:VIB131052 VRX131041:VRX131052 WBT131041:WBT131052 WLP131041:WLP131052 WVL131041:WVL131052 D196577:D196588 IZ196577:IZ196588 SV196577:SV196588 ACR196577:ACR196588 AMN196577:AMN196588 AWJ196577:AWJ196588 BGF196577:BGF196588 BQB196577:BQB196588 BZX196577:BZX196588 CJT196577:CJT196588 CTP196577:CTP196588 DDL196577:DDL196588 DNH196577:DNH196588 DXD196577:DXD196588 EGZ196577:EGZ196588 EQV196577:EQV196588 FAR196577:FAR196588 FKN196577:FKN196588 FUJ196577:FUJ196588 GEF196577:GEF196588 GOB196577:GOB196588 GXX196577:GXX196588 HHT196577:HHT196588 HRP196577:HRP196588 IBL196577:IBL196588 ILH196577:ILH196588 IVD196577:IVD196588 JEZ196577:JEZ196588 JOV196577:JOV196588 JYR196577:JYR196588 KIN196577:KIN196588 KSJ196577:KSJ196588 LCF196577:LCF196588 LMB196577:LMB196588 LVX196577:LVX196588 MFT196577:MFT196588 MPP196577:MPP196588 MZL196577:MZL196588 NJH196577:NJH196588 NTD196577:NTD196588 OCZ196577:OCZ196588 OMV196577:OMV196588 OWR196577:OWR196588 PGN196577:PGN196588 PQJ196577:PQJ196588 QAF196577:QAF196588 QKB196577:QKB196588 QTX196577:QTX196588 RDT196577:RDT196588 RNP196577:RNP196588 RXL196577:RXL196588 SHH196577:SHH196588 SRD196577:SRD196588 TAZ196577:TAZ196588 TKV196577:TKV196588 TUR196577:TUR196588 UEN196577:UEN196588 UOJ196577:UOJ196588 UYF196577:UYF196588 VIB196577:VIB196588 VRX196577:VRX196588 WBT196577:WBT196588 WLP196577:WLP196588 WVL196577:WVL196588 D262113:D262124 IZ262113:IZ262124 SV262113:SV262124 ACR262113:ACR262124 AMN262113:AMN262124 AWJ262113:AWJ262124 BGF262113:BGF262124 BQB262113:BQB262124 BZX262113:BZX262124 CJT262113:CJT262124 CTP262113:CTP262124 DDL262113:DDL262124 DNH262113:DNH262124 DXD262113:DXD262124 EGZ262113:EGZ262124 EQV262113:EQV262124 FAR262113:FAR262124 FKN262113:FKN262124 FUJ262113:FUJ262124 GEF262113:GEF262124 GOB262113:GOB262124 GXX262113:GXX262124 HHT262113:HHT262124 HRP262113:HRP262124 IBL262113:IBL262124 ILH262113:ILH262124 IVD262113:IVD262124 JEZ262113:JEZ262124 JOV262113:JOV262124 JYR262113:JYR262124 KIN262113:KIN262124 KSJ262113:KSJ262124 LCF262113:LCF262124 LMB262113:LMB262124 LVX262113:LVX262124 MFT262113:MFT262124 MPP262113:MPP262124 MZL262113:MZL262124 NJH262113:NJH262124 NTD262113:NTD262124 OCZ262113:OCZ262124 OMV262113:OMV262124 OWR262113:OWR262124 PGN262113:PGN262124 PQJ262113:PQJ262124 QAF262113:QAF262124 QKB262113:QKB262124 QTX262113:QTX262124 RDT262113:RDT262124 RNP262113:RNP262124 RXL262113:RXL262124 SHH262113:SHH262124 SRD262113:SRD262124 TAZ262113:TAZ262124 TKV262113:TKV262124 TUR262113:TUR262124 UEN262113:UEN262124 UOJ262113:UOJ262124 UYF262113:UYF262124 VIB262113:VIB262124 VRX262113:VRX262124 WBT262113:WBT262124 WLP262113:WLP262124 WVL262113:WVL262124 D327649:D327660 IZ327649:IZ327660 SV327649:SV327660 ACR327649:ACR327660 AMN327649:AMN327660 AWJ327649:AWJ327660 BGF327649:BGF327660 BQB327649:BQB327660 BZX327649:BZX327660 CJT327649:CJT327660 CTP327649:CTP327660 DDL327649:DDL327660 DNH327649:DNH327660 DXD327649:DXD327660 EGZ327649:EGZ327660 EQV327649:EQV327660 FAR327649:FAR327660 FKN327649:FKN327660 FUJ327649:FUJ327660 GEF327649:GEF327660 GOB327649:GOB327660 GXX327649:GXX327660 HHT327649:HHT327660 HRP327649:HRP327660 IBL327649:IBL327660 ILH327649:ILH327660 IVD327649:IVD327660 JEZ327649:JEZ327660 JOV327649:JOV327660 JYR327649:JYR327660 KIN327649:KIN327660 KSJ327649:KSJ327660 LCF327649:LCF327660 LMB327649:LMB327660 LVX327649:LVX327660 MFT327649:MFT327660 MPP327649:MPP327660 MZL327649:MZL327660 NJH327649:NJH327660 NTD327649:NTD327660 OCZ327649:OCZ327660 OMV327649:OMV327660 OWR327649:OWR327660 PGN327649:PGN327660 PQJ327649:PQJ327660 QAF327649:QAF327660 QKB327649:QKB327660 QTX327649:QTX327660 RDT327649:RDT327660 RNP327649:RNP327660 RXL327649:RXL327660 SHH327649:SHH327660 SRD327649:SRD327660 TAZ327649:TAZ327660 TKV327649:TKV327660 TUR327649:TUR327660 UEN327649:UEN327660 UOJ327649:UOJ327660 UYF327649:UYF327660 VIB327649:VIB327660 VRX327649:VRX327660 WBT327649:WBT327660 WLP327649:WLP327660 WVL327649:WVL327660 D393185:D393196 IZ393185:IZ393196 SV393185:SV393196 ACR393185:ACR393196 AMN393185:AMN393196 AWJ393185:AWJ393196 BGF393185:BGF393196 BQB393185:BQB393196 BZX393185:BZX393196 CJT393185:CJT393196 CTP393185:CTP393196 DDL393185:DDL393196 DNH393185:DNH393196 DXD393185:DXD393196 EGZ393185:EGZ393196 EQV393185:EQV393196 FAR393185:FAR393196 FKN393185:FKN393196 FUJ393185:FUJ393196 GEF393185:GEF393196 GOB393185:GOB393196 GXX393185:GXX393196 HHT393185:HHT393196 HRP393185:HRP393196 IBL393185:IBL393196 ILH393185:ILH393196 IVD393185:IVD393196 JEZ393185:JEZ393196 JOV393185:JOV393196 JYR393185:JYR393196 KIN393185:KIN393196 KSJ393185:KSJ393196 LCF393185:LCF393196 LMB393185:LMB393196 LVX393185:LVX393196 MFT393185:MFT393196 MPP393185:MPP393196 MZL393185:MZL393196 NJH393185:NJH393196 NTD393185:NTD393196 OCZ393185:OCZ393196 OMV393185:OMV393196 OWR393185:OWR393196 PGN393185:PGN393196 PQJ393185:PQJ393196 QAF393185:QAF393196 QKB393185:QKB393196 QTX393185:QTX393196 RDT393185:RDT393196 RNP393185:RNP393196 RXL393185:RXL393196 SHH393185:SHH393196 SRD393185:SRD393196 TAZ393185:TAZ393196 TKV393185:TKV393196 TUR393185:TUR393196 UEN393185:UEN393196 UOJ393185:UOJ393196 UYF393185:UYF393196 VIB393185:VIB393196 VRX393185:VRX393196 WBT393185:WBT393196 WLP393185:WLP393196 WVL393185:WVL393196 D458721:D458732 IZ458721:IZ458732 SV458721:SV458732 ACR458721:ACR458732 AMN458721:AMN458732 AWJ458721:AWJ458732 BGF458721:BGF458732 BQB458721:BQB458732 BZX458721:BZX458732 CJT458721:CJT458732 CTP458721:CTP458732 DDL458721:DDL458732 DNH458721:DNH458732 DXD458721:DXD458732 EGZ458721:EGZ458732 EQV458721:EQV458732 FAR458721:FAR458732 FKN458721:FKN458732 FUJ458721:FUJ458732 GEF458721:GEF458732 GOB458721:GOB458732 GXX458721:GXX458732 HHT458721:HHT458732 HRP458721:HRP458732 IBL458721:IBL458732 ILH458721:ILH458732 IVD458721:IVD458732 JEZ458721:JEZ458732 JOV458721:JOV458732 JYR458721:JYR458732 KIN458721:KIN458732 KSJ458721:KSJ458732 LCF458721:LCF458732 LMB458721:LMB458732 LVX458721:LVX458732 MFT458721:MFT458732 MPP458721:MPP458732 MZL458721:MZL458732 NJH458721:NJH458732 NTD458721:NTD458732 OCZ458721:OCZ458732 OMV458721:OMV458732 OWR458721:OWR458732 PGN458721:PGN458732 PQJ458721:PQJ458732 QAF458721:QAF458732 QKB458721:QKB458732 QTX458721:QTX458732 RDT458721:RDT458732 RNP458721:RNP458732 RXL458721:RXL458732 SHH458721:SHH458732 SRD458721:SRD458732 TAZ458721:TAZ458732 TKV458721:TKV458732 TUR458721:TUR458732 UEN458721:UEN458732 UOJ458721:UOJ458732 UYF458721:UYF458732 VIB458721:VIB458732 VRX458721:VRX458732 WBT458721:WBT458732 WLP458721:WLP458732 WVL458721:WVL458732 D524257:D524268 IZ524257:IZ524268 SV524257:SV524268 ACR524257:ACR524268 AMN524257:AMN524268 AWJ524257:AWJ524268 BGF524257:BGF524268 BQB524257:BQB524268 BZX524257:BZX524268 CJT524257:CJT524268 CTP524257:CTP524268 DDL524257:DDL524268 DNH524257:DNH524268 DXD524257:DXD524268 EGZ524257:EGZ524268 EQV524257:EQV524268 FAR524257:FAR524268 FKN524257:FKN524268 FUJ524257:FUJ524268 GEF524257:GEF524268 GOB524257:GOB524268 GXX524257:GXX524268 HHT524257:HHT524268 HRP524257:HRP524268 IBL524257:IBL524268 ILH524257:ILH524268 IVD524257:IVD524268 JEZ524257:JEZ524268 JOV524257:JOV524268 JYR524257:JYR524268 KIN524257:KIN524268 KSJ524257:KSJ524268 LCF524257:LCF524268 LMB524257:LMB524268 LVX524257:LVX524268 MFT524257:MFT524268 MPP524257:MPP524268 MZL524257:MZL524268 NJH524257:NJH524268 NTD524257:NTD524268 OCZ524257:OCZ524268 OMV524257:OMV524268 OWR524257:OWR524268 PGN524257:PGN524268 PQJ524257:PQJ524268 QAF524257:QAF524268 QKB524257:QKB524268 QTX524257:QTX524268 RDT524257:RDT524268 RNP524257:RNP524268 RXL524257:RXL524268 SHH524257:SHH524268 SRD524257:SRD524268 TAZ524257:TAZ524268 TKV524257:TKV524268 TUR524257:TUR524268 UEN524257:UEN524268 UOJ524257:UOJ524268 UYF524257:UYF524268 VIB524257:VIB524268 VRX524257:VRX524268 WBT524257:WBT524268 WLP524257:WLP524268 WVL524257:WVL524268 D589793:D589804 IZ589793:IZ589804 SV589793:SV589804 ACR589793:ACR589804 AMN589793:AMN589804 AWJ589793:AWJ589804 BGF589793:BGF589804 BQB589793:BQB589804 BZX589793:BZX589804 CJT589793:CJT589804 CTP589793:CTP589804 DDL589793:DDL589804 DNH589793:DNH589804 DXD589793:DXD589804 EGZ589793:EGZ589804 EQV589793:EQV589804 FAR589793:FAR589804 FKN589793:FKN589804 FUJ589793:FUJ589804 GEF589793:GEF589804 GOB589793:GOB589804 GXX589793:GXX589804 HHT589793:HHT589804 HRP589793:HRP589804 IBL589793:IBL589804 ILH589793:ILH589804 IVD589793:IVD589804 JEZ589793:JEZ589804 JOV589793:JOV589804 JYR589793:JYR589804 KIN589793:KIN589804 KSJ589793:KSJ589804 LCF589793:LCF589804 LMB589793:LMB589804 LVX589793:LVX589804 MFT589793:MFT589804 MPP589793:MPP589804 MZL589793:MZL589804 NJH589793:NJH589804 NTD589793:NTD589804 OCZ589793:OCZ589804 OMV589793:OMV589804 OWR589793:OWR589804 PGN589793:PGN589804 PQJ589793:PQJ589804 QAF589793:QAF589804 QKB589793:QKB589804 QTX589793:QTX589804 RDT589793:RDT589804 RNP589793:RNP589804 RXL589793:RXL589804 SHH589793:SHH589804 SRD589793:SRD589804 TAZ589793:TAZ589804 TKV589793:TKV589804 TUR589793:TUR589804 UEN589793:UEN589804 UOJ589793:UOJ589804 UYF589793:UYF589804 VIB589793:VIB589804 VRX589793:VRX589804 WBT589793:WBT589804 WLP589793:WLP589804 WVL589793:WVL589804 D655329:D655340 IZ655329:IZ655340 SV655329:SV655340 ACR655329:ACR655340 AMN655329:AMN655340 AWJ655329:AWJ655340 BGF655329:BGF655340 BQB655329:BQB655340 BZX655329:BZX655340 CJT655329:CJT655340 CTP655329:CTP655340 DDL655329:DDL655340 DNH655329:DNH655340 DXD655329:DXD655340 EGZ655329:EGZ655340 EQV655329:EQV655340 FAR655329:FAR655340 FKN655329:FKN655340 FUJ655329:FUJ655340 GEF655329:GEF655340 GOB655329:GOB655340 GXX655329:GXX655340 HHT655329:HHT655340 HRP655329:HRP655340 IBL655329:IBL655340 ILH655329:ILH655340 IVD655329:IVD655340 JEZ655329:JEZ655340 JOV655329:JOV655340 JYR655329:JYR655340 KIN655329:KIN655340 KSJ655329:KSJ655340 LCF655329:LCF655340 LMB655329:LMB655340 LVX655329:LVX655340 MFT655329:MFT655340 MPP655329:MPP655340 MZL655329:MZL655340 NJH655329:NJH655340 NTD655329:NTD655340 OCZ655329:OCZ655340 OMV655329:OMV655340 OWR655329:OWR655340 PGN655329:PGN655340 PQJ655329:PQJ655340 QAF655329:QAF655340 QKB655329:QKB655340 QTX655329:QTX655340 RDT655329:RDT655340 RNP655329:RNP655340 RXL655329:RXL655340 SHH655329:SHH655340 SRD655329:SRD655340 TAZ655329:TAZ655340 TKV655329:TKV655340 TUR655329:TUR655340 UEN655329:UEN655340 UOJ655329:UOJ655340 UYF655329:UYF655340 VIB655329:VIB655340 VRX655329:VRX655340 WBT655329:WBT655340 WLP655329:WLP655340 WVL655329:WVL655340 D720865:D720876 IZ720865:IZ720876 SV720865:SV720876 ACR720865:ACR720876 AMN720865:AMN720876 AWJ720865:AWJ720876 BGF720865:BGF720876 BQB720865:BQB720876 BZX720865:BZX720876 CJT720865:CJT720876 CTP720865:CTP720876 DDL720865:DDL720876 DNH720865:DNH720876 DXD720865:DXD720876 EGZ720865:EGZ720876 EQV720865:EQV720876 FAR720865:FAR720876 FKN720865:FKN720876 FUJ720865:FUJ720876 GEF720865:GEF720876 GOB720865:GOB720876 GXX720865:GXX720876 HHT720865:HHT720876 HRP720865:HRP720876 IBL720865:IBL720876 ILH720865:ILH720876 IVD720865:IVD720876 JEZ720865:JEZ720876 JOV720865:JOV720876 JYR720865:JYR720876 KIN720865:KIN720876 KSJ720865:KSJ720876 LCF720865:LCF720876 LMB720865:LMB720876 LVX720865:LVX720876 MFT720865:MFT720876 MPP720865:MPP720876 MZL720865:MZL720876 NJH720865:NJH720876 NTD720865:NTD720876 OCZ720865:OCZ720876 OMV720865:OMV720876 OWR720865:OWR720876 PGN720865:PGN720876 PQJ720865:PQJ720876 QAF720865:QAF720876 QKB720865:QKB720876 QTX720865:QTX720876 RDT720865:RDT720876 RNP720865:RNP720876 RXL720865:RXL720876 SHH720865:SHH720876 SRD720865:SRD720876 TAZ720865:TAZ720876 TKV720865:TKV720876 TUR720865:TUR720876 UEN720865:UEN720876 UOJ720865:UOJ720876 UYF720865:UYF720876 VIB720865:VIB720876 VRX720865:VRX720876 WBT720865:WBT720876 WLP720865:WLP720876 WVL720865:WVL720876 D786401:D786412 IZ786401:IZ786412 SV786401:SV786412 ACR786401:ACR786412 AMN786401:AMN786412 AWJ786401:AWJ786412 BGF786401:BGF786412 BQB786401:BQB786412 BZX786401:BZX786412 CJT786401:CJT786412 CTP786401:CTP786412 DDL786401:DDL786412 DNH786401:DNH786412 DXD786401:DXD786412 EGZ786401:EGZ786412 EQV786401:EQV786412 FAR786401:FAR786412 FKN786401:FKN786412 FUJ786401:FUJ786412 GEF786401:GEF786412 GOB786401:GOB786412 GXX786401:GXX786412 HHT786401:HHT786412 HRP786401:HRP786412 IBL786401:IBL786412 ILH786401:ILH786412 IVD786401:IVD786412 JEZ786401:JEZ786412 JOV786401:JOV786412 JYR786401:JYR786412 KIN786401:KIN786412 KSJ786401:KSJ786412 LCF786401:LCF786412 LMB786401:LMB786412 LVX786401:LVX786412 MFT786401:MFT786412 MPP786401:MPP786412 MZL786401:MZL786412 NJH786401:NJH786412 NTD786401:NTD786412 OCZ786401:OCZ786412 OMV786401:OMV786412 OWR786401:OWR786412 PGN786401:PGN786412 PQJ786401:PQJ786412 QAF786401:QAF786412 QKB786401:QKB786412 QTX786401:QTX786412 RDT786401:RDT786412 RNP786401:RNP786412 RXL786401:RXL786412 SHH786401:SHH786412 SRD786401:SRD786412 TAZ786401:TAZ786412 TKV786401:TKV786412 TUR786401:TUR786412 UEN786401:UEN786412 UOJ786401:UOJ786412 UYF786401:UYF786412 VIB786401:VIB786412 VRX786401:VRX786412 WBT786401:WBT786412 WLP786401:WLP786412 WVL786401:WVL786412 D851937:D851948 IZ851937:IZ851948 SV851937:SV851948 ACR851937:ACR851948 AMN851937:AMN851948 AWJ851937:AWJ851948 BGF851937:BGF851948 BQB851937:BQB851948 BZX851937:BZX851948 CJT851937:CJT851948 CTP851937:CTP851948 DDL851937:DDL851948 DNH851937:DNH851948 DXD851937:DXD851948 EGZ851937:EGZ851948 EQV851937:EQV851948 FAR851937:FAR851948 FKN851937:FKN851948 FUJ851937:FUJ851948 GEF851937:GEF851948 GOB851937:GOB851948 GXX851937:GXX851948 HHT851937:HHT851948 HRP851937:HRP851948 IBL851937:IBL851948 ILH851937:ILH851948 IVD851937:IVD851948 JEZ851937:JEZ851948 JOV851937:JOV851948 JYR851937:JYR851948 KIN851937:KIN851948 KSJ851937:KSJ851948 LCF851937:LCF851948 LMB851937:LMB851948 LVX851937:LVX851948 MFT851937:MFT851948 MPP851937:MPP851948 MZL851937:MZL851948 NJH851937:NJH851948 NTD851937:NTD851948 OCZ851937:OCZ851948 OMV851937:OMV851948 OWR851937:OWR851948 PGN851937:PGN851948 PQJ851937:PQJ851948 QAF851937:QAF851948 QKB851937:QKB851948 QTX851937:QTX851948 RDT851937:RDT851948 RNP851937:RNP851948 RXL851937:RXL851948 SHH851937:SHH851948 SRD851937:SRD851948 TAZ851937:TAZ851948 TKV851937:TKV851948 TUR851937:TUR851948 UEN851937:UEN851948 UOJ851937:UOJ851948 UYF851937:UYF851948 VIB851937:VIB851948 VRX851937:VRX851948 WBT851937:WBT851948 WLP851937:WLP851948 WVL851937:WVL851948 D917473:D917484 IZ917473:IZ917484 SV917473:SV917484 ACR917473:ACR917484 AMN917473:AMN917484 AWJ917473:AWJ917484 BGF917473:BGF917484 BQB917473:BQB917484 BZX917473:BZX917484 CJT917473:CJT917484 CTP917473:CTP917484 DDL917473:DDL917484 DNH917473:DNH917484 DXD917473:DXD917484 EGZ917473:EGZ917484 EQV917473:EQV917484 FAR917473:FAR917484 FKN917473:FKN917484 FUJ917473:FUJ917484 GEF917473:GEF917484 GOB917473:GOB917484 GXX917473:GXX917484 HHT917473:HHT917484 HRP917473:HRP917484 IBL917473:IBL917484 ILH917473:ILH917484 IVD917473:IVD917484 JEZ917473:JEZ917484 JOV917473:JOV917484 JYR917473:JYR917484 KIN917473:KIN917484 KSJ917473:KSJ917484 LCF917473:LCF917484 LMB917473:LMB917484 LVX917473:LVX917484 MFT917473:MFT917484 MPP917473:MPP917484 MZL917473:MZL917484 NJH917473:NJH917484 NTD917473:NTD917484 OCZ917473:OCZ917484 OMV917473:OMV917484 OWR917473:OWR917484 PGN917473:PGN917484 PQJ917473:PQJ917484 QAF917473:QAF917484 QKB917473:QKB917484 QTX917473:QTX917484 RDT917473:RDT917484 RNP917473:RNP917484 RXL917473:RXL917484 SHH917473:SHH917484 SRD917473:SRD917484 TAZ917473:TAZ917484 TKV917473:TKV917484 TUR917473:TUR917484 UEN917473:UEN917484 UOJ917473:UOJ917484 UYF917473:UYF917484 VIB917473:VIB917484 VRX917473:VRX917484 WBT917473:WBT917484 WLP917473:WLP917484 WVL917473:WVL917484 D983009:D983020 IZ983009:IZ983020 SV983009:SV983020 ACR983009:ACR983020 AMN983009:AMN983020 AWJ983009:AWJ983020 BGF983009:BGF983020 BQB983009:BQB983020 BZX983009:BZX983020 CJT983009:CJT983020 CTP983009:CTP983020 DDL983009:DDL983020 DNH983009:DNH983020 DXD983009:DXD983020 EGZ983009:EGZ983020 EQV983009:EQV983020 FAR983009:FAR983020 FKN983009:FKN983020 FUJ983009:FUJ983020 GEF983009:GEF983020 GOB983009:GOB983020 GXX983009:GXX983020 HHT983009:HHT983020 HRP983009:HRP983020 IBL983009:IBL983020 ILH983009:ILH983020 IVD983009:IVD983020 JEZ983009:JEZ983020 JOV983009:JOV983020 JYR983009:JYR983020 KIN983009:KIN983020 KSJ983009:KSJ983020 LCF983009:LCF983020 LMB983009:LMB983020 LVX983009:LVX983020 MFT983009:MFT983020 MPP983009:MPP983020 MZL983009:MZL983020 NJH983009:NJH983020 NTD983009:NTD983020 OCZ983009:OCZ983020 OMV983009:OMV983020 OWR983009:OWR983020 PGN983009:PGN983020 PQJ983009:PQJ983020 QAF983009:QAF983020 QKB983009:QKB983020 QTX983009:QTX983020 RDT983009:RDT983020 RNP983009:RNP983020 RXL983009:RXL983020 SHH983009:SHH983020 SRD983009:SRD983020 TAZ983009:TAZ983020 TKV983009:TKV983020 TUR983009:TUR983020 UEN983009:UEN983020 UOJ983009:UOJ983020 UYF983009:UYF983020 VIB983009:VIB983020 VRX983009:VRX983020 WBT983009:WBT983020 WLP983009:WLP983020 WVL983009:WVL983020 D65525:D65556 IZ65525:IZ65556 SV65525:SV65556 ACR65525:ACR65556 AMN65525:AMN65556 AWJ65525:AWJ65556 BGF65525:BGF65556 BQB65525:BQB65556 BZX65525:BZX65556 CJT65525:CJT65556 CTP65525:CTP65556 DDL65525:DDL65556 DNH65525:DNH65556 DXD65525:DXD65556 EGZ65525:EGZ65556 EQV65525:EQV65556 FAR65525:FAR65556 FKN65525:FKN65556 FUJ65525:FUJ65556 GEF65525:GEF65556 GOB65525:GOB65556 GXX65525:GXX65556 HHT65525:HHT65556 HRP65525:HRP65556 IBL65525:IBL65556 ILH65525:ILH65556 IVD65525:IVD65556 JEZ65525:JEZ65556 JOV65525:JOV65556 JYR65525:JYR65556 KIN65525:KIN65556 KSJ65525:KSJ65556 LCF65525:LCF65556 LMB65525:LMB65556 LVX65525:LVX65556 MFT65525:MFT65556 MPP65525:MPP65556 MZL65525:MZL65556 NJH65525:NJH65556 NTD65525:NTD65556 OCZ65525:OCZ65556 OMV65525:OMV65556 OWR65525:OWR65556 PGN65525:PGN65556 PQJ65525:PQJ65556 QAF65525:QAF65556 QKB65525:QKB65556 QTX65525:QTX65556 RDT65525:RDT65556 RNP65525:RNP65556 RXL65525:RXL65556 SHH65525:SHH65556 SRD65525:SRD65556 TAZ65525:TAZ65556 TKV65525:TKV65556 TUR65525:TUR65556 UEN65525:UEN65556 UOJ65525:UOJ65556 UYF65525:UYF65556 VIB65525:VIB65556 VRX65525:VRX65556 WBT65525:WBT65556 WLP65525:WLP65556 WVL65525:WVL65556 D131061:D131092 IZ131061:IZ131092 SV131061:SV131092 ACR131061:ACR131092 AMN131061:AMN131092 AWJ131061:AWJ131092 BGF131061:BGF131092 BQB131061:BQB131092 BZX131061:BZX131092 CJT131061:CJT131092 CTP131061:CTP131092 DDL131061:DDL131092 DNH131061:DNH131092 DXD131061:DXD131092 EGZ131061:EGZ131092 EQV131061:EQV131092 FAR131061:FAR131092 FKN131061:FKN131092 FUJ131061:FUJ131092 GEF131061:GEF131092 GOB131061:GOB131092 GXX131061:GXX131092 HHT131061:HHT131092 HRP131061:HRP131092 IBL131061:IBL131092 ILH131061:ILH131092 IVD131061:IVD131092 JEZ131061:JEZ131092 JOV131061:JOV131092 JYR131061:JYR131092 KIN131061:KIN131092 KSJ131061:KSJ131092 LCF131061:LCF131092 LMB131061:LMB131092 LVX131061:LVX131092 MFT131061:MFT131092 MPP131061:MPP131092 MZL131061:MZL131092 NJH131061:NJH131092 NTD131061:NTD131092 OCZ131061:OCZ131092 OMV131061:OMV131092 OWR131061:OWR131092 PGN131061:PGN131092 PQJ131061:PQJ131092 QAF131061:QAF131092 QKB131061:QKB131092 QTX131061:QTX131092 RDT131061:RDT131092 RNP131061:RNP131092 RXL131061:RXL131092 SHH131061:SHH131092 SRD131061:SRD131092 TAZ131061:TAZ131092 TKV131061:TKV131092 TUR131061:TUR131092 UEN131061:UEN131092 UOJ131061:UOJ131092 UYF131061:UYF131092 VIB131061:VIB131092 VRX131061:VRX131092 WBT131061:WBT131092 WLP131061:WLP131092 WVL131061:WVL131092 D196597:D196628 IZ196597:IZ196628 SV196597:SV196628 ACR196597:ACR196628 AMN196597:AMN196628 AWJ196597:AWJ196628 BGF196597:BGF196628 BQB196597:BQB196628 BZX196597:BZX196628 CJT196597:CJT196628 CTP196597:CTP196628 DDL196597:DDL196628 DNH196597:DNH196628 DXD196597:DXD196628 EGZ196597:EGZ196628 EQV196597:EQV196628 FAR196597:FAR196628 FKN196597:FKN196628 FUJ196597:FUJ196628 GEF196597:GEF196628 GOB196597:GOB196628 GXX196597:GXX196628 HHT196597:HHT196628 HRP196597:HRP196628 IBL196597:IBL196628 ILH196597:ILH196628 IVD196597:IVD196628 JEZ196597:JEZ196628 JOV196597:JOV196628 JYR196597:JYR196628 KIN196597:KIN196628 KSJ196597:KSJ196628 LCF196597:LCF196628 LMB196597:LMB196628 LVX196597:LVX196628 MFT196597:MFT196628 MPP196597:MPP196628 MZL196597:MZL196628 NJH196597:NJH196628 NTD196597:NTD196628 OCZ196597:OCZ196628 OMV196597:OMV196628 OWR196597:OWR196628 PGN196597:PGN196628 PQJ196597:PQJ196628 QAF196597:QAF196628 QKB196597:QKB196628 QTX196597:QTX196628 RDT196597:RDT196628 RNP196597:RNP196628 RXL196597:RXL196628 SHH196597:SHH196628 SRD196597:SRD196628 TAZ196597:TAZ196628 TKV196597:TKV196628 TUR196597:TUR196628 UEN196597:UEN196628 UOJ196597:UOJ196628 UYF196597:UYF196628 VIB196597:VIB196628 VRX196597:VRX196628 WBT196597:WBT196628 WLP196597:WLP196628 WVL196597:WVL196628 D262133:D262164 IZ262133:IZ262164 SV262133:SV262164 ACR262133:ACR262164 AMN262133:AMN262164 AWJ262133:AWJ262164 BGF262133:BGF262164 BQB262133:BQB262164 BZX262133:BZX262164 CJT262133:CJT262164 CTP262133:CTP262164 DDL262133:DDL262164 DNH262133:DNH262164 DXD262133:DXD262164 EGZ262133:EGZ262164 EQV262133:EQV262164 FAR262133:FAR262164 FKN262133:FKN262164 FUJ262133:FUJ262164 GEF262133:GEF262164 GOB262133:GOB262164 GXX262133:GXX262164 HHT262133:HHT262164 HRP262133:HRP262164 IBL262133:IBL262164 ILH262133:ILH262164 IVD262133:IVD262164 JEZ262133:JEZ262164 JOV262133:JOV262164 JYR262133:JYR262164 KIN262133:KIN262164 KSJ262133:KSJ262164 LCF262133:LCF262164 LMB262133:LMB262164 LVX262133:LVX262164 MFT262133:MFT262164 MPP262133:MPP262164 MZL262133:MZL262164 NJH262133:NJH262164 NTD262133:NTD262164 OCZ262133:OCZ262164 OMV262133:OMV262164 OWR262133:OWR262164 PGN262133:PGN262164 PQJ262133:PQJ262164 QAF262133:QAF262164 QKB262133:QKB262164 QTX262133:QTX262164 RDT262133:RDT262164 RNP262133:RNP262164 RXL262133:RXL262164 SHH262133:SHH262164 SRD262133:SRD262164 TAZ262133:TAZ262164 TKV262133:TKV262164 TUR262133:TUR262164 UEN262133:UEN262164 UOJ262133:UOJ262164 UYF262133:UYF262164 VIB262133:VIB262164 VRX262133:VRX262164 WBT262133:WBT262164 WLP262133:WLP262164 WVL262133:WVL262164 D327669:D327700 IZ327669:IZ327700 SV327669:SV327700 ACR327669:ACR327700 AMN327669:AMN327700 AWJ327669:AWJ327700 BGF327669:BGF327700 BQB327669:BQB327700 BZX327669:BZX327700 CJT327669:CJT327700 CTP327669:CTP327700 DDL327669:DDL327700 DNH327669:DNH327700 DXD327669:DXD327700 EGZ327669:EGZ327700 EQV327669:EQV327700 FAR327669:FAR327700 FKN327669:FKN327700 FUJ327669:FUJ327700 GEF327669:GEF327700 GOB327669:GOB327700 GXX327669:GXX327700 HHT327669:HHT327700 HRP327669:HRP327700 IBL327669:IBL327700 ILH327669:ILH327700 IVD327669:IVD327700 JEZ327669:JEZ327700 JOV327669:JOV327700 JYR327669:JYR327700 KIN327669:KIN327700 KSJ327669:KSJ327700 LCF327669:LCF327700 LMB327669:LMB327700 LVX327669:LVX327700 MFT327669:MFT327700 MPP327669:MPP327700 MZL327669:MZL327700 NJH327669:NJH327700 NTD327669:NTD327700 OCZ327669:OCZ327700 OMV327669:OMV327700 OWR327669:OWR327700 PGN327669:PGN327700 PQJ327669:PQJ327700 QAF327669:QAF327700 QKB327669:QKB327700 QTX327669:QTX327700 RDT327669:RDT327700 RNP327669:RNP327700 RXL327669:RXL327700 SHH327669:SHH327700 SRD327669:SRD327700 TAZ327669:TAZ327700 TKV327669:TKV327700 TUR327669:TUR327700 UEN327669:UEN327700 UOJ327669:UOJ327700 UYF327669:UYF327700 VIB327669:VIB327700 VRX327669:VRX327700 WBT327669:WBT327700 WLP327669:WLP327700 WVL327669:WVL327700 D393205:D393236 IZ393205:IZ393236 SV393205:SV393236 ACR393205:ACR393236 AMN393205:AMN393236 AWJ393205:AWJ393236 BGF393205:BGF393236 BQB393205:BQB393236 BZX393205:BZX393236 CJT393205:CJT393236 CTP393205:CTP393236 DDL393205:DDL393236 DNH393205:DNH393236 DXD393205:DXD393236 EGZ393205:EGZ393236 EQV393205:EQV393236 FAR393205:FAR393236 FKN393205:FKN393236 FUJ393205:FUJ393236 GEF393205:GEF393236 GOB393205:GOB393236 GXX393205:GXX393236 HHT393205:HHT393236 HRP393205:HRP393236 IBL393205:IBL393236 ILH393205:ILH393236 IVD393205:IVD393236 JEZ393205:JEZ393236 JOV393205:JOV393236 JYR393205:JYR393236 KIN393205:KIN393236 KSJ393205:KSJ393236 LCF393205:LCF393236 LMB393205:LMB393236 LVX393205:LVX393236 MFT393205:MFT393236 MPP393205:MPP393236 MZL393205:MZL393236 NJH393205:NJH393236 NTD393205:NTD393236 OCZ393205:OCZ393236 OMV393205:OMV393236 OWR393205:OWR393236 PGN393205:PGN393236 PQJ393205:PQJ393236 QAF393205:QAF393236 QKB393205:QKB393236 QTX393205:QTX393236 RDT393205:RDT393236 RNP393205:RNP393236 RXL393205:RXL393236 SHH393205:SHH393236 SRD393205:SRD393236 TAZ393205:TAZ393236 TKV393205:TKV393236 TUR393205:TUR393236 UEN393205:UEN393236 UOJ393205:UOJ393236 UYF393205:UYF393236 VIB393205:VIB393236 VRX393205:VRX393236 WBT393205:WBT393236 WLP393205:WLP393236 WVL393205:WVL393236 D458741:D458772 IZ458741:IZ458772 SV458741:SV458772 ACR458741:ACR458772 AMN458741:AMN458772 AWJ458741:AWJ458772 BGF458741:BGF458772 BQB458741:BQB458772 BZX458741:BZX458772 CJT458741:CJT458772 CTP458741:CTP458772 DDL458741:DDL458772 DNH458741:DNH458772 DXD458741:DXD458772 EGZ458741:EGZ458772 EQV458741:EQV458772 FAR458741:FAR458772 FKN458741:FKN458772 FUJ458741:FUJ458772 GEF458741:GEF458772 GOB458741:GOB458772 GXX458741:GXX458772 HHT458741:HHT458772 HRP458741:HRP458772 IBL458741:IBL458772 ILH458741:ILH458772 IVD458741:IVD458772 JEZ458741:JEZ458772 JOV458741:JOV458772 JYR458741:JYR458772 KIN458741:KIN458772 KSJ458741:KSJ458772 LCF458741:LCF458772 LMB458741:LMB458772 LVX458741:LVX458772 MFT458741:MFT458772 MPP458741:MPP458772 MZL458741:MZL458772 NJH458741:NJH458772 NTD458741:NTD458772 OCZ458741:OCZ458772 OMV458741:OMV458772 OWR458741:OWR458772 PGN458741:PGN458772 PQJ458741:PQJ458772 QAF458741:QAF458772 QKB458741:QKB458772 QTX458741:QTX458772 RDT458741:RDT458772 RNP458741:RNP458772 RXL458741:RXL458772 SHH458741:SHH458772 SRD458741:SRD458772 TAZ458741:TAZ458772 TKV458741:TKV458772 TUR458741:TUR458772 UEN458741:UEN458772 UOJ458741:UOJ458772 UYF458741:UYF458772 VIB458741:VIB458772 VRX458741:VRX458772 WBT458741:WBT458772 WLP458741:WLP458772 WVL458741:WVL458772 D524277:D524308 IZ524277:IZ524308 SV524277:SV524308 ACR524277:ACR524308 AMN524277:AMN524308 AWJ524277:AWJ524308 BGF524277:BGF524308 BQB524277:BQB524308 BZX524277:BZX524308 CJT524277:CJT524308 CTP524277:CTP524308 DDL524277:DDL524308 DNH524277:DNH524308 DXD524277:DXD524308 EGZ524277:EGZ524308 EQV524277:EQV524308 FAR524277:FAR524308 FKN524277:FKN524308 FUJ524277:FUJ524308 GEF524277:GEF524308 GOB524277:GOB524308 GXX524277:GXX524308 HHT524277:HHT524308 HRP524277:HRP524308 IBL524277:IBL524308 ILH524277:ILH524308 IVD524277:IVD524308 JEZ524277:JEZ524308 JOV524277:JOV524308 JYR524277:JYR524308 KIN524277:KIN524308 KSJ524277:KSJ524308 LCF524277:LCF524308 LMB524277:LMB524308 LVX524277:LVX524308 MFT524277:MFT524308 MPP524277:MPP524308 MZL524277:MZL524308 NJH524277:NJH524308 NTD524277:NTD524308 OCZ524277:OCZ524308 OMV524277:OMV524308 OWR524277:OWR524308 PGN524277:PGN524308 PQJ524277:PQJ524308 QAF524277:QAF524308 QKB524277:QKB524308 QTX524277:QTX524308 RDT524277:RDT524308 RNP524277:RNP524308 RXL524277:RXL524308 SHH524277:SHH524308 SRD524277:SRD524308 TAZ524277:TAZ524308 TKV524277:TKV524308 TUR524277:TUR524308 UEN524277:UEN524308 UOJ524277:UOJ524308 UYF524277:UYF524308 VIB524277:VIB524308 VRX524277:VRX524308 WBT524277:WBT524308 WLP524277:WLP524308 WVL524277:WVL524308 D589813:D589844 IZ589813:IZ589844 SV589813:SV589844 ACR589813:ACR589844 AMN589813:AMN589844 AWJ589813:AWJ589844 BGF589813:BGF589844 BQB589813:BQB589844 BZX589813:BZX589844 CJT589813:CJT589844 CTP589813:CTP589844 DDL589813:DDL589844 DNH589813:DNH589844 DXD589813:DXD589844 EGZ589813:EGZ589844 EQV589813:EQV589844 FAR589813:FAR589844 FKN589813:FKN589844 FUJ589813:FUJ589844 GEF589813:GEF589844 GOB589813:GOB589844 GXX589813:GXX589844 HHT589813:HHT589844 HRP589813:HRP589844 IBL589813:IBL589844 ILH589813:ILH589844 IVD589813:IVD589844 JEZ589813:JEZ589844 JOV589813:JOV589844 JYR589813:JYR589844 KIN589813:KIN589844 KSJ589813:KSJ589844 LCF589813:LCF589844 LMB589813:LMB589844 LVX589813:LVX589844 MFT589813:MFT589844 MPP589813:MPP589844 MZL589813:MZL589844 NJH589813:NJH589844 NTD589813:NTD589844 OCZ589813:OCZ589844 OMV589813:OMV589844 OWR589813:OWR589844 PGN589813:PGN589844 PQJ589813:PQJ589844 QAF589813:QAF589844 QKB589813:QKB589844 QTX589813:QTX589844 RDT589813:RDT589844 RNP589813:RNP589844 RXL589813:RXL589844 SHH589813:SHH589844 SRD589813:SRD589844 TAZ589813:TAZ589844 TKV589813:TKV589844 TUR589813:TUR589844 UEN589813:UEN589844 UOJ589813:UOJ589844 UYF589813:UYF589844 VIB589813:VIB589844 VRX589813:VRX589844 WBT589813:WBT589844 WLP589813:WLP589844 WVL589813:WVL589844 D655349:D655380 IZ655349:IZ655380 SV655349:SV655380 ACR655349:ACR655380 AMN655349:AMN655380 AWJ655349:AWJ655380 BGF655349:BGF655380 BQB655349:BQB655380 BZX655349:BZX655380 CJT655349:CJT655380 CTP655349:CTP655380 DDL655349:DDL655380 DNH655349:DNH655380 DXD655349:DXD655380 EGZ655349:EGZ655380 EQV655349:EQV655380 FAR655349:FAR655380 FKN655349:FKN655380 FUJ655349:FUJ655380 GEF655349:GEF655380 GOB655349:GOB655380 GXX655349:GXX655380 HHT655349:HHT655380 HRP655349:HRP655380 IBL655349:IBL655380 ILH655349:ILH655380 IVD655349:IVD655380 JEZ655349:JEZ655380 JOV655349:JOV655380 JYR655349:JYR655380 KIN655349:KIN655380 KSJ655349:KSJ655380 LCF655349:LCF655380 LMB655349:LMB655380 LVX655349:LVX655380 MFT655349:MFT655380 MPP655349:MPP655380 MZL655349:MZL655380 NJH655349:NJH655380 NTD655349:NTD655380 OCZ655349:OCZ655380 OMV655349:OMV655380 OWR655349:OWR655380 PGN655349:PGN655380 PQJ655349:PQJ655380 QAF655349:QAF655380 QKB655349:QKB655380 QTX655349:QTX655380 RDT655349:RDT655380 RNP655349:RNP655380 RXL655349:RXL655380 SHH655349:SHH655380 SRD655349:SRD655380 TAZ655349:TAZ655380 TKV655349:TKV655380 TUR655349:TUR655380 UEN655349:UEN655380 UOJ655349:UOJ655380 UYF655349:UYF655380 VIB655349:VIB655380 VRX655349:VRX655380 WBT655349:WBT655380 WLP655349:WLP655380 WVL655349:WVL655380 D720885:D720916 IZ720885:IZ720916 SV720885:SV720916 ACR720885:ACR720916 AMN720885:AMN720916 AWJ720885:AWJ720916 BGF720885:BGF720916 BQB720885:BQB720916 BZX720885:BZX720916 CJT720885:CJT720916 CTP720885:CTP720916 DDL720885:DDL720916 DNH720885:DNH720916 DXD720885:DXD720916 EGZ720885:EGZ720916 EQV720885:EQV720916 FAR720885:FAR720916 FKN720885:FKN720916 FUJ720885:FUJ720916 GEF720885:GEF720916 GOB720885:GOB720916 GXX720885:GXX720916 HHT720885:HHT720916 HRP720885:HRP720916 IBL720885:IBL720916 ILH720885:ILH720916 IVD720885:IVD720916 JEZ720885:JEZ720916 JOV720885:JOV720916 JYR720885:JYR720916 KIN720885:KIN720916 KSJ720885:KSJ720916 LCF720885:LCF720916 LMB720885:LMB720916 LVX720885:LVX720916 MFT720885:MFT720916 MPP720885:MPP720916 MZL720885:MZL720916 NJH720885:NJH720916 NTD720885:NTD720916 OCZ720885:OCZ720916 OMV720885:OMV720916 OWR720885:OWR720916 PGN720885:PGN720916 PQJ720885:PQJ720916 QAF720885:QAF720916 QKB720885:QKB720916 QTX720885:QTX720916 RDT720885:RDT720916 RNP720885:RNP720916 RXL720885:RXL720916 SHH720885:SHH720916 SRD720885:SRD720916 TAZ720885:TAZ720916 TKV720885:TKV720916 TUR720885:TUR720916 UEN720885:UEN720916 UOJ720885:UOJ720916 UYF720885:UYF720916 VIB720885:VIB720916 VRX720885:VRX720916 WBT720885:WBT720916 WLP720885:WLP720916 WVL720885:WVL720916 D786421:D786452 IZ786421:IZ786452 SV786421:SV786452 ACR786421:ACR786452 AMN786421:AMN786452 AWJ786421:AWJ786452 BGF786421:BGF786452 BQB786421:BQB786452 BZX786421:BZX786452 CJT786421:CJT786452 CTP786421:CTP786452 DDL786421:DDL786452 DNH786421:DNH786452 DXD786421:DXD786452 EGZ786421:EGZ786452 EQV786421:EQV786452 FAR786421:FAR786452 FKN786421:FKN786452 FUJ786421:FUJ786452 GEF786421:GEF786452 GOB786421:GOB786452 GXX786421:GXX786452 HHT786421:HHT786452 HRP786421:HRP786452 IBL786421:IBL786452 ILH786421:ILH786452 IVD786421:IVD786452 JEZ786421:JEZ786452 JOV786421:JOV786452 JYR786421:JYR786452 KIN786421:KIN786452 KSJ786421:KSJ786452 LCF786421:LCF786452 LMB786421:LMB786452 LVX786421:LVX786452 MFT786421:MFT786452 MPP786421:MPP786452 MZL786421:MZL786452 NJH786421:NJH786452 NTD786421:NTD786452 OCZ786421:OCZ786452 OMV786421:OMV786452 OWR786421:OWR786452 PGN786421:PGN786452 PQJ786421:PQJ786452 QAF786421:QAF786452 QKB786421:QKB786452 QTX786421:QTX786452 RDT786421:RDT786452 RNP786421:RNP786452 RXL786421:RXL786452 SHH786421:SHH786452 SRD786421:SRD786452 TAZ786421:TAZ786452 TKV786421:TKV786452 TUR786421:TUR786452 UEN786421:UEN786452 UOJ786421:UOJ786452 UYF786421:UYF786452 VIB786421:VIB786452 VRX786421:VRX786452 WBT786421:WBT786452 WLP786421:WLP786452 WVL786421:WVL786452 D851957:D851988 IZ851957:IZ851988 SV851957:SV851988 ACR851957:ACR851988 AMN851957:AMN851988 AWJ851957:AWJ851988 BGF851957:BGF851988 BQB851957:BQB851988 BZX851957:BZX851988 CJT851957:CJT851988 CTP851957:CTP851988 DDL851957:DDL851988 DNH851957:DNH851988 DXD851957:DXD851988 EGZ851957:EGZ851988 EQV851957:EQV851988 FAR851957:FAR851988 FKN851957:FKN851988 FUJ851957:FUJ851988 GEF851957:GEF851988 GOB851957:GOB851988 GXX851957:GXX851988 HHT851957:HHT851988 HRP851957:HRP851988 IBL851957:IBL851988 ILH851957:ILH851988 IVD851957:IVD851988 JEZ851957:JEZ851988 JOV851957:JOV851988 JYR851957:JYR851988 KIN851957:KIN851988 KSJ851957:KSJ851988 LCF851957:LCF851988 LMB851957:LMB851988 LVX851957:LVX851988 MFT851957:MFT851988 MPP851957:MPP851988 MZL851957:MZL851988 NJH851957:NJH851988 NTD851957:NTD851988 OCZ851957:OCZ851988 OMV851957:OMV851988 OWR851957:OWR851988 PGN851957:PGN851988 PQJ851957:PQJ851988 QAF851957:QAF851988 QKB851957:QKB851988 QTX851957:QTX851988 RDT851957:RDT851988 RNP851957:RNP851988 RXL851957:RXL851988 SHH851957:SHH851988 SRD851957:SRD851988 TAZ851957:TAZ851988 TKV851957:TKV851988 TUR851957:TUR851988 UEN851957:UEN851988 UOJ851957:UOJ851988 UYF851957:UYF851988 VIB851957:VIB851988 VRX851957:VRX851988 WBT851957:WBT851988 WLP851957:WLP851988 WVL851957:WVL851988 D917493:D917524 IZ917493:IZ917524 SV917493:SV917524 ACR917493:ACR917524 AMN917493:AMN917524 AWJ917493:AWJ917524 BGF917493:BGF917524 BQB917493:BQB917524 BZX917493:BZX917524 CJT917493:CJT917524 CTP917493:CTP917524 DDL917493:DDL917524 DNH917493:DNH917524 DXD917493:DXD917524 EGZ917493:EGZ917524 EQV917493:EQV917524 FAR917493:FAR917524 FKN917493:FKN917524 FUJ917493:FUJ917524 GEF917493:GEF917524 GOB917493:GOB917524 GXX917493:GXX917524 HHT917493:HHT917524 HRP917493:HRP917524 IBL917493:IBL917524 ILH917493:ILH917524 IVD917493:IVD917524 JEZ917493:JEZ917524 JOV917493:JOV917524 JYR917493:JYR917524 KIN917493:KIN917524 KSJ917493:KSJ917524 LCF917493:LCF917524 LMB917493:LMB917524 LVX917493:LVX917524 MFT917493:MFT917524 MPP917493:MPP917524 MZL917493:MZL917524 NJH917493:NJH917524 NTD917493:NTD917524 OCZ917493:OCZ917524 OMV917493:OMV917524 OWR917493:OWR917524 PGN917493:PGN917524 PQJ917493:PQJ917524 QAF917493:QAF917524 QKB917493:QKB917524 QTX917493:QTX917524 RDT917493:RDT917524 RNP917493:RNP917524 RXL917493:RXL917524 SHH917493:SHH917524 SRD917493:SRD917524 TAZ917493:TAZ917524 TKV917493:TKV917524 TUR917493:TUR917524 UEN917493:UEN917524 UOJ917493:UOJ917524 UYF917493:UYF917524 VIB917493:VIB917524 VRX917493:VRX917524 WBT917493:WBT917524 WLP917493:WLP917524 WVL917493:WVL917524 D983029:D983060 IZ983029:IZ983060 SV983029:SV983060 ACR983029:ACR983060 AMN983029:AMN983060 AWJ983029:AWJ983060 BGF983029:BGF983060 BQB983029:BQB983060 BZX983029:BZX983060 CJT983029:CJT983060 CTP983029:CTP983060 DDL983029:DDL983060 DNH983029:DNH983060 DXD983029:DXD983060 EGZ983029:EGZ983060 EQV983029:EQV983060 FAR983029:FAR983060 FKN983029:FKN983060 FUJ983029:FUJ983060 GEF983029:GEF983060 GOB983029:GOB983060 GXX983029:GXX983060 HHT983029:HHT983060 HRP983029:HRP983060 IBL983029:IBL983060 ILH983029:ILH983060 IVD983029:IVD983060 JEZ983029:JEZ983060 JOV983029:JOV983060 JYR983029:JYR983060 KIN983029:KIN983060 KSJ983029:KSJ983060 LCF983029:LCF983060 LMB983029:LMB983060 LVX983029:LVX983060 MFT983029:MFT983060 MPP983029:MPP983060 MZL983029:MZL983060 NJH983029:NJH983060 NTD983029:NTD983060 OCZ983029:OCZ983060 OMV983029:OMV983060 OWR983029:OWR983060 PGN983029:PGN983060 PQJ983029:PQJ983060 QAF983029:QAF983060 QKB983029:QKB983060 QTX983029:QTX983060 RDT983029:RDT983060 RNP983029:RNP983060 RXL983029:RXL983060 SHH983029:SHH983060 SRD983029:SRD983060 TAZ983029:TAZ983060 TKV983029:TKV983060 TUR983029:TUR983060 UEN983029:UEN983060 UOJ983029:UOJ983060 UYF983029:UYF983060 VIB983029:VIB983060 VRX983029:VRX983060 WBT983029:WBT983060 WLP983029:WLP983060 WVL983029:WVL983060 D52 IZ52 SV52 ACR52 AMN52 AWJ52 BGF52 BQB52 BZX52 CJT52 CTP52 DDL52 DNH52 DXD52 EGZ52 EQV52 FAR52 FKN52 FUJ52 GEF52 GOB52 GXX52 HHT52 HRP52 IBL52 ILH52 IVD52 JEZ52 JOV52 JYR52 KIN52 KSJ52 LCF52 LMB52 LVX52 MFT52 MPP52 MZL52 NJH52 NTD52 OCZ52 OMV52 OWR52 PGN52 PQJ52 QAF52 QKB52 QTX52 RDT52 RNP52 RXL52 SHH52 SRD52 TAZ52 TKV52 TUR52 UEN52 UOJ52 UYF52 VIB52 VRX52 WBT52 WLP52 WVL52 D65583 IZ65583 SV65583 ACR65583 AMN65583 AWJ65583 BGF65583 BQB65583 BZX65583 CJT65583 CTP65583 DDL65583 DNH65583 DXD65583 EGZ65583 EQV65583 FAR65583 FKN65583 FUJ65583 GEF65583 GOB65583 GXX65583 HHT65583 HRP65583 IBL65583 ILH65583 IVD65583 JEZ65583 JOV65583 JYR65583 KIN65583 KSJ65583 LCF65583 LMB65583 LVX65583 MFT65583 MPP65583 MZL65583 NJH65583 NTD65583 OCZ65583 OMV65583 OWR65583 PGN65583 PQJ65583 QAF65583 QKB65583 QTX65583 RDT65583 RNP65583 RXL65583 SHH65583 SRD65583 TAZ65583 TKV65583 TUR65583 UEN65583 UOJ65583 UYF65583 VIB65583 VRX65583 WBT65583 WLP65583 WVL65583 D131119 IZ131119 SV131119 ACR131119 AMN131119 AWJ131119 BGF131119 BQB131119 BZX131119 CJT131119 CTP131119 DDL131119 DNH131119 DXD131119 EGZ131119 EQV131119 FAR131119 FKN131119 FUJ131119 GEF131119 GOB131119 GXX131119 HHT131119 HRP131119 IBL131119 ILH131119 IVD131119 JEZ131119 JOV131119 JYR131119 KIN131119 KSJ131119 LCF131119 LMB131119 LVX131119 MFT131119 MPP131119 MZL131119 NJH131119 NTD131119 OCZ131119 OMV131119 OWR131119 PGN131119 PQJ131119 QAF131119 QKB131119 QTX131119 RDT131119 RNP131119 RXL131119 SHH131119 SRD131119 TAZ131119 TKV131119 TUR131119 UEN131119 UOJ131119 UYF131119 VIB131119 VRX131119 WBT131119 WLP131119 WVL131119 D196655 IZ196655 SV196655 ACR196655 AMN196655 AWJ196655 BGF196655 BQB196655 BZX196655 CJT196655 CTP196655 DDL196655 DNH196655 DXD196655 EGZ196655 EQV196655 FAR196655 FKN196655 FUJ196655 GEF196655 GOB196655 GXX196655 HHT196655 HRP196655 IBL196655 ILH196655 IVD196655 JEZ196655 JOV196655 JYR196655 KIN196655 KSJ196655 LCF196655 LMB196655 LVX196655 MFT196655 MPP196655 MZL196655 NJH196655 NTD196655 OCZ196655 OMV196655 OWR196655 PGN196655 PQJ196655 QAF196655 QKB196655 QTX196655 RDT196655 RNP196655 RXL196655 SHH196655 SRD196655 TAZ196655 TKV196655 TUR196655 UEN196655 UOJ196655 UYF196655 VIB196655 VRX196655 WBT196655 WLP196655 WVL196655 D262191 IZ262191 SV262191 ACR262191 AMN262191 AWJ262191 BGF262191 BQB262191 BZX262191 CJT262191 CTP262191 DDL262191 DNH262191 DXD262191 EGZ262191 EQV262191 FAR262191 FKN262191 FUJ262191 GEF262191 GOB262191 GXX262191 HHT262191 HRP262191 IBL262191 ILH262191 IVD262191 JEZ262191 JOV262191 JYR262191 KIN262191 KSJ262191 LCF262191 LMB262191 LVX262191 MFT262191 MPP262191 MZL262191 NJH262191 NTD262191 OCZ262191 OMV262191 OWR262191 PGN262191 PQJ262191 QAF262191 QKB262191 QTX262191 RDT262191 RNP262191 RXL262191 SHH262191 SRD262191 TAZ262191 TKV262191 TUR262191 UEN262191 UOJ262191 UYF262191 VIB262191 VRX262191 WBT262191 WLP262191 WVL262191 D327727 IZ327727 SV327727 ACR327727 AMN327727 AWJ327727 BGF327727 BQB327727 BZX327727 CJT327727 CTP327727 DDL327727 DNH327727 DXD327727 EGZ327727 EQV327727 FAR327727 FKN327727 FUJ327727 GEF327727 GOB327727 GXX327727 HHT327727 HRP327727 IBL327727 ILH327727 IVD327727 JEZ327727 JOV327727 JYR327727 KIN327727 KSJ327727 LCF327727 LMB327727 LVX327727 MFT327727 MPP327727 MZL327727 NJH327727 NTD327727 OCZ327727 OMV327727 OWR327727 PGN327727 PQJ327727 QAF327727 QKB327727 QTX327727 RDT327727 RNP327727 RXL327727 SHH327727 SRD327727 TAZ327727 TKV327727 TUR327727 UEN327727 UOJ327727 UYF327727 VIB327727 VRX327727 WBT327727 WLP327727 WVL327727 D393263 IZ393263 SV393263 ACR393263 AMN393263 AWJ393263 BGF393263 BQB393263 BZX393263 CJT393263 CTP393263 DDL393263 DNH393263 DXD393263 EGZ393263 EQV393263 FAR393263 FKN393263 FUJ393263 GEF393263 GOB393263 GXX393263 HHT393263 HRP393263 IBL393263 ILH393263 IVD393263 JEZ393263 JOV393263 JYR393263 KIN393263 KSJ393263 LCF393263 LMB393263 LVX393263 MFT393263 MPP393263 MZL393263 NJH393263 NTD393263 OCZ393263 OMV393263 OWR393263 PGN393263 PQJ393263 QAF393263 QKB393263 QTX393263 RDT393263 RNP393263 RXL393263 SHH393263 SRD393263 TAZ393263 TKV393263 TUR393263 UEN393263 UOJ393263 UYF393263 VIB393263 VRX393263 WBT393263 WLP393263 WVL393263 D458799 IZ458799 SV458799 ACR458799 AMN458799 AWJ458799 BGF458799 BQB458799 BZX458799 CJT458799 CTP458799 DDL458799 DNH458799 DXD458799 EGZ458799 EQV458799 FAR458799 FKN458799 FUJ458799 GEF458799 GOB458799 GXX458799 HHT458799 HRP458799 IBL458799 ILH458799 IVD458799 JEZ458799 JOV458799 JYR458799 KIN458799 KSJ458799 LCF458799 LMB458799 LVX458799 MFT458799 MPP458799 MZL458799 NJH458799 NTD458799 OCZ458799 OMV458799 OWR458799 PGN458799 PQJ458799 QAF458799 QKB458799 QTX458799 RDT458799 RNP458799 RXL458799 SHH458799 SRD458799 TAZ458799 TKV458799 TUR458799 UEN458799 UOJ458799 UYF458799 VIB458799 VRX458799 WBT458799 WLP458799 WVL458799 D524335 IZ524335 SV524335 ACR524335 AMN524335 AWJ524335 BGF524335 BQB524335 BZX524335 CJT524335 CTP524335 DDL524335 DNH524335 DXD524335 EGZ524335 EQV524335 FAR524335 FKN524335 FUJ524335 GEF524335 GOB524335 GXX524335 HHT524335 HRP524335 IBL524335 ILH524335 IVD524335 JEZ524335 JOV524335 JYR524335 KIN524335 KSJ524335 LCF524335 LMB524335 LVX524335 MFT524335 MPP524335 MZL524335 NJH524335 NTD524335 OCZ524335 OMV524335 OWR524335 PGN524335 PQJ524335 QAF524335 QKB524335 QTX524335 RDT524335 RNP524335 RXL524335 SHH524335 SRD524335 TAZ524335 TKV524335 TUR524335 UEN524335 UOJ524335 UYF524335 VIB524335 VRX524335 WBT524335 WLP524335 WVL524335 D589871 IZ589871 SV589871 ACR589871 AMN589871 AWJ589871 BGF589871 BQB589871 BZX589871 CJT589871 CTP589871 DDL589871 DNH589871 DXD589871 EGZ589871 EQV589871 FAR589871 FKN589871 FUJ589871 GEF589871 GOB589871 GXX589871 HHT589871 HRP589871 IBL589871 ILH589871 IVD589871 JEZ589871 JOV589871 JYR589871 KIN589871 KSJ589871 LCF589871 LMB589871 LVX589871 MFT589871 MPP589871 MZL589871 NJH589871 NTD589871 OCZ589871 OMV589871 OWR589871 PGN589871 PQJ589871 QAF589871 QKB589871 QTX589871 RDT589871 RNP589871 RXL589871 SHH589871 SRD589871 TAZ589871 TKV589871 TUR589871 UEN589871 UOJ589871 UYF589871 VIB589871 VRX589871 WBT589871 WLP589871 WVL589871 D655407 IZ655407 SV655407 ACR655407 AMN655407 AWJ655407 BGF655407 BQB655407 BZX655407 CJT655407 CTP655407 DDL655407 DNH655407 DXD655407 EGZ655407 EQV655407 FAR655407 FKN655407 FUJ655407 GEF655407 GOB655407 GXX655407 HHT655407 HRP655407 IBL655407 ILH655407 IVD655407 JEZ655407 JOV655407 JYR655407 KIN655407 KSJ655407 LCF655407 LMB655407 LVX655407 MFT655407 MPP655407 MZL655407 NJH655407 NTD655407 OCZ655407 OMV655407 OWR655407 PGN655407 PQJ655407 QAF655407 QKB655407 QTX655407 RDT655407 RNP655407 RXL655407 SHH655407 SRD655407 TAZ655407 TKV655407 TUR655407 UEN655407 UOJ655407 UYF655407 VIB655407 VRX655407 WBT655407 WLP655407 WVL655407 D720943 IZ720943 SV720943 ACR720943 AMN720943 AWJ720943 BGF720943 BQB720943 BZX720943 CJT720943 CTP720943 DDL720943 DNH720943 DXD720943 EGZ720943 EQV720943 FAR720943 FKN720943 FUJ720943 GEF720943 GOB720943 GXX720943 HHT720943 HRP720943 IBL720943 ILH720943 IVD720943 JEZ720943 JOV720943 JYR720943 KIN720943 KSJ720943 LCF720943 LMB720943 LVX720943 MFT720943 MPP720943 MZL720943 NJH720943 NTD720943 OCZ720943 OMV720943 OWR720943 PGN720943 PQJ720943 QAF720943 QKB720943 QTX720943 RDT720943 RNP720943 RXL720943 SHH720943 SRD720943 TAZ720943 TKV720943 TUR720943 UEN720943 UOJ720943 UYF720943 VIB720943 VRX720943 WBT720943 WLP720943 WVL720943 D786479 IZ786479 SV786479 ACR786479 AMN786479 AWJ786479 BGF786479 BQB786479 BZX786479 CJT786479 CTP786479 DDL786479 DNH786479 DXD786479 EGZ786479 EQV786479 FAR786479 FKN786479 FUJ786479 GEF786479 GOB786479 GXX786479 HHT786479 HRP786479 IBL786479 ILH786479 IVD786479 JEZ786479 JOV786479 JYR786479 KIN786479 KSJ786479 LCF786479 LMB786479 LVX786479 MFT786479 MPP786479 MZL786479 NJH786479 NTD786479 OCZ786479 OMV786479 OWR786479 PGN786479 PQJ786479 QAF786479 QKB786479 QTX786479 RDT786479 RNP786479 RXL786479 SHH786479 SRD786479 TAZ786479 TKV786479 TUR786479 UEN786479 UOJ786479 UYF786479 VIB786479 VRX786479 WBT786479 WLP786479 WVL786479 D852015 IZ852015 SV852015 ACR852015 AMN852015 AWJ852015 BGF852015 BQB852015 BZX852015 CJT852015 CTP852015 DDL852015 DNH852015 DXD852015 EGZ852015 EQV852015 FAR852015 FKN852015 FUJ852015 GEF852015 GOB852015 GXX852015 HHT852015 HRP852015 IBL852015 ILH852015 IVD852015 JEZ852015 JOV852015 JYR852015 KIN852015 KSJ852015 LCF852015 LMB852015 LVX852015 MFT852015 MPP852015 MZL852015 NJH852015 NTD852015 OCZ852015 OMV852015 OWR852015 PGN852015 PQJ852015 QAF852015 QKB852015 QTX852015 RDT852015 RNP852015 RXL852015 SHH852015 SRD852015 TAZ852015 TKV852015 TUR852015 UEN852015 UOJ852015 UYF852015 VIB852015 VRX852015 WBT852015 WLP852015 WVL852015 D917551 IZ917551 SV917551 ACR917551 AMN917551 AWJ917551 BGF917551 BQB917551 BZX917551 CJT917551 CTP917551 DDL917551 DNH917551 DXD917551 EGZ917551 EQV917551 FAR917551 FKN917551 FUJ917551 GEF917551 GOB917551 GXX917551 HHT917551 HRP917551 IBL917551 ILH917551 IVD917551 JEZ917551 JOV917551 JYR917551 KIN917551 KSJ917551 LCF917551 LMB917551 LVX917551 MFT917551 MPP917551 MZL917551 NJH917551 NTD917551 OCZ917551 OMV917551 OWR917551 PGN917551 PQJ917551 QAF917551 QKB917551 QTX917551 RDT917551 RNP917551 RXL917551 SHH917551 SRD917551 TAZ917551 TKV917551 TUR917551 UEN917551 UOJ917551 UYF917551 VIB917551 VRX917551 WBT917551 WLP917551 WVL917551 D983087 IZ983087 SV983087 ACR983087 AMN983087 AWJ983087 BGF983087 BQB983087 BZX983087 CJT983087 CTP983087 DDL983087 DNH983087 DXD983087 EGZ983087 EQV983087 FAR983087 FKN983087 FUJ983087 GEF983087 GOB983087 GXX983087 HHT983087 HRP983087 IBL983087 ILH983087 IVD983087 JEZ983087 JOV983087 JYR983087 KIN983087 KSJ983087 LCF983087 LMB983087 LVX983087 MFT983087 MPP983087 MZL983087 NJH983087 NTD983087 OCZ983087 OMV983087 OWR983087 PGN983087 PQJ983087 QAF983087 QKB983087 QTX983087 RDT983087 RNP983087 RXL983087 SHH983087 SRD983087 TAZ983087 TKV983087 TUR983087 UEN983087 UOJ983087 UYF983087 VIB983087 VRX983087 WBT983087 WLP983087 WVL983087 WVL3:WVL25 WLP3:WLP25 WBT3:WBT25 VRX3:VRX25 VIB3:VIB25 UYF3:UYF25 UOJ3:UOJ25 UEN3:UEN25 TUR3:TUR25 TKV3:TKV25 TAZ3:TAZ25 SRD3:SRD25 SHH3:SHH25 RXL3:RXL25 RNP3:RNP25 RDT3:RDT25 QTX3:QTX25 QKB3:QKB25 QAF3:QAF25 PQJ3:PQJ25 PGN3:PGN25 OWR3:OWR25 OMV3:OMV25 OCZ3:OCZ25 NTD3:NTD25 NJH3:NJH25 MZL3:MZL25 MPP3:MPP25 MFT3:MFT25 LVX3:LVX25 LMB3:LMB25 LCF3:LCF25 KSJ3:KSJ25 KIN3:KIN25 JYR3:JYR25 JOV3:JOV25 JEZ3:JEZ25 IVD3:IVD25 ILH3:ILH25 IBL3:IBL25 HRP3:HRP25 HHT3:HHT25 GXX3:GXX25 GOB3:GOB25 GEF3:GEF25 FUJ3:FUJ25 FKN3:FKN25 FAR3:FAR25 EQV3:EQV25 EGZ3:EGZ25 DXD3:DXD25 DNH3:DNH25 DDL3:DDL25 CTP3:CTP25 CJT3:CJT25 BZX3:BZX25 BQB3:BQB25 BGF3:BGF25 AWJ3:AWJ25 AMN3:AMN25 ACR3:ACR25 SV3:SV25 IZ3:IZ25 D3:D25">
      <formula1>1</formula1>
      <formula2>100000000000</formula2>
    </dataValidation>
  </dataValidations>
  <pageMargins left="0.75" right="0.75" top="0.26" bottom="0.27" header="0.26" footer="0.27"/>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2"/>
  <sheetViews>
    <sheetView zoomScale="85" zoomScaleNormal="85" zoomScalePageLayoutView="85" workbookViewId="0">
      <pane xSplit="2" ySplit="2" topLeftCell="C3" activePane="bottomRight" state="frozen"/>
      <selection pane="topRight" activeCell="D1" sqref="D1"/>
      <selection pane="bottomLeft" activeCell="A3" sqref="A3"/>
      <selection pane="bottomRight" activeCell="B10" sqref="B10"/>
    </sheetView>
  </sheetViews>
  <sheetFormatPr defaultColWidth="8.85546875" defaultRowHeight="15"/>
  <cols>
    <col min="1" max="1" width="14.140625" bestFit="1" customWidth="1"/>
    <col min="2" max="2" width="11.42578125" bestFit="1" customWidth="1"/>
    <col min="3" max="4" width="20.140625" style="3" bestFit="1" customWidth="1"/>
  </cols>
  <sheetData>
    <row r="1" spans="1:4">
      <c r="B1" s="1"/>
      <c r="C1" s="2" t="s">
        <v>347</v>
      </c>
      <c r="D1" s="2" t="s">
        <v>348</v>
      </c>
    </row>
    <row r="2" spans="1:4" s="26" customFormat="1">
      <c r="A2" s="24" t="s">
        <v>350</v>
      </c>
      <c r="B2" s="24" t="s">
        <v>344</v>
      </c>
      <c r="C2" s="25" t="s">
        <v>349</v>
      </c>
      <c r="D2" s="25" t="s">
        <v>349</v>
      </c>
    </row>
    <row r="3" spans="1:4" s="10" customFormat="1">
      <c r="A3" s="4" t="s">
        <v>367</v>
      </c>
      <c r="B3" s="4" t="s">
        <v>52</v>
      </c>
      <c r="C3" s="62">
        <v>259.89999999999998</v>
      </c>
      <c r="D3" s="53">
        <v>238.48</v>
      </c>
    </row>
    <row r="4" spans="1:4">
      <c r="A4" s="33" t="s">
        <v>367</v>
      </c>
      <c r="B4" s="33" t="s">
        <v>50</v>
      </c>
      <c r="C4" s="61">
        <v>259.17</v>
      </c>
      <c r="D4" s="51">
        <v>237.81</v>
      </c>
    </row>
    <row r="5" spans="1:4">
      <c r="A5" s="7" t="s">
        <v>367</v>
      </c>
      <c r="B5" s="7" t="s">
        <v>48</v>
      </c>
      <c r="C5" s="63">
        <v>259.17</v>
      </c>
      <c r="D5" s="52">
        <v>237.81</v>
      </c>
    </row>
    <row r="6" spans="1:4">
      <c r="A6" s="33" t="s">
        <v>353</v>
      </c>
      <c r="B6" s="33" t="s">
        <v>291</v>
      </c>
      <c r="C6" s="64">
        <v>66.61</v>
      </c>
      <c r="D6" s="51">
        <v>61.12</v>
      </c>
    </row>
    <row r="7" spans="1:4">
      <c r="A7" s="33" t="s">
        <v>353</v>
      </c>
      <c r="B7" s="33" t="s">
        <v>293</v>
      </c>
      <c r="C7" s="64">
        <v>67.8</v>
      </c>
      <c r="D7" s="51">
        <v>62.21</v>
      </c>
    </row>
    <row r="8" spans="1:4">
      <c r="A8" s="33" t="s">
        <v>353</v>
      </c>
      <c r="B8" s="33" t="s">
        <v>295</v>
      </c>
      <c r="C8" s="64">
        <v>77.81</v>
      </c>
      <c r="D8" s="51">
        <v>71.39</v>
      </c>
    </row>
    <row r="9" spans="1:4">
      <c r="A9" s="33" t="s">
        <v>353</v>
      </c>
      <c r="B9" s="33" t="s">
        <v>315</v>
      </c>
      <c r="C9" s="64">
        <v>336.19</v>
      </c>
      <c r="D9" s="51">
        <v>308.48</v>
      </c>
    </row>
    <row r="10" spans="1:4">
      <c r="A10" s="33" t="s">
        <v>353</v>
      </c>
      <c r="B10" s="33" t="s">
        <v>330</v>
      </c>
      <c r="C10" s="64">
        <v>227.14</v>
      </c>
      <c r="D10" s="51">
        <v>208.42</v>
      </c>
    </row>
    <row r="11" spans="1:4">
      <c r="A11" s="33" t="s">
        <v>353</v>
      </c>
      <c r="B11" s="33" t="s">
        <v>332</v>
      </c>
      <c r="C11" s="64">
        <v>202.06</v>
      </c>
      <c r="D11" s="51">
        <v>185.4</v>
      </c>
    </row>
    <row r="12" spans="1:4">
      <c r="A12" s="54" t="s">
        <v>370</v>
      </c>
      <c r="B12" s="54" t="s">
        <v>334</v>
      </c>
      <c r="C12" s="51">
        <v>367</v>
      </c>
      <c r="D12" s="61">
        <v>336.81</v>
      </c>
    </row>
    <row r="13" spans="1:4">
      <c r="A13" s="54" t="s">
        <v>370</v>
      </c>
      <c r="B13" s="54" t="s">
        <v>336</v>
      </c>
      <c r="C13" s="51">
        <v>449.47</v>
      </c>
      <c r="D13" s="61">
        <v>412.42</v>
      </c>
    </row>
    <row r="14" spans="1:4">
      <c r="A14" s="54" t="s">
        <v>370</v>
      </c>
      <c r="B14" s="54" t="s">
        <v>338</v>
      </c>
      <c r="C14" s="51">
        <v>359.63</v>
      </c>
      <c r="D14" s="61">
        <v>329.99</v>
      </c>
    </row>
    <row r="15" spans="1:4">
      <c r="A15" s="85" t="s">
        <v>370</v>
      </c>
      <c r="B15" s="85" t="s">
        <v>340</v>
      </c>
      <c r="C15" s="52">
        <v>301.17</v>
      </c>
      <c r="D15" s="63">
        <v>276.35000000000002</v>
      </c>
    </row>
    <row r="19" spans="1:4">
      <c r="A19" t="s">
        <v>907</v>
      </c>
      <c r="B19" s="1"/>
      <c r="C19" s="2" t="s">
        <v>347</v>
      </c>
      <c r="D19" s="2" t="s">
        <v>348</v>
      </c>
    </row>
    <row r="20" spans="1:4">
      <c r="A20" s="143" t="s">
        <v>350</v>
      </c>
      <c r="B20" s="143" t="s">
        <v>344</v>
      </c>
      <c r="C20" s="158" t="s">
        <v>349</v>
      </c>
      <c r="D20" s="158" t="s">
        <v>349</v>
      </c>
    </row>
    <row r="21" spans="1:4">
      <c r="A21" s="4" t="s">
        <v>353</v>
      </c>
      <c r="B21" s="4" t="s">
        <v>283</v>
      </c>
      <c r="C21" s="80">
        <v>194.89981785063753</v>
      </c>
      <c r="D21" s="29">
        <v>178.63105175292151</v>
      </c>
    </row>
    <row r="22" spans="1:4">
      <c r="A22" s="88" t="s">
        <v>353</v>
      </c>
      <c r="B22" s="88" t="s">
        <v>305</v>
      </c>
      <c r="C22" s="81">
        <v>173.69763205828781</v>
      </c>
      <c r="D22" s="30">
        <v>159.19866444073458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09"/>
  <sheetViews>
    <sheetView zoomScale="85" zoomScaleNormal="85" zoomScalePageLayoutView="85" workbookViewId="0">
      <pane xSplit="2" ySplit="2" topLeftCell="C63" activePane="bottomRight" state="frozen"/>
      <selection pane="topRight" activeCell="D1" sqref="D1"/>
      <selection pane="bottomLeft" activeCell="A3" sqref="A3"/>
      <selection pane="bottomRight" activeCell="A83" sqref="A83"/>
    </sheetView>
  </sheetViews>
  <sheetFormatPr defaultColWidth="8.85546875" defaultRowHeight="15"/>
  <cols>
    <col min="1" max="2" width="10.7109375" customWidth="1"/>
    <col min="3" max="3" width="10.7109375" style="15" customWidth="1"/>
    <col min="4" max="5" width="10.7109375" customWidth="1"/>
    <col min="6" max="6" width="10.7109375" style="15" customWidth="1"/>
    <col min="10" max="10" width="45.7109375" bestFit="1" customWidth="1"/>
    <col min="11" max="13" width="9.28515625" style="15" customWidth="1"/>
    <col min="14" max="15" width="9.28515625" style="60" customWidth="1"/>
  </cols>
  <sheetData>
    <row r="1" spans="1:15">
      <c r="A1" s="1"/>
      <c r="B1" s="1"/>
      <c r="C1" s="11"/>
      <c r="F1" s="170"/>
      <c r="J1" s="1"/>
      <c r="K1" s="11"/>
      <c r="L1" s="166" t="s">
        <v>347</v>
      </c>
      <c r="M1" s="167"/>
      <c r="N1" s="168" t="s">
        <v>369</v>
      </c>
      <c r="O1" s="169"/>
    </row>
    <row r="2" spans="1:15" s="26" customFormat="1" ht="45">
      <c r="A2" s="24" t="s">
        <v>344</v>
      </c>
      <c r="B2" s="24"/>
      <c r="C2" s="23" t="s">
        <v>902</v>
      </c>
      <c r="D2" s="23" t="s">
        <v>928</v>
      </c>
      <c r="E2" s="56" t="s">
        <v>364</v>
      </c>
      <c r="F2" s="23" t="s">
        <v>359</v>
      </c>
      <c r="J2" s="24" t="s">
        <v>345</v>
      </c>
      <c r="K2" s="23" t="s">
        <v>358</v>
      </c>
      <c r="L2" s="23" t="s">
        <v>360</v>
      </c>
      <c r="M2" s="23" t="s">
        <v>361</v>
      </c>
      <c r="N2" s="56" t="s">
        <v>365</v>
      </c>
      <c r="O2" s="56" t="s">
        <v>364</v>
      </c>
    </row>
    <row r="3" spans="1:15">
      <c r="A3" s="33" t="s">
        <v>116</v>
      </c>
      <c r="B3" s="34" t="s">
        <v>927</v>
      </c>
      <c r="C3" s="34" t="s">
        <v>2</v>
      </c>
      <c r="D3" s="173">
        <v>89.33</v>
      </c>
      <c r="E3" s="173">
        <v>79</v>
      </c>
      <c r="F3" s="171">
        <v>0.32151898734177214</v>
      </c>
      <c r="J3" s="33" t="s">
        <v>117</v>
      </c>
      <c r="K3" s="34">
        <v>20</v>
      </c>
      <c r="L3" s="42">
        <v>4.4666666666666668</v>
      </c>
      <c r="M3" s="27">
        <v>89.333333333333343</v>
      </c>
      <c r="N3" s="71">
        <v>3.95</v>
      </c>
      <c r="O3" s="31">
        <v>79</v>
      </c>
    </row>
    <row r="4" spans="1:15">
      <c r="A4" s="33" t="s">
        <v>118</v>
      </c>
      <c r="B4" s="34" t="s">
        <v>927</v>
      </c>
      <c r="C4" s="34" t="s">
        <v>2</v>
      </c>
      <c r="D4" s="173">
        <v>89.33</v>
      </c>
      <c r="E4" s="173">
        <v>79</v>
      </c>
      <c r="F4" s="171">
        <v>0.32151898734177214</v>
      </c>
      <c r="J4" s="33" t="s">
        <v>119</v>
      </c>
      <c r="K4" s="34">
        <v>20</v>
      </c>
      <c r="L4" s="42">
        <v>4.4666666666666668</v>
      </c>
      <c r="M4" s="27">
        <v>89.333333333333343</v>
      </c>
      <c r="N4" s="71">
        <v>3.95</v>
      </c>
      <c r="O4" s="31">
        <v>79</v>
      </c>
    </row>
    <row r="5" spans="1:15">
      <c r="A5" s="33" t="s">
        <v>120</v>
      </c>
      <c r="B5" s="34" t="s">
        <v>927</v>
      </c>
      <c r="C5" s="34" t="s">
        <v>2</v>
      </c>
      <c r="D5" s="173">
        <v>89.33</v>
      </c>
      <c r="E5" s="173">
        <v>79</v>
      </c>
      <c r="F5" s="171">
        <v>0.32151898734177214</v>
      </c>
      <c r="J5" s="33" t="s">
        <v>121</v>
      </c>
      <c r="K5" s="34">
        <v>20</v>
      </c>
      <c r="L5" s="42">
        <v>4.4666666666666668</v>
      </c>
      <c r="M5" s="27">
        <v>89.333333333333343</v>
      </c>
      <c r="N5" s="71">
        <v>3.95</v>
      </c>
      <c r="O5" s="31">
        <v>79</v>
      </c>
    </row>
    <row r="6" spans="1:15">
      <c r="A6" s="33" t="s">
        <v>122</v>
      </c>
      <c r="B6" s="34" t="s">
        <v>927</v>
      </c>
      <c r="C6" s="34" t="s">
        <v>2</v>
      </c>
      <c r="D6" s="173">
        <v>89.33</v>
      </c>
      <c r="E6" s="173">
        <v>79</v>
      </c>
      <c r="F6" s="171">
        <v>0.32151898734177214</v>
      </c>
      <c r="J6" s="33" t="s">
        <v>123</v>
      </c>
      <c r="K6" s="34">
        <v>20</v>
      </c>
      <c r="L6" s="42">
        <v>4.4666666666666668</v>
      </c>
      <c r="M6" s="27">
        <v>89.333333333333343</v>
      </c>
      <c r="N6" s="71">
        <v>3.95</v>
      </c>
      <c r="O6" s="31">
        <v>79</v>
      </c>
    </row>
    <row r="7" spans="1:15">
      <c r="A7" s="33" t="s">
        <v>124</v>
      </c>
      <c r="B7" s="34" t="s">
        <v>927</v>
      </c>
      <c r="C7" s="34" t="s">
        <v>2</v>
      </c>
      <c r="D7" s="173">
        <v>89.5</v>
      </c>
      <c r="E7" s="173">
        <v>79</v>
      </c>
      <c r="F7" s="171">
        <v>0.32025316455696207</v>
      </c>
      <c r="J7" s="33" t="s">
        <v>366</v>
      </c>
      <c r="K7" s="34">
        <v>10</v>
      </c>
      <c r="L7" s="42">
        <v>8.9500000000000011</v>
      </c>
      <c r="M7" s="27">
        <v>89.500000000000014</v>
      </c>
      <c r="N7" s="71">
        <v>7.9</v>
      </c>
      <c r="O7" s="31">
        <v>79</v>
      </c>
    </row>
    <row r="8" spans="1:15">
      <c r="A8" s="33" t="s">
        <v>125</v>
      </c>
      <c r="B8" s="34" t="s">
        <v>927</v>
      </c>
      <c r="C8" s="34" t="s">
        <v>2</v>
      </c>
      <c r="D8" s="173">
        <v>107.67</v>
      </c>
      <c r="E8" s="173">
        <v>93</v>
      </c>
      <c r="F8" s="171">
        <v>0.30537634408602155</v>
      </c>
      <c r="J8" s="33" t="s">
        <v>126</v>
      </c>
      <c r="K8" s="34">
        <v>20</v>
      </c>
      <c r="L8" s="42">
        <v>5.3833333333333337</v>
      </c>
      <c r="M8" s="27">
        <v>107.66666666666667</v>
      </c>
      <c r="N8" s="71">
        <v>4.6500000000000004</v>
      </c>
      <c r="O8" s="31">
        <v>93</v>
      </c>
    </row>
    <row r="9" spans="1:15">
      <c r="A9" s="33" t="s">
        <v>127</v>
      </c>
      <c r="B9" s="34" t="s">
        <v>927</v>
      </c>
      <c r="C9" s="34" t="s">
        <v>2</v>
      </c>
      <c r="D9" s="173">
        <v>107.67</v>
      </c>
      <c r="E9" s="173">
        <v>93</v>
      </c>
      <c r="F9" s="171">
        <v>0.30537634408602155</v>
      </c>
      <c r="J9" s="33" t="s">
        <v>128</v>
      </c>
      <c r="K9" s="34">
        <v>20</v>
      </c>
      <c r="L9" s="42">
        <v>5.3833333333333337</v>
      </c>
      <c r="M9" s="27">
        <v>107.66666666666667</v>
      </c>
      <c r="N9" s="71">
        <v>4.6500000000000004</v>
      </c>
      <c r="O9" s="31">
        <v>93</v>
      </c>
    </row>
    <row r="10" spans="1:15">
      <c r="A10" s="33" t="s">
        <v>129</v>
      </c>
      <c r="B10" s="34" t="s">
        <v>927</v>
      </c>
      <c r="C10" s="34" t="s">
        <v>2</v>
      </c>
      <c r="D10" s="173">
        <v>107.67</v>
      </c>
      <c r="E10" s="173">
        <v>93</v>
      </c>
      <c r="F10" s="171">
        <v>0.30537634408602155</v>
      </c>
      <c r="J10" s="33" t="s">
        <v>130</v>
      </c>
      <c r="K10" s="34">
        <v>20</v>
      </c>
      <c r="L10" s="42">
        <v>5.3833333333333337</v>
      </c>
      <c r="M10" s="27">
        <v>107.66666666666667</v>
      </c>
      <c r="N10" s="71">
        <v>4.6500000000000004</v>
      </c>
      <c r="O10" s="31">
        <v>93</v>
      </c>
    </row>
    <row r="11" spans="1:15">
      <c r="A11" s="33" t="s">
        <v>131</v>
      </c>
      <c r="B11" s="34" t="s">
        <v>927</v>
      </c>
      <c r="C11" s="34" t="s">
        <v>2</v>
      </c>
      <c r="D11" s="173">
        <v>107.67</v>
      </c>
      <c r="E11" s="173">
        <v>93</v>
      </c>
      <c r="F11" s="171">
        <v>0.30537634408602155</v>
      </c>
      <c r="J11" s="33" t="s">
        <v>132</v>
      </c>
      <c r="K11" s="34">
        <v>20</v>
      </c>
      <c r="L11" s="42">
        <v>5.3833333333333337</v>
      </c>
      <c r="M11" s="27">
        <v>107.66666666666667</v>
      </c>
      <c r="N11" s="71">
        <v>4.6500000000000004</v>
      </c>
      <c r="O11" s="31">
        <v>93</v>
      </c>
    </row>
    <row r="12" spans="1:15" s="10" customFormat="1">
      <c r="A12" s="33" t="s">
        <v>133</v>
      </c>
      <c r="B12" s="34" t="s">
        <v>927</v>
      </c>
      <c r="C12" s="34" t="s">
        <v>2</v>
      </c>
      <c r="D12" s="173">
        <v>104.5</v>
      </c>
      <c r="E12" s="173">
        <v>93</v>
      </c>
      <c r="F12" s="171">
        <v>0.32580645161290334</v>
      </c>
      <c r="J12" s="33" t="s">
        <v>134</v>
      </c>
      <c r="K12" s="34">
        <v>10</v>
      </c>
      <c r="L12" s="42">
        <v>10.45</v>
      </c>
      <c r="M12" s="27">
        <v>104.5</v>
      </c>
      <c r="N12" s="71">
        <v>9.3000000000000007</v>
      </c>
      <c r="O12" s="31">
        <v>93</v>
      </c>
    </row>
    <row r="13" spans="1:15">
      <c r="A13" s="33" t="s">
        <v>100</v>
      </c>
      <c r="B13" s="34" t="s">
        <v>927</v>
      </c>
      <c r="C13" s="34" t="s">
        <v>2</v>
      </c>
      <c r="D13" s="173">
        <v>89.33</v>
      </c>
      <c r="E13" s="173">
        <v>79</v>
      </c>
      <c r="F13" s="171">
        <v>0.32151898734177214</v>
      </c>
      <c r="J13" s="33" t="s">
        <v>101</v>
      </c>
      <c r="K13" s="34">
        <v>20</v>
      </c>
      <c r="L13" s="42">
        <v>4.4666666666666668</v>
      </c>
      <c r="M13" s="27">
        <v>89.333333333333343</v>
      </c>
      <c r="N13" s="71">
        <v>3.95</v>
      </c>
      <c r="O13" s="31">
        <v>79</v>
      </c>
    </row>
    <row r="14" spans="1:15">
      <c r="A14" s="33" t="s">
        <v>102</v>
      </c>
      <c r="B14" s="34" t="s">
        <v>927</v>
      </c>
      <c r="C14" s="34" t="s">
        <v>2</v>
      </c>
      <c r="D14" s="173">
        <v>89.33</v>
      </c>
      <c r="E14" s="173">
        <v>79</v>
      </c>
      <c r="F14" s="171">
        <v>0.32151898734177214</v>
      </c>
      <c r="J14" s="33" t="s">
        <v>103</v>
      </c>
      <c r="K14" s="34">
        <v>20</v>
      </c>
      <c r="L14" s="42">
        <v>4.4666666666666668</v>
      </c>
      <c r="M14" s="27">
        <v>89.333333333333343</v>
      </c>
      <c r="N14" s="71">
        <v>3.95</v>
      </c>
      <c r="O14" s="31">
        <v>79</v>
      </c>
    </row>
    <row r="15" spans="1:15">
      <c r="A15" s="33" t="s">
        <v>104</v>
      </c>
      <c r="B15" s="34" t="s">
        <v>927</v>
      </c>
      <c r="C15" s="34" t="s">
        <v>2</v>
      </c>
      <c r="D15" s="173">
        <v>89.33</v>
      </c>
      <c r="E15" s="173">
        <v>79</v>
      </c>
      <c r="F15" s="171">
        <v>0.32151898734177214</v>
      </c>
      <c r="J15" s="33" t="s">
        <v>105</v>
      </c>
      <c r="K15" s="34">
        <v>20</v>
      </c>
      <c r="L15" s="42">
        <v>4.4666666666666668</v>
      </c>
      <c r="M15" s="27">
        <v>89.333333333333343</v>
      </c>
      <c r="N15" s="71">
        <v>3.95</v>
      </c>
      <c r="O15" s="31">
        <v>79</v>
      </c>
    </row>
    <row r="16" spans="1:15">
      <c r="A16" s="33" t="s">
        <v>106</v>
      </c>
      <c r="B16" s="34" t="s">
        <v>927</v>
      </c>
      <c r="C16" s="34" t="s">
        <v>2</v>
      </c>
      <c r="D16" s="173">
        <v>89.33</v>
      </c>
      <c r="E16" s="173">
        <v>79</v>
      </c>
      <c r="F16" s="171">
        <v>0.32151898734177214</v>
      </c>
      <c r="J16" s="33" t="s">
        <v>107</v>
      </c>
      <c r="K16" s="34">
        <v>20</v>
      </c>
      <c r="L16" s="42">
        <v>4.4666666666666668</v>
      </c>
      <c r="M16" s="27">
        <v>89.333333333333343</v>
      </c>
      <c r="N16" s="71">
        <v>3.95</v>
      </c>
      <c r="O16" s="31">
        <v>79</v>
      </c>
    </row>
    <row r="17" spans="1:15">
      <c r="A17" s="33" t="s">
        <v>108</v>
      </c>
      <c r="B17" s="34" t="s">
        <v>927</v>
      </c>
      <c r="C17" s="34" t="s">
        <v>2</v>
      </c>
      <c r="D17" s="173">
        <v>107.67</v>
      </c>
      <c r="E17" s="173">
        <v>93</v>
      </c>
      <c r="F17" s="171">
        <v>0.30537634408602155</v>
      </c>
      <c r="J17" s="33" t="s">
        <v>109</v>
      </c>
      <c r="K17" s="34">
        <v>20</v>
      </c>
      <c r="L17" s="42">
        <v>5.3833333333333337</v>
      </c>
      <c r="M17" s="27">
        <v>107.66666666666667</v>
      </c>
      <c r="N17" s="71">
        <v>4.6500000000000004</v>
      </c>
      <c r="O17" s="31">
        <v>93</v>
      </c>
    </row>
    <row r="18" spans="1:15">
      <c r="A18" s="33" t="s">
        <v>110</v>
      </c>
      <c r="B18" s="34" t="s">
        <v>927</v>
      </c>
      <c r="C18" s="34" t="s">
        <v>2</v>
      </c>
      <c r="D18" s="173">
        <v>107.67</v>
      </c>
      <c r="E18" s="173">
        <v>93</v>
      </c>
      <c r="F18" s="171">
        <v>0.30537634408602155</v>
      </c>
      <c r="J18" s="33" t="s">
        <v>111</v>
      </c>
      <c r="K18" s="34">
        <v>20</v>
      </c>
      <c r="L18" s="42">
        <v>5.3833333333333337</v>
      </c>
      <c r="M18" s="27">
        <v>107.66666666666667</v>
      </c>
      <c r="N18" s="71">
        <v>4.6500000000000004</v>
      </c>
      <c r="O18" s="31">
        <v>93</v>
      </c>
    </row>
    <row r="19" spans="1:15">
      <c r="A19" s="33" t="s">
        <v>112</v>
      </c>
      <c r="B19" s="34" t="s">
        <v>927</v>
      </c>
      <c r="C19" s="34" t="s">
        <v>2</v>
      </c>
      <c r="D19" s="173">
        <v>107.67</v>
      </c>
      <c r="E19" s="173">
        <v>93</v>
      </c>
      <c r="F19" s="171">
        <v>0.30537634408602155</v>
      </c>
      <c r="J19" s="33" t="s">
        <v>113</v>
      </c>
      <c r="K19" s="34">
        <v>20</v>
      </c>
      <c r="L19" s="42">
        <v>5.3833333333333337</v>
      </c>
      <c r="M19" s="27">
        <v>107.66666666666667</v>
      </c>
      <c r="N19" s="71">
        <v>4.6500000000000004</v>
      </c>
      <c r="O19" s="31">
        <v>93</v>
      </c>
    </row>
    <row r="20" spans="1:15">
      <c r="A20" s="33" t="s">
        <v>114</v>
      </c>
      <c r="B20" s="34" t="s">
        <v>927</v>
      </c>
      <c r="C20" s="34" t="s">
        <v>2</v>
      </c>
      <c r="D20" s="173">
        <v>107.67</v>
      </c>
      <c r="E20" s="173">
        <v>93</v>
      </c>
      <c r="F20" s="171">
        <v>0.30537634408602155</v>
      </c>
      <c r="J20" s="33" t="s">
        <v>115</v>
      </c>
      <c r="K20" s="34">
        <v>20</v>
      </c>
      <c r="L20" s="42">
        <v>5.3833333333333337</v>
      </c>
      <c r="M20" s="27">
        <v>107.66666666666667</v>
      </c>
      <c r="N20" s="71">
        <v>4.6500000000000004</v>
      </c>
      <c r="O20" s="31">
        <v>93</v>
      </c>
    </row>
    <row r="21" spans="1:15">
      <c r="A21" s="33" t="s">
        <v>137</v>
      </c>
      <c r="B21" s="34" t="s">
        <v>927</v>
      </c>
      <c r="C21" s="34" t="s">
        <v>2</v>
      </c>
      <c r="D21" s="173">
        <v>152.66999999999999</v>
      </c>
      <c r="E21" s="173">
        <v>135</v>
      </c>
      <c r="F21" s="171">
        <v>0.32148148148148148</v>
      </c>
      <c r="J21" s="33" t="s">
        <v>138</v>
      </c>
      <c r="K21" s="34">
        <v>20</v>
      </c>
      <c r="L21" s="42">
        <v>7.6333333333333337</v>
      </c>
      <c r="M21" s="27">
        <v>152.66666666666669</v>
      </c>
      <c r="N21" s="71">
        <v>6.75</v>
      </c>
      <c r="O21" s="31">
        <v>135</v>
      </c>
    </row>
    <row r="22" spans="1:15">
      <c r="A22" s="33" t="s">
        <v>139</v>
      </c>
      <c r="B22" s="34" t="s">
        <v>927</v>
      </c>
      <c r="C22" s="34" t="s">
        <v>2</v>
      </c>
      <c r="D22" s="173">
        <v>152.66999999999999</v>
      </c>
      <c r="E22" s="173">
        <v>135</v>
      </c>
      <c r="F22" s="171">
        <v>0.32148148148148148</v>
      </c>
      <c r="J22" s="33" t="s">
        <v>140</v>
      </c>
      <c r="K22" s="34">
        <v>20</v>
      </c>
      <c r="L22" s="42">
        <v>7.6333333333333337</v>
      </c>
      <c r="M22" s="27">
        <v>152.66666666666669</v>
      </c>
      <c r="N22" s="71">
        <v>6.75</v>
      </c>
      <c r="O22" s="31">
        <v>135</v>
      </c>
    </row>
    <row r="23" spans="1:15">
      <c r="A23" s="33" t="s">
        <v>141</v>
      </c>
      <c r="B23" s="34" t="s">
        <v>927</v>
      </c>
      <c r="C23" s="34" t="s">
        <v>2</v>
      </c>
      <c r="D23" s="173">
        <v>152.66999999999999</v>
      </c>
      <c r="E23" s="173">
        <v>135</v>
      </c>
      <c r="F23" s="171">
        <v>0.32148148148148148</v>
      </c>
      <c r="J23" s="33" t="s">
        <v>142</v>
      </c>
      <c r="K23" s="34">
        <v>20</v>
      </c>
      <c r="L23" s="42">
        <v>7.6333333333333337</v>
      </c>
      <c r="M23" s="27">
        <v>152.66666666666669</v>
      </c>
      <c r="N23" s="71">
        <v>6.75</v>
      </c>
      <c r="O23" s="31">
        <v>135</v>
      </c>
    </row>
    <row r="24" spans="1:15">
      <c r="A24" s="33" t="s">
        <v>143</v>
      </c>
      <c r="B24" s="34" t="s">
        <v>927</v>
      </c>
      <c r="C24" s="34" t="s">
        <v>2</v>
      </c>
      <c r="D24" s="173">
        <v>152.66999999999999</v>
      </c>
      <c r="E24" s="173">
        <v>135</v>
      </c>
      <c r="F24" s="171">
        <v>0.32148148148148148</v>
      </c>
      <c r="J24" s="33" t="s">
        <v>144</v>
      </c>
      <c r="K24" s="34">
        <v>20</v>
      </c>
      <c r="L24" s="42">
        <v>7.6333333333333337</v>
      </c>
      <c r="M24" s="27">
        <v>152.66666666666669</v>
      </c>
      <c r="N24" s="71">
        <v>6.75</v>
      </c>
      <c r="O24" s="31">
        <v>135</v>
      </c>
    </row>
    <row r="25" spans="1:15" s="10" customFormat="1">
      <c r="A25" s="33" t="s">
        <v>135</v>
      </c>
      <c r="B25" s="34" t="s">
        <v>927</v>
      </c>
      <c r="C25" s="34" t="s">
        <v>2</v>
      </c>
      <c r="D25" s="173">
        <v>54.5</v>
      </c>
      <c r="E25" s="173">
        <v>48</v>
      </c>
      <c r="F25" s="171">
        <v>0.31874999999999998</v>
      </c>
      <c r="J25" s="33" t="s">
        <v>136</v>
      </c>
      <c r="K25" s="34">
        <v>30</v>
      </c>
      <c r="L25" s="44">
        <v>1.8166666666666669</v>
      </c>
      <c r="M25" s="81">
        <v>54.500000000000007</v>
      </c>
      <c r="N25" s="72">
        <v>1.6</v>
      </c>
      <c r="O25" s="32">
        <v>48</v>
      </c>
    </row>
    <row r="26" spans="1:15" s="10" customFormat="1">
      <c r="A26" s="33" t="s">
        <v>52</v>
      </c>
      <c r="B26" s="34" t="s">
        <v>927</v>
      </c>
      <c r="C26" s="34" t="s">
        <v>2</v>
      </c>
      <c r="D26" s="173">
        <v>238</v>
      </c>
      <c r="E26" s="173">
        <v>204</v>
      </c>
      <c r="F26" s="171">
        <v>0.3</v>
      </c>
      <c r="J26" s="4" t="s">
        <v>53</v>
      </c>
      <c r="K26" s="12">
        <v>120</v>
      </c>
      <c r="L26" s="42">
        <v>1.9833333333333334</v>
      </c>
      <c r="M26" s="27">
        <v>238</v>
      </c>
      <c r="N26" s="71">
        <v>1.7</v>
      </c>
      <c r="O26" s="71">
        <v>204</v>
      </c>
    </row>
    <row r="27" spans="1:15">
      <c r="A27" s="33" t="s">
        <v>50</v>
      </c>
      <c r="B27" s="34" t="s">
        <v>927</v>
      </c>
      <c r="C27" s="34" t="s">
        <v>2</v>
      </c>
      <c r="D27" s="173">
        <v>237.33</v>
      </c>
      <c r="E27" s="173">
        <v>203.43</v>
      </c>
      <c r="F27" s="171">
        <v>0.30000000000000004</v>
      </c>
      <c r="J27" s="33" t="s">
        <v>51</v>
      </c>
      <c r="K27" s="34">
        <v>80</v>
      </c>
      <c r="L27" s="42">
        <v>2.9666666666666668</v>
      </c>
      <c r="M27" s="27">
        <v>237.33333333333334</v>
      </c>
      <c r="N27" s="71">
        <v>2.5428571428571431</v>
      </c>
      <c r="O27" s="71">
        <v>203.42857142857144</v>
      </c>
    </row>
    <row r="28" spans="1:15">
      <c r="A28" s="33" t="s">
        <v>48</v>
      </c>
      <c r="B28" s="34" t="s">
        <v>927</v>
      </c>
      <c r="C28" s="34" t="s">
        <v>2</v>
      </c>
      <c r="D28" s="173">
        <v>237.33</v>
      </c>
      <c r="E28" s="173">
        <v>203.43</v>
      </c>
      <c r="F28" s="171">
        <v>0.30000000000000004</v>
      </c>
      <c r="J28" s="7" t="s">
        <v>49</v>
      </c>
      <c r="K28" s="14">
        <v>40</v>
      </c>
      <c r="L28" s="44">
        <v>5.9333333333333336</v>
      </c>
      <c r="M28" s="81">
        <v>237.33333333333334</v>
      </c>
      <c r="N28" s="72">
        <v>5.0857142857142863</v>
      </c>
      <c r="O28" s="72">
        <v>203.42857142857144</v>
      </c>
    </row>
    <row r="29" spans="1:15">
      <c r="A29" s="33" t="s">
        <v>94</v>
      </c>
      <c r="B29" s="34" t="s">
        <v>927</v>
      </c>
      <c r="C29" s="34" t="s">
        <v>2</v>
      </c>
      <c r="D29" s="173">
        <v>65.33</v>
      </c>
      <c r="E29" s="173">
        <v>56</v>
      </c>
      <c r="F29" s="171">
        <v>0.3000000000000001</v>
      </c>
      <c r="J29" s="33" t="s">
        <v>95</v>
      </c>
      <c r="K29" s="34">
        <v>80</v>
      </c>
      <c r="L29" s="65">
        <v>0.81666666666666665</v>
      </c>
      <c r="M29" s="27">
        <v>65.333333333333329</v>
      </c>
      <c r="N29" s="71">
        <v>0.70000000000000007</v>
      </c>
      <c r="O29" s="71">
        <v>56.000000000000007</v>
      </c>
    </row>
    <row r="30" spans="1:15">
      <c r="A30" s="86" t="s">
        <v>145</v>
      </c>
      <c r="B30" s="34" t="s">
        <v>927</v>
      </c>
      <c r="C30" s="87" t="s">
        <v>2</v>
      </c>
      <c r="D30" s="173">
        <v>48.33</v>
      </c>
      <c r="E30" s="173">
        <v>41.43</v>
      </c>
      <c r="F30" s="171">
        <v>0.3</v>
      </c>
      <c r="J30" s="86" t="s">
        <v>146</v>
      </c>
      <c r="K30" s="87">
        <v>100</v>
      </c>
      <c r="L30" s="42">
        <v>0.48333333333333334</v>
      </c>
      <c r="M30" s="27">
        <v>48.333333333333336</v>
      </c>
      <c r="N30" s="71">
        <v>0.41428571428571426</v>
      </c>
      <c r="O30" s="71">
        <v>41.428571428571423</v>
      </c>
    </row>
    <row r="31" spans="1:15">
      <c r="A31" s="86" t="s">
        <v>149</v>
      </c>
      <c r="B31" s="34" t="s">
        <v>927</v>
      </c>
      <c r="C31" s="87" t="s">
        <v>2</v>
      </c>
      <c r="D31" s="173">
        <v>83.33</v>
      </c>
      <c r="E31" s="173">
        <v>71.430000000000007</v>
      </c>
      <c r="F31" s="171">
        <v>0.3</v>
      </c>
      <c r="J31" s="86" t="s">
        <v>150</v>
      </c>
      <c r="K31" s="87">
        <v>100</v>
      </c>
      <c r="L31" s="42">
        <v>0.83333333333333337</v>
      </c>
      <c r="M31" s="27">
        <v>83.333333333333343</v>
      </c>
      <c r="N31" s="71">
        <v>0.7142857142857143</v>
      </c>
      <c r="O31" s="71">
        <v>71.428571428571431</v>
      </c>
    </row>
    <row r="32" spans="1:15">
      <c r="A32" s="86" t="s">
        <v>153</v>
      </c>
      <c r="B32" s="34" t="s">
        <v>927</v>
      </c>
      <c r="C32" s="87" t="s">
        <v>2</v>
      </c>
      <c r="D32" s="173">
        <v>80.25</v>
      </c>
      <c r="E32" s="173">
        <v>68.790000000000006</v>
      </c>
      <c r="F32" s="171">
        <v>0.3</v>
      </c>
      <c r="J32" s="86" t="s">
        <v>154</v>
      </c>
      <c r="K32" s="87">
        <v>45</v>
      </c>
      <c r="L32" s="42">
        <v>1.7833333333333334</v>
      </c>
      <c r="M32" s="27">
        <v>80.25</v>
      </c>
      <c r="N32" s="71">
        <v>1.5285714285714287</v>
      </c>
      <c r="O32" s="71">
        <v>68.785714285714292</v>
      </c>
    </row>
    <row r="33" spans="1:15">
      <c r="A33" s="86" t="s">
        <v>155</v>
      </c>
      <c r="B33" s="34" t="s">
        <v>927</v>
      </c>
      <c r="C33" s="87" t="s">
        <v>2</v>
      </c>
      <c r="D33" s="173">
        <v>66.67</v>
      </c>
      <c r="E33" s="173">
        <v>57.14</v>
      </c>
      <c r="F33" s="171">
        <v>0.30000000000000004</v>
      </c>
      <c r="J33" s="86" t="s">
        <v>156</v>
      </c>
      <c r="K33" s="87">
        <v>25</v>
      </c>
      <c r="L33" s="42">
        <v>2.666666666666667</v>
      </c>
      <c r="M33" s="27">
        <v>66.666666666666671</v>
      </c>
      <c r="N33" s="71">
        <v>2.285714285714286</v>
      </c>
      <c r="O33" s="71">
        <v>57.142857142857153</v>
      </c>
    </row>
    <row r="34" spans="1:15">
      <c r="A34" s="86" t="s">
        <v>157</v>
      </c>
      <c r="B34" s="34" t="s">
        <v>927</v>
      </c>
      <c r="C34" s="87" t="s">
        <v>2</v>
      </c>
      <c r="D34" s="173">
        <v>62.67</v>
      </c>
      <c r="E34" s="173">
        <v>53.71</v>
      </c>
      <c r="F34" s="171">
        <v>0.3000000000000001</v>
      </c>
      <c r="J34" s="86" t="s">
        <v>158</v>
      </c>
      <c r="K34" s="87">
        <v>20</v>
      </c>
      <c r="L34" s="42">
        <v>3.1333333333333333</v>
      </c>
      <c r="M34" s="27">
        <v>62.666666666666664</v>
      </c>
      <c r="N34" s="71">
        <v>2.6857142857142859</v>
      </c>
      <c r="O34" s="71">
        <v>53.714285714285722</v>
      </c>
    </row>
    <row r="35" spans="1:15">
      <c r="A35" s="86" t="s">
        <v>159</v>
      </c>
      <c r="B35" s="34" t="s">
        <v>927</v>
      </c>
      <c r="C35" s="87" t="s">
        <v>2</v>
      </c>
      <c r="D35" s="173">
        <v>68</v>
      </c>
      <c r="E35" s="173">
        <v>58.29</v>
      </c>
      <c r="F35" s="171">
        <v>0.30000000000000004</v>
      </c>
      <c r="J35" s="86" t="s">
        <v>160</v>
      </c>
      <c r="K35" s="87">
        <v>15</v>
      </c>
      <c r="L35" s="42">
        <v>4.5333333333333341</v>
      </c>
      <c r="M35" s="27">
        <v>68.000000000000014</v>
      </c>
      <c r="N35" s="71">
        <v>3.8857142857142861</v>
      </c>
      <c r="O35" s="71">
        <v>58.285714285714292</v>
      </c>
    </row>
    <row r="36" spans="1:15">
      <c r="A36" s="86" t="s">
        <v>161</v>
      </c>
      <c r="B36" s="34" t="s">
        <v>927</v>
      </c>
      <c r="C36" s="87" t="s">
        <v>2</v>
      </c>
      <c r="D36" s="173">
        <v>84.75</v>
      </c>
      <c r="E36" s="173">
        <v>72.64</v>
      </c>
      <c r="F36" s="171">
        <v>0.30000000000000004</v>
      </c>
      <c r="J36" s="86" t="s">
        <v>162</v>
      </c>
      <c r="K36" s="87">
        <v>15</v>
      </c>
      <c r="L36" s="42">
        <v>5.65</v>
      </c>
      <c r="M36" s="27">
        <v>84.75</v>
      </c>
      <c r="N36" s="71">
        <v>4.8428571428571434</v>
      </c>
      <c r="O36" s="71">
        <v>72.642857142857153</v>
      </c>
    </row>
    <row r="37" spans="1:15">
      <c r="A37" s="86" t="s">
        <v>163</v>
      </c>
      <c r="B37" s="34" t="s">
        <v>927</v>
      </c>
      <c r="C37" s="87" t="s">
        <v>2</v>
      </c>
      <c r="D37" s="173">
        <v>100.4</v>
      </c>
      <c r="E37" s="173">
        <v>86.06</v>
      </c>
      <c r="F37" s="171">
        <v>0.3000000000000001</v>
      </c>
      <c r="J37" s="86" t="s">
        <v>164</v>
      </c>
      <c r="K37" s="87">
        <v>12</v>
      </c>
      <c r="L37" s="42">
        <v>8.3666666666666671</v>
      </c>
      <c r="M37" s="27">
        <v>100.4</v>
      </c>
      <c r="N37" s="71">
        <v>7.1714285714285717</v>
      </c>
      <c r="O37" s="71">
        <v>86.057142857142864</v>
      </c>
    </row>
    <row r="38" spans="1:15">
      <c r="A38" s="86" t="s">
        <v>165</v>
      </c>
      <c r="B38" s="34" t="s">
        <v>927</v>
      </c>
      <c r="C38" s="87" t="s">
        <v>2</v>
      </c>
      <c r="D38" s="173">
        <v>105.83</v>
      </c>
      <c r="E38" s="173">
        <v>90.71</v>
      </c>
      <c r="F38" s="171">
        <v>0.3000000000000001</v>
      </c>
      <c r="J38" s="86" t="s">
        <v>166</v>
      </c>
      <c r="K38" s="87">
        <v>50</v>
      </c>
      <c r="L38" s="42">
        <v>2.1166666666666667</v>
      </c>
      <c r="M38" s="27">
        <v>105.83333333333333</v>
      </c>
      <c r="N38" s="71">
        <v>1.8142857142857145</v>
      </c>
      <c r="O38" s="71">
        <v>90.714285714285722</v>
      </c>
    </row>
    <row r="39" spans="1:15">
      <c r="A39" s="86" t="s">
        <v>167</v>
      </c>
      <c r="B39" s="34" t="s">
        <v>927</v>
      </c>
      <c r="C39" s="87" t="s">
        <v>2</v>
      </c>
      <c r="D39" s="173">
        <v>64</v>
      </c>
      <c r="E39" s="173">
        <v>54.86</v>
      </c>
      <c r="F39" s="171">
        <v>0.30000000000000004</v>
      </c>
      <c r="J39" s="86" t="s">
        <v>168</v>
      </c>
      <c r="K39" s="87">
        <v>120</v>
      </c>
      <c r="L39" s="42">
        <v>0.53333333333333333</v>
      </c>
      <c r="M39" s="27">
        <v>64</v>
      </c>
      <c r="N39" s="71">
        <v>0.45714285714285718</v>
      </c>
      <c r="O39" s="71">
        <v>54.857142857142861</v>
      </c>
    </row>
    <row r="40" spans="1:15">
      <c r="A40" s="86" t="s">
        <v>171</v>
      </c>
      <c r="B40" s="34" t="s">
        <v>927</v>
      </c>
      <c r="C40" s="87" t="s">
        <v>2</v>
      </c>
      <c r="D40" s="173">
        <v>66.67</v>
      </c>
      <c r="E40" s="173">
        <v>57.14</v>
      </c>
      <c r="F40" s="171">
        <v>0.30000000000000004</v>
      </c>
      <c r="J40" s="86" t="s">
        <v>172</v>
      </c>
      <c r="K40" s="87">
        <v>100</v>
      </c>
      <c r="L40" s="42">
        <v>0.66666666666666674</v>
      </c>
      <c r="M40" s="65">
        <v>66.666666666666671</v>
      </c>
      <c r="N40" s="71">
        <v>0.57142857142857151</v>
      </c>
      <c r="O40" s="71">
        <v>57.142857142857153</v>
      </c>
    </row>
    <row r="41" spans="1:15">
      <c r="A41" s="86" t="s">
        <v>173</v>
      </c>
      <c r="B41" s="34" t="s">
        <v>927</v>
      </c>
      <c r="C41" s="87" t="s">
        <v>2</v>
      </c>
      <c r="D41" s="173">
        <v>145</v>
      </c>
      <c r="E41" s="173">
        <v>124.29</v>
      </c>
      <c r="F41" s="171">
        <v>0.30000000000000004</v>
      </c>
      <c r="J41" s="86" t="s">
        <v>174</v>
      </c>
      <c r="K41" s="87">
        <v>100</v>
      </c>
      <c r="L41" s="42">
        <v>1.45</v>
      </c>
      <c r="M41" s="65">
        <v>145</v>
      </c>
      <c r="N41" s="71">
        <v>1.2428571428571429</v>
      </c>
      <c r="O41" s="71">
        <v>124.28571428571429</v>
      </c>
    </row>
    <row r="42" spans="1:15">
      <c r="A42" s="86" t="s">
        <v>175</v>
      </c>
      <c r="B42" s="34" t="s">
        <v>927</v>
      </c>
      <c r="C42" s="87" t="s">
        <v>2</v>
      </c>
      <c r="D42" s="173">
        <v>66</v>
      </c>
      <c r="E42" s="173">
        <v>56.57</v>
      </c>
      <c r="F42" s="171">
        <v>0.30000000000000004</v>
      </c>
      <c r="J42" s="86" t="s">
        <v>176</v>
      </c>
      <c r="K42" s="87">
        <v>20</v>
      </c>
      <c r="L42" s="42">
        <v>3.3000000000000003</v>
      </c>
      <c r="M42" s="27">
        <v>66</v>
      </c>
      <c r="N42" s="71">
        <v>2.8285714285714287</v>
      </c>
      <c r="O42" s="71">
        <v>56.571428571428577</v>
      </c>
    </row>
    <row r="43" spans="1:15">
      <c r="A43" s="86" t="s">
        <v>191</v>
      </c>
      <c r="B43" s="34" t="s">
        <v>927</v>
      </c>
      <c r="C43" s="87" t="s">
        <v>2</v>
      </c>
      <c r="D43" s="173">
        <v>151.66999999999999</v>
      </c>
      <c r="E43" s="173">
        <v>130</v>
      </c>
      <c r="F43" s="171">
        <v>0.30000000000000004</v>
      </c>
      <c r="J43" s="86" t="s">
        <v>192</v>
      </c>
      <c r="K43" s="87">
        <v>20</v>
      </c>
      <c r="L43" s="42">
        <v>7.583333333333333</v>
      </c>
      <c r="M43" s="27">
        <v>151.66666666666666</v>
      </c>
      <c r="N43" s="71">
        <v>6.5</v>
      </c>
      <c r="O43" s="71">
        <v>130</v>
      </c>
    </row>
    <row r="44" spans="1:15">
      <c r="A44" s="86" t="s">
        <v>195</v>
      </c>
      <c r="B44" s="34" t="s">
        <v>927</v>
      </c>
      <c r="C44" s="87" t="s">
        <v>2</v>
      </c>
      <c r="D44" s="173">
        <v>160</v>
      </c>
      <c r="E44" s="173">
        <v>137.13999999999999</v>
      </c>
      <c r="F44" s="171">
        <v>0.30000000000000004</v>
      </c>
      <c r="J44" s="86" t="s">
        <v>196</v>
      </c>
      <c r="K44" s="87">
        <v>100</v>
      </c>
      <c r="L44" s="42">
        <v>1.6</v>
      </c>
      <c r="M44" s="27">
        <v>160</v>
      </c>
      <c r="N44" s="71">
        <v>1.3714285714285714</v>
      </c>
      <c r="O44" s="71">
        <v>137.14285714285714</v>
      </c>
    </row>
    <row r="45" spans="1:15">
      <c r="A45" s="86" t="s">
        <v>197</v>
      </c>
      <c r="B45" s="34" t="s">
        <v>927</v>
      </c>
      <c r="C45" s="87" t="s">
        <v>2</v>
      </c>
      <c r="D45" s="173">
        <v>191.67</v>
      </c>
      <c r="E45" s="173">
        <v>164.29</v>
      </c>
      <c r="F45" s="171">
        <v>0.30000000000000004</v>
      </c>
      <c r="J45" s="86" t="s">
        <v>198</v>
      </c>
      <c r="K45" s="87">
        <v>100</v>
      </c>
      <c r="L45" s="42">
        <v>1.9166666666666665</v>
      </c>
      <c r="M45" s="27">
        <v>191.66666666666666</v>
      </c>
      <c r="N45" s="71">
        <v>1.6428571428571428</v>
      </c>
      <c r="O45" s="71">
        <v>164.28571428571428</v>
      </c>
    </row>
    <row r="46" spans="1:15">
      <c r="A46" s="86" t="s">
        <v>199</v>
      </c>
      <c r="B46" s="34" t="s">
        <v>927</v>
      </c>
      <c r="C46" s="87" t="s">
        <v>2</v>
      </c>
      <c r="D46" s="173">
        <v>338.33</v>
      </c>
      <c r="E46" s="173">
        <v>290</v>
      </c>
      <c r="F46" s="171">
        <v>0.30000000000000004</v>
      </c>
      <c r="J46" s="86" t="s">
        <v>200</v>
      </c>
      <c r="K46" s="87">
        <v>100</v>
      </c>
      <c r="L46" s="42">
        <v>3.3833333333333333</v>
      </c>
      <c r="M46" s="27">
        <v>338.33333333333331</v>
      </c>
      <c r="N46" s="71">
        <v>2.9</v>
      </c>
      <c r="O46" s="71">
        <v>290</v>
      </c>
    </row>
    <row r="47" spans="1:15">
      <c r="A47" s="86" t="s">
        <v>201</v>
      </c>
      <c r="B47" s="34" t="s">
        <v>927</v>
      </c>
      <c r="C47" s="87" t="s">
        <v>2</v>
      </c>
      <c r="D47" s="173">
        <v>576</v>
      </c>
      <c r="E47" s="173">
        <v>493.71</v>
      </c>
      <c r="F47" s="171">
        <v>0.3000000000000001</v>
      </c>
      <c r="J47" s="86" t="s">
        <v>202</v>
      </c>
      <c r="K47" s="87">
        <v>80</v>
      </c>
      <c r="L47" s="42">
        <v>7.2000000000000011</v>
      </c>
      <c r="M47" s="27">
        <v>576.00000000000011</v>
      </c>
      <c r="N47" s="71">
        <v>6.1714285714285726</v>
      </c>
      <c r="O47" s="71">
        <v>493.71428571428578</v>
      </c>
    </row>
    <row r="48" spans="1:15">
      <c r="A48" s="86" t="s">
        <v>211</v>
      </c>
      <c r="B48" s="34" t="s">
        <v>927</v>
      </c>
      <c r="C48" s="87" t="s">
        <v>2</v>
      </c>
      <c r="D48" s="173">
        <v>186.67</v>
      </c>
      <c r="E48" s="173">
        <v>160</v>
      </c>
      <c r="F48" s="171">
        <v>0.30000000000000004</v>
      </c>
      <c r="J48" s="86" t="s">
        <v>918</v>
      </c>
      <c r="K48" s="87">
        <v>10</v>
      </c>
      <c r="L48" s="42">
        <v>18.666666666666668</v>
      </c>
      <c r="M48" s="65">
        <v>186.66666666666669</v>
      </c>
      <c r="N48" s="71">
        <v>16</v>
      </c>
      <c r="O48" s="71">
        <v>160</v>
      </c>
    </row>
    <row r="49" spans="1:15">
      <c r="A49" s="86" t="s">
        <v>911</v>
      </c>
      <c r="B49" s="34" t="s">
        <v>927</v>
      </c>
      <c r="C49" s="87" t="s">
        <v>2</v>
      </c>
      <c r="D49" s="173">
        <v>91.67</v>
      </c>
      <c r="E49" s="173">
        <v>78.569999999999993</v>
      </c>
      <c r="F49" s="171">
        <v>0.30000000000000004</v>
      </c>
      <c r="J49" s="86" t="s">
        <v>912</v>
      </c>
      <c r="K49" s="87">
        <v>10</v>
      </c>
      <c r="L49" s="42">
        <v>9.1666666666666679</v>
      </c>
      <c r="M49" s="27">
        <v>91.666666666666686</v>
      </c>
      <c r="N49" s="71">
        <v>7.8571428571428577</v>
      </c>
      <c r="O49" s="71">
        <v>78.571428571428584</v>
      </c>
    </row>
    <row r="50" spans="1:15">
      <c r="A50" s="86" t="s">
        <v>213</v>
      </c>
      <c r="B50" s="34" t="s">
        <v>927</v>
      </c>
      <c r="C50" s="87" t="s">
        <v>2</v>
      </c>
      <c r="D50" s="173">
        <v>104</v>
      </c>
      <c r="E50" s="173">
        <v>89.14</v>
      </c>
      <c r="F50" s="171">
        <v>0.3</v>
      </c>
      <c r="J50" s="86" t="s">
        <v>214</v>
      </c>
      <c r="K50" s="87">
        <v>30</v>
      </c>
      <c r="L50" s="42">
        <v>3.4666666666666668</v>
      </c>
      <c r="M50" s="27">
        <v>104</v>
      </c>
      <c r="N50" s="71">
        <v>2.9714285714285715</v>
      </c>
      <c r="O50" s="71">
        <v>89.142857142857139</v>
      </c>
    </row>
    <row r="51" spans="1:15">
      <c r="A51" s="86" t="s">
        <v>215</v>
      </c>
      <c r="B51" s="34" t="s">
        <v>927</v>
      </c>
      <c r="C51" s="87" t="s">
        <v>2</v>
      </c>
      <c r="D51" s="173">
        <v>116</v>
      </c>
      <c r="E51" s="173">
        <v>99.43</v>
      </c>
      <c r="F51" s="171">
        <v>0.3</v>
      </c>
      <c r="J51" s="86" t="s">
        <v>216</v>
      </c>
      <c r="K51" s="87">
        <v>30</v>
      </c>
      <c r="L51" s="42">
        <v>3.8666666666666667</v>
      </c>
      <c r="M51" s="27">
        <v>116</v>
      </c>
      <c r="N51" s="71">
        <v>3.3142857142857141</v>
      </c>
      <c r="O51" s="71">
        <v>99.428571428571416</v>
      </c>
    </row>
    <row r="52" spans="1:15">
      <c r="A52" s="86" t="s">
        <v>223</v>
      </c>
      <c r="B52" s="34" t="s">
        <v>927</v>
      </c>
      <c r="C52" s="87" t="s">
        <v>2</v>
      </c>
      <c r="D52" s="173">
        <v>145</v>
      </c>
      <c r="E52" s="173">
        <v>124.29</v>
      </c>
      <c r="F52" s="171">
        <v>0.3000000000000001</v>
      </c>
      <c r="J52" s="86" t="s">
        <v>224</v>
      </c>
      <c r="K52" s="87">
        <v>30</v>
      </c>
      <c r="L52" s="42">
        <v>4.833333333333333</v>
      </c>
      <c r="M52" s="27">
        <v>145</v>
      </c>
      <c r="N52" s="71">
        <v>4.1428571428571432</v>
      </c>
      <c r="O52" s="71">
        <v>124.28571428571429</v>
      </c>
    </row>
    <row r="53" spans="1:15">
      <c r="A53" s="86" t="s">
        <v>225</v>
      </c>
      <c r="B53" s="34" t="s">
        <v>927</v>
      </c>
      <c r="C53" s="87" t="s">
        <v>2</v>
      </c>
      <c r="D53" s="173">
        <v>106.67</v>
      </c>
      <c r="E53" s="173">
        <v>91.43</v>
      </c>
      <c r="F53" s="171">
        <v>0.30000000000000004</v>
      </c>
      <c r="J53" s="86" t="s">
        <v>226</v>
      </c>
      <c r="K53" s="87">
        <v>20</v>
      </c>
      <c r="L53" s="42">
        <v>5.3333333333333339</v>
      </c>
      <c r="M53" s="27">
        <v>106.66666666666669</v>
      </c>
      <c r="N53" s="71">
        <v>4.5714285714285721</v>
      </c>
      <c r="O53" s="71">
        <v>91.428571428571445</v>
      </c>
    </row>
    <row r="54" spans="1:15">
      <c r="A54" s="86" t="s">
        <v>227</v>
      </c>
      <c r="B54" s="34" t="s">
        <v>927</v>
      </c>
      <c r="C54" s="87" t="s">
        <v>2</v>
      </c>
      <c r="D54" s="173">
        <v>122</v>
      </c>
      <c r="E54" s="173">
        <v>104.57</v>
      </c>
      <c r="F54" s="171">
        <v>0.3000000000000001</v>
      </c>
      <c r="J54" s="86" t="s">
        <v>228</v>
      </c>
      <c r="K54" s="87">
        <v>20</v>
      </c>
      <c r="L54" s="42">
        <v>6.1000000000000005</v>
      </c>
      <c r="M54" s="27">
        <v>122.00000000000001</v>
      </c>
      <c r="N54" s="71">
        <v>5.2285714285714295</v>
      </c>
      <c r="O54" s="71">
        <v>104.57142857142858</v>
      </c>
    </row>
    <row r="55" spans="1:15">
      <c r="A55" s="86" t="s">
        <v>233</v>
      </c>
      <c r="B55" s="34" t="s">
        <v>927</v>
      </c>
      <c r="C55" s="87" t="s">
        <v>2</v>
      </c>
      <c r="D55" s="173">
        <v>161.19999999999999</v>
      </c>
      <c r="E55" s="173">
        <v>138.16999999999999</v>
      </c>
      <c r="F55" s="171">
        <v>0.30000000000000004</v>
      </c>
      <c r="J55" s="86" t="s">
        <v>234</v>
      </c>
      <c r="K55" s="87">
        <v>8</v>
      </c>
      <c r="L55" s="42">
        <v>20.150000000000002</v>
      </c>
      <c r="M55" s="27">
        <v>161.20000000000002</v>
      </c>
      <c r="N55" s="71">
        <v>17.271428571428572</v>
      </c>
      <c r="O55" s="71">
        <v>138.17142857142858</v>
      </c>
    </row>
    <row r="56" spans="1:15">
      <c r="A56" s="86" t="s">
        <v>235</v>
      </c>
      <c r="B56" s="34" t="s">
        <v>927</v>
      </c>
      <c r="C56" s="87" t="s">
        <v>2</v>
      </c>
      <c r="D56" s="173">
        <v>170.33</v>
      </c>
      <c r="E56" s="173">
        <v>146</v>
      </c>
      <c r="F56" s="171">
        <v>0.30000000000000004</v>
      </c>
      <c r="J56" s="86" t="s">
        <v>236</v>
      </c>
      <c r="K56" s="87">
        <v>10</v>
      </c>
      <c r="L56" s="42">
        <v>17.033333333333335</v>
      </c>
      <c r="M56" s="27">
        <v>170.33333333333334</v>
      </c>
      <c r="N56" s="71">
        <v>14.600000000000001</v>
      </c>
      <c r="O56" s="71">
        <v>146</v>
      </c>
    </row>
    <row r="57" spans="1:15">
      <c r="A57" s="86" t="s">
        <v>237</v>
      </c>
      <c r="B57" s="34" t="s">
        <v>927</v>
      </c>
      <c r="C57" s="87" t="s">
        <v>2</v>
      </c>
      <c r="D57" s="173">
        <v>145.83000000000001</v>
      </c>
      <c r="E57" s="173">
        <v>125</v>
      </c>
      <c r="F57" s="171">
        <v>0.30000000000000004</v>
      </c>
      <c r="J57" s="86" t="s">
        <v>238</v>
      </c>
      <c r="K57" s="87">
        <v>7</v>
      </c>
      <c r="L57" s="42">
        <v>20.833333333333336</v>
      </c>
      <c r="M57" s="27">
        <v>145.83333333333334</v>
      </c>
      <c r="N57" s="71">
        <v>17.857142857142858</v>
      </c>
      <c r="O57" s="71">
        <v>125</v>
      </c>
    </row>
    <row r="58" spans="1:15">
      <c r="A58" s="86" t="s">
        <v>241</v>
      </c>
      <c r="B58" s="34" t="s">
        <v>927</v>
      </c>
      <c r="C58" s="87" t="s">
        <v>2</v>
      </c>
      <c r="D58" s="173">
        <v>213.33</v>
      </c>
      <c r="E58" s="173">
        <v>182.86</v>
      </c>
      <c r="F58" s="171">
        <v>0.30000000000000004</v>
      </c>
      <c r="J58" s="86" t="s">
        <v>242</v>
      </c>
      <c r="K58" s="87">
        <v>10</v>
      </c>
      <c r="L58" s="42">
        <v>21.333333333333336</v>
      </c>
      <c r="M58" s="27">
        <v>213.33333333333337</v>
      </c>
      <c r="N58" s="71">
        <v>18.285714285714288</v>
      </c>
      <c r="O58" s="71">
        <v>182.85714285714289</v>
      </c>
    </row>
    <row r="59" spans="1:15">
      <c r="A59" s="86" t="s">
        <v>245</v>
      </c>
      <c r="B59" s="34" t="s">
        <v>927</v>
      </c>
      <c r="C59" s="87" t="s">
        <v>2</v>
      </c>
      <c r="D59" s="173">
        <v>165.67</v>
      </c>
      <c r="E59" s="173">
        <v>142</v>
      </c>
      <c r="F59" s="171">
        <v>0.3</v>
      </c>
      <c r="J59" s="86" t="s">
        <v>246</v>
      </c>
      <c r="K59" s="87">
        <v>7</v>
      </c>
      <c r="L59" s="42">
        <v>23.666666666666668</v>
      </c>
      <c r="M59" s="27">
        <v>165.66666666666669</v>
      </c>
      <c r="N59" s="71">
        <v>20.285714285714285</v>
      </c>
      <c r="O59" s="71">
        <v>142</v>
      </c>
    </row>
    <row r="60" spans="1:15">
      <c r="A60" s="86" t="s">
        <v>249</v>
      </c>
      <c r="B60" s="34" t="s">
        <v>927</v>
      </c>
      <c r="C60" s="87" t="s">
        <v>2</v>
      </c>
      <c r="D60" s="173">
        <v>200</v>
      </c>
      <c r="E60" s="173">
        <v>171.43</v>
      </c>
      <c r="F60" s="171">
        <v>0.3</v>
      </c>
      <c r="J60" s="86" t="s">
        <v>250</v>
      </c>
      <c r="K60" s="87">
        <v>10</v>
      </c>
      <c r="L60" s="42">
        <v>20</v>
      </c>
      <c r="M60" s="27">
        <v>200</v>
      </c>
      <c r="N60" s="71">
        <v>17.142857142857142</v>
      </c>
      <c r="O60" s="71">
        <v>171.42857142857142</v>
      </c>
    </row>
    <row r="61" spans="1:15">
      <c r="A61" s="86" t="s">
        <v>253</v>
      </c>
      <c r="B61" s="34" t="s">
        <v>927</v>
      </c>
      <c r="C61" s="87" t="s">
        <v>2</v>
      </c>
      <c r="D61" s="173">
        <v>89</v>
      </c>
      <c r="E61" s="173">
        <v>76.290000000000006</v>
      </c>
      <c r="F61" s="171">
        <v>0.30000000000000004</v>
      </c>
      <c r="J61" s="86" t="s">
        <v>254</v>
      </c>
      <c r="K61" s="87">
        <v>12</v>
      </c>
      <c r="L61" s="42">
        <v>7.416666666666667</v>
      </c>
      <c r="M61" s="65">
        <v>89</v>
      </c>
      <c r="N61" s="71">
        <v>6.3571428571428577</v>
      </c>
      <c r="O61" s="71">
        <v>76.285714285714292</v>
      </c>
    </row>
    <row r="62" spans="1:15">
      <c r="A62" s="86" t="s">
        <v>259</v>
      </c>
      <c r="B62" s="34" t="s">
        <v>927</v>
      </c>
      <c r="C62" s="87" t="s">
        <v>2</v>
      </c>
      <c r="D62" s="173">
        <v>250</v>
      </c>
      <c r="E62" s="173">
        <v>214.29</v>
      </c>
      <c r="F62" s="171">
        <v>0.30000000000000004</v>
      </c>
      <c r="J62" s="86" t="s">
        <v>260</v>
      </c>
      <c r="K62" s="87">
        <v>10</v>
      </c>
      <c r="L62" s="42">
        <v>25</v>
      </c>
      <c r="M62" s="27">
        <v>250</v>
      </c>
      <c r="N62" s="71">
        <v>21.428571428571431</v>
      </c>
      <c r="O62" s="71">
        <v>214.28571428571431</v>
      </c>
    </row>
    <row r="63" spans="1:15">
      <c r="A63" s="86" t="s">
        <v>263</v>
      </c>
      <c r="B63" s="34" t="s">
        <v>927</v>
      </c>
      <c r="C63" s="87" t="s">
        <v>2</v>
      </c>
      <c r="D63" s="173">
        <v>214.33</v>
      </c>
      <c r="E63" s="173">
        <v>183.71</v>
      </c>
      <c r="F63" s="171">
        <v>0.3</v>
      </c>
      <c r="J63" s="86" t="s">
        <v>264</v>
      </c>
      <c r="K63" s="87">
        <v>10</v>
      </c>
      <c r="L63" s="42">
        <v>21.433333333333334</v>
      </c>
      <c r="M63" s="65">
        <v>214.33333333333334</v>
      </c>
      <c r="N63" s="71">
        <v>18.37142857142857</v>
      </c>
      <c r="O63" s="71">
        <v>183.71428571428569</v>
      </c>
    </row>
    <row r="64" spans="1:15">
      <c r="A64" s="86" t="s">
        <v>267</v>
      </c>
      <c r="B64" s="34" t="s">
        <v>927</v>
      </c>
      <c r="C64" s="87" t="s">
        <v>2</v>
      </c>
      <c r="D64" s="173">
        <v>158.13</v>
      </c>
      <c r="E64" s="173">
        <v>135.54</v>
      </c>
      <c r="F64" s="171">
        <v>0.30000000000000004</v>
      </c>
      <c r="J64" s="86" t="s">
        <v>268</v>
      </c>
      <c r="K64" s="87">
        <v>8</v>
      </c>
      <c r="L64" s="42">
        <v>19.766666666666666</v>
      </c>
      <c r="M64" s="27">
        <v>158.13333333333333</v>
      </c>
      <c r="N64" s="71">
        <v>16.942857142857143</v>
      </c>
      <c r="O64" s="71">
        <v>135.54285714285714</v>
      </c>
    </row>
    <row r="65" spans="1:15">
      <c r="A65" s="86" t="s">
        <v>271</v>
      </c>
      <c r="B65" s="34" t="s">
        <v>927</v>
      </c>
      <c r="C65" s="87" t="s">
        <v>2</v>
      </c>
      <c r="D65" s="173">
        <v>199.33</v>
      </c>
      <c r="E65" s="173">
        <v>170.86</v>
      </c>
      <c r="F65" s="171">
        <v>0.3000000000000001</v>
      </c>
      <c r="J65" s="86" t="s">
        <v>908</v>
      </c>
      <c r="K65" s="87">
        <v>10</v>
      </c>
      <c r="L65" s="42">
        <v>19.933333333333337</v>
      </c>
      <c r="M65" s="27">
        <v>199.33333333333337</v>
      </c>
      <c r="N65" s="71">
        <v>17.085714285714289</v>
      </c>
      <c r="O65" s="71">
        <v>170.85714285714289</v>
      </c>
    </row>
    <row r="66" spans="1:15">
      <c r="A66" s="86" t="s">
        <v>275</v>
      </c>
      <c r="B66" s="34" t="s">
        <v>927</v>
      </c>
      <c r="C66" s="87" t="s">
        <v>2</v>
      </c>
      <c r="D66" s="173">
        <v>213.33</v>
      </c>
      <c r="E66" s="173">
        <v>182.86</v>
      </c>
      <c r="F66" s="171">
        <v>0.30000000000000004</v>
      </c>
      <c r="J66" s="86" t="s">
        <v>276</v>
      </c>
      <c r="K66" s="87">
        <v>10</v>
      </c>
      <c r="L66" s="42">
        <v>21.333333333333336</v>
      </c>
      <c r="M66" s="27">
        <v>213.33333333333337</v>
      </c>
      <c r="N66" s="71">
        <v>18.285714285714288</v>
      </c>
      <c r="O66" s="71">
        <v>182.85714285714289</v>
      </c>
    </row>
    <row r="67" spans="1:15">
      <c r="A67" s="86" t="s">
        <v>277</v>
      </c>
      <c r="B67" s="34" t="s">
        <v>927</v>
      </c>
      <c r="C67" s="87" t="s">
        <v>2</v>
      </c>
      <c r="D67" s="173">
        <v>163.33000000000001</v>
      </c>
      <c r="E67" s="173">
        <v>140</v>
      </c>
      <c r="F67" s="171">
        <v>0.30000000000000004</v>
      </c>
      <c r="J67" s="86" t="s">
        <v>278</v>
      </c>
      <c r="K67" s="87">
        <v>40</v>
      </c>
      <c r="L67" s="42">
        <v>4.0833333333333339</v>
      </c>
      <c r="M67" s="65">
        <v>163.33333333333337</v>
      </c>
      <c r="N67" s="71">
        <v>3.5000000000000004</v>
      </c>
      <c r="O67" s="71">
        <v>140.00000000000003</v>
      </c>
    </row>
    <row r="68" spans="1:15">
      <c r="A68" s="33" t="s">
        <v>283</v>
      </c>
      <c r="B68" s="34" t="s">
        <v>927</v>
      </c>
      <c r="C68" s="34" t="s">
        <v>2</v>
      </c>
      <c r="D68" s="173">
        <v>178.33</v>
      </c>
      <c r="E68" s="173">
        <v>152.86000000000001</v>
      </c>
      <c r="F68" s="171">
        <v>0.3000000000000001</v>
      </c>
      <c r="J68" s="33" t="s">
        <v>284</v>
      </c>
      <c r="K68" s="34">
        <v>20</v>
      </c>
      <c r="L68" s="42">
        <v>8.9166666666666661</v>
      </c>
      <c r="M68" s="27">
        <v>178.33333333333331</v>
      </c>
      <c r="N68" s="71">
        <v>7.6428571428571432</v>
      </c>
      <c r="O68" s="71">
        <v>152.85714285714286</v>
      </c>
    </row>
    <row r="69" spans="1:15">
      <c r="A69" s="86" t="s">
        <v>285</v>
      </c>
      <c r="B69" s="34" t="s">
        <v>927</v>
      </c>
      <c r="C69" s="87" t="s">
        <v>2</v>
      </c>
      <c r="D69" s="173">
        <v>178.33</v>
      </c>
      <c r="E69" s="173">
        <v>152.86000000000001</v>
      </c>
      <c r="F69" s="171">
        <v>0.3000000000000001</v>
      </c>
      <c r="J69" s="86" t="s">
        <v>286</v>
      </c>
      <c r="K69" s="87">
        <v>20</v>
      </c>
      <c r="L69" s="65">
        <v>8.9166666666666661</v>
      </c>
      <c r="M69" s="27">
        <v>178.33333333333331</v>
      </c>
      <c r="N69" s="71">
        <v>7.6428571428571432</v>
      </c>
      <c r="O69" s="71">
        <v>152.85714285714286</v>
      </c>
    </row>
    <row r="70" spans="1:15">
      <c r="A70" s="86" t="s">
        <v>287</v>
      </c>
      <c r="B70" s="34" t="s">
        <v>927</v>
      </c>
      <c r="C70" s="87" t="s">
        <v>2</v>
      </c>
      <c r="D70" s="173">
        <v>168</v>
      </c>
      <c r="E70" s="173">
        <v>144</v>
      </c>
      <c r="F70" s="171">
        <v>0.3</v>
      </c>
      <c r="J70" s="86" t="s">
        <v>288</v>
      </c>
      <c r="K70" s="87">
        <v>20</v>
      </c>
      <c r="L70" s="42">
        <v>8.4</v>
      </c>
      <c r="M70" s="27">
        <v>168</v>
      </c>
      <c r="N70" s="71">
        <v>7.2</v>
      </c>
      <c r="O70" s="71">
        <v>144</v>
      </c>
    </row>
    <row r="71" spans="1:15">
      <c r="A71" s="86" t="s">
        <v>291</v>
      </c>
      <c r="B71" s="34" t="s">
        <v>927</v>
      </c>
      <c r="C71" s="87" t="s">
        <v>2</v>
      </c>
      <c r="D71" s="173">
        <v>61</v>
      </c>
      <c r="E71" s="173">
        <v>52.29</v>
      </c>
      <c r="F71" s="171">
        <v>0.30000000000000004</v>
      </c>
      <c r="J71" s="86" t="s">
        <v>292</v>
      </c>
      <c r="K71" s="87">
        <v>30</v>
      </c>
      <c r="L71" s="42">
        <v>2.0333333333333332</v>
      </c>
      <c r="M71" s="27">
        <v>61</v>
      </c>
      <c r="N71" s="71">
        <v>1.7428571428571429</v>
      </c>
      <c r="O71" s="71">
        <v>52.285714285714285</v>
      </c>
    </row>
    <row r="72" spans="1:15">
      <c r="A72" s="86" t="s">
        <v>293</v>
      </c>
      <c r="B72" s="34" t="s">
        <v>927</v>
      </c>
      <c r="C72" s="87" t="s">
        <v>2</v>
      </c>
      <c r="D72" s="173">
        <v>62.08</v>
      </c>
      <c r="E72" s="173">
        <v>53.21</v>
      </c>
      <c r="F72" s="171">
        <v>0.3</v>
      </c>
      <c r="J72" s="86" t="s">
        <v>294</v>
      </c>
      <c r="K72" s="87">
        <v>25</v>
      </c>
      <c r="L72" s="42">
        <v>2.4833333333333334</v>
      </c>
      <c r="M72" s="27">
        <v>62.083333333333336</v>
      </c>
      <c r="N72" s="71">
        <v>2.1285714285714286</v>
      </c>
      <c r="O72" s="71">
        <v>53.214285714285715</v>
      </c>
    </row>
    <row r="73" spans="1:15">
      <c r="A73" s="86" t="s">
        <v>295</v>
      </c>
      <c r="B73" s="34" t="s">
        <v>927</v>
      </c>
      <c r="C73" s="87" t="s">
        <v>2</v>
      </c>
      <c r="D73" s="173">
        <v>71.25</v>
      </c>
      <c r="E73" s="173">
        <v>61.07</v>
      </c>
      <c r="F73" s="171">
        <v>0.3000000000000001</v>
      </c>
      <c r="J73" s="86" t="s">
        <v>296</v>
      </c>
      <c r="K73" s="87">
        <v>25</v>
      </c>
      <c r="L73" s="42">
        <v>2.85</v>
      </c>
      <c r="M73" s="27">
        <v>71.25</v>
      </c>
      <c r="N73" s="71">
        <v>2.4428571428571431</v>
      </c>
      <c r="O73" s="71">
        <v>61.071428571428577</v>
      </c>
    </row>
    <row r="74" spans="1:15">
      <c r="A74" s="86" t="s">
        <v>297</v>
      </c>
      <c r="B74" s="34" t="s">
        <v>927</v>
      </c>
      <c r="C74" s="87" t="s">
        <v>2</v>
      </c>
      <c r="D74" s="173">
        <v>146.66999999999999</v>
      </c>
      <c r="E74" s="173">
        <v>125.71</v>
      </c>
      <c r="F74" s="171">
        <v>0.30000000000000004</v>
      </c>
      <c r="J74" s="86" t="s">
        <v>298</v>
      </c>
      <c r="K74" s="87">
        <v>40</v>
      </c>
      <c r="L74" s="42">
        <v>3.666666666666667</v>
      </c>
      <c r="M74" s="27">
        <v>146.66666666666669</v>
      </c>
      <c r="N74" s="71">
        <v>3.1428571428571432</v>
      </c>
      <c r="O74" s="71">
        <v>125.71428571428572</v>
      </c>
    </row>
    <row r="75" spans="1:15">
      <c r="A75" s="86" t="s">
        <v>299</v>
      </c>
      <c r="B75" s="34" t="s">
        <v>927</v>
      </c>
      <c r="C75" s="87" t="s">
        <v>2</v>
      </c>
      <c r="D75" s="173">
        <v>164.67</v>
      </c>
      <c r="E75" s="173">
        <v>141.13999999999999</v>
      </c>
      <c r="F75" s="171">
        <v>0.3000000000000001</v>
      </c>
      <c r="J75" s="86" t="s">
        <v>300</v>
      </c>
      <c r="K75" s="87">
        <v>38</v>
      </c>
      <c r="L75" s="42">
        <v>4.3333333333333339</v>
      </c>
      <c r="M75" s="27">
        <v>164.66666666666669</v>
      </c>
      <c r="N75" s="71">
        <v>3.7142857142857149</v>
      </c>
      <c r="O75" s="71">
        <v>141.14285714285717</v>
      </c>
    </row>
    <row r="76" spans="1:15">
      <c r="A76" s="86" t="s">
        <v>305</v>
      </c>
      <c r="B76" s="34" t="s">
        <v>927</v>
      </c>
      <c r="C76" s="87" t="s">
        <v>2</v>
      </c>
      <c r="D76" s="173">
        <v>158.93</v>
      </c>
      <c r="E76" s="173">
        <v>136.22999999999999</v>
      </c>
      <c r="F76" s="171">
        <v>0.3</v>
      </c>
      <c r="J76" s="86" t="s">
        <v>306</v>
      </c>
      <c r="K76" s="87">
        <v>32</v>
      </c>
      <c r="L76" s="42">
        <v>4.9666666666666668</v>
      </c>
      <c r="M76" s="27">
        <v>158.93333333333334</v>
      </c>
      <c r="N76" s="71">
        <v>4.2571428571428571</v>
      </c>
      <c r="O76" s="71">
        <v>136.22857142857143</v>
      </c>
    </row>
    <row r="77" spans="1:15">
      <c r="A77" s="86" t="s">
        <v>307</v>
      </c>
      <c r="B77" s="34" t="s">
        <v>927</v>
      </c>
      <c r="C77" s="87" t="s">
        <v>2</v>
      </c>
      <c r="D77" s="173">
        <v>141.9</v>
      </c>
      <c r="E77" s="173">
        <v>121.63</v>
      </c>
      <c r="F77" s="171">
        <v>0.3000000000000001</v>
      </c>
      <c r="J77" s="86" t="s">
        <v>308</v>
      </c>
      <c r="K77" s="87">
        <v>22</v>
      </c>
      <c r="L77" s="42">
        <v>6.45</v>
      </c>
      <c r="M77" s="27">
        <v>141.9</v>
      </c>
      <c r="N77" s="71">
        <v>5.5285714285714294</v>
      </c>
      <c r="O77" s="71">
        <v>121.62857142857145</v>
      </c>
    </row>
    <row r="78" spans="1:15">
      <c r="A78" s="86" t="s">
        <v>315</v>
      </c>
      <c r="B78" s="34" t="s">
        <v>927</v>
      </c>
      <c r="C78" s="87" t="s">
        <v>2</v>
      </c>
      <c r="D78" s="173">
        <v>307.87</v>
      </c>
      <c r="E78" s="173">
        <v>263.89</v>
      </c>
      <c r="F78" s="171">
        <v>0.30000000000000004</v>
      </c>
      <c r="J78" s="86" t="s">
        <v>316</v>
      </c>
      <c r="K78" s="87">
        <v>8</v>
      </c>
      <c r="L78" s="42">
        <v>38.483333333333334</v>
      </c>
      <c r="M78" s="27">
        <v>307.86666666666667</v>
      </c>
      <c r="N78" s="71">
        <v>32.985714285714288</v>
      </c>
      <c r="O78" s="71">
        <v>263.8857142857143</v>
      </c>
    </row>
    <row r="79" spans="1:15">
      <c r="A79" s="86" t="s">
        <v>318</v>
      </c>
      <c r="B79" s="34" t="s">
        <v>927</v>
      </c>
      <c r="C79" s="87" t="s">
        <v>2</v>
      </c>
      <c r="D79" s="173">
        <v>137.5</v>
      </c>
      <c r="E79" s="173">
        <v>117.86</v>
      </c>
      <c r="F79" s="171">
        <v>0.30000000000000004</v>
      </c>
      <c r="J79" s="86" t="s">
        <v>319</v>
      </c>
      <c r="K79" s="87">
        <v>15</v>
      </c>
      <c r="L79" s="42">
        <v>9.1666666666666679</v>
      </c>
      <c r="M79" s="27">
        <v>137.50000000000003</v>
      </c>
      <c r="N79" s="71">
        <v>7.8571428571428577</v>
      </c>
      <c r="O79" s="71">
        <v>117.85714285714286</v>
      </c>
    </row>
    <row r="80" spans="1:15" ht="15.75" customHeight="1">
      <c r="A80" s="86" t="s">
        <v>909</v>
      </c>
      <c r="B80" s="34" t="s">
        <v>927</v>
      </c>
      <c r="C80" s="87" t="s">
        <v>2</v>
      </c>
      <c r="D80" s="173">
        <v>213.33</v>
      </c>
      <c r="E80" s="173">
        <v>182.86</v>
      </c>
      <c r="F80" s="171">
        <v>0.30000000000000004</v>
      </c>
      <c r="J80" s="86" t="s">
        <v>910</v>
      </c>
      <c r="K80" s="87">
        <v>10</v>
      </c>
      <c r="L80" s="42">
        <v>21.333333333333336</v>
      </c>
      <c r="M80" s="27">
        <v>213.33333333333337</v>
      </c>
      <c r="N80" s="71">
        <v>18.285714285714288</v>
      </c>
      <c r="O80" s="71">
        <v>182.85714285714289</v>
      </c>
    </row>
    <row r="81" spans="1:15" s="10" customFormat="1">
      <c r="A81" s="86" t="s">
        <v>322</v>
      </c>
      <c r="B81" s="34" t="s">
        <v>927</v>
      </c>
      <c r="C81" s="87" t="s">
        <v>2</v>
      </c>
      <c r="D81" s="173">
        <v>239</v>
      </c>
      <c r="E81" s="173">
        <v>204.86</v>
      </c>
      <c r="F81" s="171">
        <v>0.30000000000000004</v>
      </c>
      <c r="J81" s="86" t="s">
        <v>323</v>
      </c>
      <c r="K81" s="87">
        <v>15</v>
      </c>
      <c r="L81" s="42">
        <v>15.933333333333335</v>
      </c>
      <c r="M81" s="27">
        <v>239.00000000000003</v>
      </c>
      <c r="N81" s="71">
        <v>13.657142857142858</v>
      </c>
      <c r="O81" s="71">
        <v>204.85714285714289</v>
      </c>
    </row>
    <row r="82" spans="1:15">
      <c r="A82" s="86" t="s">
        <v>919</v>
      </c>
      <c r="B82" s="34" t="s">
        <v>927</v>
      </c>
      <c r="C82" s="87" t="s">
        <v>2</v>
      </c>
      <c r="D82" s="173">
        <v>148.16999999999999</v>
      </c>
      <c r="E82" s="173">
        <v>127</v>
      </c>
      <c r="F82" s="171">
        <v>0.3</v>
      </c>
      <c r="J82" s="86" t="s">
        <v>920</v>
      </c>
      <c r="K82" s="87">
        <v>10</v>
      </c>
      <c r="L82" s="42">
        <v>14.816666666666668</v>
      </c>
      <c r="M82" s="27">
        <v>148.16666666666669</v>
      </c>
      <c r="N82" s="71">
        <v>12.700000000000001</v>
      </c>
      <c r="O82" s="71">
        <v>127.00000000000001</v>
      </c>
    </row>
    <row r="83" spans="1:15">
      <c r="A83" s="86" t="s">
        <v>330</v>
      </c>
      <c r="B83" s="34" t="s">
        <v>927</v>
      </c>
      <c r="C83" s="87" t="s">
        <v>2</v>
      </c>
      <c r="D83" s="173">
        <v>208</v>
      </c>
      <c r="E83" s="173">
        <v>178.29</v>
      </c>
      <c r="F83" s="171">
        <v>0.3000000000000001</v>
      </c>
      <c r="J83" s="86" t="s">
        <v>923</v>
      </c>
      <c r="K83" s="87">
        <v>8</v>
      </c>
      <c r="L83" s="42">
        <v>26</v>
      </c>
      <c r="M83" s="27">
        <v>208</v>
      </c>
      <c r="N83" s="71">
        <v>22.285714285714288</v>
      </c>
      <c r="O83" s="71">
        <v>178.28571428571431</v>
      </c>
    </row>
    <row r="84" spans="1:15">
      <c r="A84" s="86" t="s">
        <v>921</v>
      </c>
      <c r="B84" s="34" t="s">
        <v>927</v>
      </c>
      <c r="C84" s="87" t="s">
        <v>2</v>
      </c>
      <c r="D84" s="173">
        <v>195.5</v>
      </c>
      <c r="E84" s="173">
        <v>167.57</v>
      </c>
      <c r="F84" s="171">
        <v>0.3000000000000001</v>
      </c>
      <c r="J84" s="86" t="s">
        <v>922</v>
      </c>
      <c r="K84" s="87">
        <v>10</v>
      </c>
      <c r="L84" s="42">
        <v>19.55</v>
      </c>
      <c r="M84" s="27">
        <v>195.5</v>
      </c>
      <c r="N84" s="71">
        <v>16.75714285714286</v>
      </c>
      <c r="O84" s="71">
        <v>167.57142857142861</v>
      </c>
    </row>
    <row r="85" spans="1:15">
      <c r="A85" s="86" t="s">
        <v>332</v>
      </c>
      <c r="B85" s="34" t="s">
        <v>927</v>
      </c>
      <c r="C85" s="87" t="s">
        <v>2</v>
      </c>
      <c r="D85" s="173">
        <v>307.67</v>
      </c>
      <c r="E85" s="173">
        <v>263.70999999999998</v>
      </c>
      <c r="F85" s="171">
        <v>0.30000000000000004</v>
      </c>
      <c r="J85" s="86" t="s">
        <v>333</v>
      </c>
      <c r="K85" s="87">
        <v>10</v>
      </c>
      <c r="L85" s="42">
        <v>30.766666666666669</v>
      </c>
      <c r="M85" s="27">
        <v>307.66666666666669</v>
      </c>
      <c r="N85" s="71">
        <v>26.371428571428574</v>
      </c>
      <c r="O85" s="71">
        <v>263.71428571428572</v>
      </c>
    </row>
    <row r="86" spans="1:15">
      <c r="A86" s="86" t="s">
        <v>924</v>
      </c>
      <c r="B86" s="34" t="s">
        <v>927</v>
      </c>
      <c r="C86" s="87" t="s">
        <v>2</v>
      </c>
      <c r="D86" s="173">
        <v>204.83</v>
      </c>
      <c r="E86" s="173">
        <v>175.57</v>
      </c>
      <c r="F86" s="171">
        <v>0.30000000000000004</v>
      </c>
      <c r="J86" s="86" t="s">
        <v>925</v>
      </c>
      <c r="K86" s="87">
        <v>10</v>
      </c>
      <c r="L86" s="42">
        <v>20.483333333333334</v>
      </c>
      <c r="M86" s="27">
        <v>204.83333333333334</v>
      </c>
      <c r="N86" s="71">
        <v>17.557142857142857</v>
      </c>
      <c r="O86" s="71">
        <v>175.57142857142856</v>
      </c>
    </row>
    <row r="87" spans="1:15">
      <c r="A87" s="33" t="s">
        <v>0</v>
      </c>
      <c r="B87" s="34" t="s">
        <v>927</v>
      </c>
      <c r="C87" s="34" t="s">
        <v>2</v>
      </c>
      <c r="D87" s="173">
        <v>50</v>
      </c>
      <c r="E87" s="173">
        <v>42.86</v>
      </c>
      <c r="F87" s="171">
        <v>0.30000000000000004</v>
      </c>
      <c r="J87" s="33" t="s">
        <v>1</v>
      </c>
      <c r="K87" s="34">
        <v>1000</v>
      </c>
      <c r="L87" s="42">
        <v>0.05</v>
      </c>
      <c r="M87" s="65">
        <v>50</v>
      </c>
      <c r="N87" s="71">
        <v>4.2857142857142858E-2</v>
      </c>
      <c r="O87" s="71">
        <v>42.857142857142854</v>
      </c>
    </row>
    <row r="88" spans="1:15">
      <c r="A88" s="33" t="s">
        <v>4</v>
      </c>
      <c r="B88" s="34" t="s">
        <v>927</v>
      </c>
      <c r="C88" s="34" t="s">
        <v>2</v>
      </c>
      <c r="D88" s="173">
        <v>58.33</v>
      </c>
      <c r="E88" s="173">
        <v>50</v>
      </c>
      <c r="F88" s="171">
        <v>0.30000000000000004</v>
      </c>
      <c r="J88" s="33" t="s">
        <v>5</v>
      </c>
      <c r="K88" s="34">
        <v>500</v>
      </c>
      <c r="L88" s="42">
        <v>0.11666666666666668</v>
      </c>
      <c r="M88" s="65">
        <v>58.333333333333343</v>
      </c>
      <c r="N88" s="71">
        <v>0.10000000000000002</v>
      </c>
      <c r="O88" s="71">
        <v>50.000000000000007</v>
      </c>
    </row>
    <row r="89" spans="1:15">
      <c r="A89" s="33" t="s">
        <v>6</v>
      </c>
      <c r="B89" s="34" t="s">
        <v>927</v>
      </c>
      <c r="C89" s="34" t="s">
        <v>2</v>
      </c>
      <c r="D89" s="173">
        <v>91.67</v>
      </c>
      <c r="E89" s="173">
        <v>78.569999999999993</v>
      </c>
      <c r="F89" s="171">
        <v>0.3000000000000001</v>
      </c>
      <c r="J89" s="33" t="s">
        <v>7</v>
      </c>
      <c r="K89" s="34">
        <v>500</v>
      </c>
      <c r="L89" s="42">
        <v>0.18333333333333335</v>
      </c>
      <c r="M89" s="65">
        <v>91.666666666666671</v>
      </c>
      <c r="N89" s="71">
        <v>0.15714285714285717</v>
      </c>
      <c r="O89" s="71">
        <v>78.571428571428584</v>
      </c>
    </row>
    <row r="90" spans="1:15">
      <c r="A90" s="33" t="s">
        <v>8</v>
      </c>
      <c r="B90" s="34" t="s">
        <v>927</v>
      </c>
      <c r="C90" s="34" t="s">
        <v>2</v>
      </c>
      <c r="D90" s="173">
        <v>95</v>
      </c>
      <c r="E90" s="173">
        <v>81.430000000000007</v>
      </c>
      <c r="F90" s="171">
        <v>0.3000000000000001</v>
      </c>
      <c r="J90" s="33" t="s">
        <v>9</v>
      </c>
      <c r="K90" s="34">
        <v>300</v>
      </c>
      <c r="L90" s="42">
        <v>0.31666666666666671</v>
      </c>
      <c r="M90" s="65">
        <v>95.000000000000014</v>
      </c>
      <c r="N90" s="71">
        <v>0.27142857142857146</v>
      </c>
      <c r="O90" s="71">
        <v>81.428571428571445</v>
      </c>
    </row>
    <row r="91" spans="1:15">
      <c r="A91" s="33" t="s">
        <v>10</v>
      </c>
      <c r="B91" s="34" t="s">
        <v>927</v>
      </c>
      <c r="C91" s="34" t="s">
        <v>2</v>
      </c>
      <c r="D91" s="173">
        <v>80</v>
      </c>
      <c r="E91" s="173">
        <v>68.569999999999993</v>
      </c>
      <c r="F91" s="171">
        <v>0.30000000000000004</v>
      </c>
      <c r="J91" s="33" t="s">
        <v>11</v>
      </c>
      <c r="K91" s="34">
        <v>150</v>
      </c>
      <c r="L91" s="42">
        <v>0.53333333333333333</v>
      </c>
      <c r="M91" s="65">
        <v>80</v>
      </c>
      <c r="N91" s="71">
        <v>0.45714285714285718</v>
      </c>
      <c r="O91" s="71">
        <v>68.571428571428584</v>
      </c>
    </row>
    <row r="92" spans="1:15">
      <c r="A92" s="33" t="s">
        <v>12</v>
      </c>
      <c r="B92" s="34" t="s">
        <v>927</v>
      </c>
      <c r="C92" s="34" t="s">
        <v>2</v>
      </c>
      <c r="D92" s="173">
        <v>102.5</v>
      </c>
      <c r="E92" s="173">
        <v>87.86</v>
      </c>
      <c r="F92" s="171">
        <v>0.3000000000000001</v>
      </c>
      <c r="J92" s="33" t="s">
        <v>13</v>
      </c>
      <c r="K92" s="34">
        <v>150</v>
      </c>
      <c r="L92" s="42">
        <v>0.68333333333333335</v>
      </c>
      <c r="M92" s="65">
        <v>102.5</v>
      </c>
      <c r="N92" s="71">
        <v>0.58571428571428574</v>
      </c>
      <c r="O92" s="71">
        <v>87.857142857142861</v>
      </c>
    </row>
    <row r="93" spans="1:15">
      <c r="A93" s="33" t="s">
        <v>14</v>
      </c>
      <c r="B93" s="34" t="s">
        <v>927</v>
      </c>
      <c r="C93" s="34" t="s">
        <v>2</v>
      </c>
      <c r="D93" s="173">
        <v>90</v>
      </c>
      <c r="E93" s="173">
        <v>77.14</v>
      </c>
      <c r="F93" s="171">
        <v>0.3000000000000001</v>
      </c>
      <c r="J93" s="33" t="s">
        <v>15</v>
      </c>
      <c r="K93" s="34">
        <v>100</v>
      </c>
      <c r="L93" s="42">
        <v>0.90000000000000013</v>
      </c>
      <c r="M93" s="65">
        <v>90.000000000000014</v>
      </c>
      <c r="N93" s="71">
        <v>0.77142857142857157</v>
      </c>
      <c r="O93" s="71">
        <v>77.142857142857153</v>
      </c>
    </row>
    <row r="94" spans="1:15">
      <c r="A94" s="33" t="s">
        <v>16</v>
      </c>
      <c r="B94" s="34" t="s">
        <v>927</v>
      </c>
      <c r="C94" s="34" t="s">
        <v>2</v>
      </c>
      <c r="D94" s="173">
        <v>93.33</v>
      </c>
      <c r="E94" s="173">
        <v>80</v>
      </c>
      <c r="F94" s="171">
        <v>0.30000000000000004</v>
      </c>
      <c r="J94" s="33" t="s">
        <v>17</v>
      </c>
      <c r="K94" s="34">
        <v>100</v>
      </c>
      <c r="L94" s="42">
        <v>0.93333333333333346</v>
      </c>
      <c r="M94" s="65">
        <v>93.333333333333343</v>
      </c>
      <c r="N94" s="71">
        <v>0.80000000000000016</v>
      </c>
      <c r="O94" s="71">
        <v>80.000000000000014</v>
      </c>
    </row>
    <row r="95" spans="1:15">
      <c r="A95" s="33" t="s">
        <v>18</v>
      </c>
      <c r="B95" s="34" t="s">
        <v>927</v>
      </c>
      <c r="C95" s="34" t="s">
        <v>2</v>
      </c>
      <c r="D95" s="173">
        <v>126.67</v>
      </c>
      <c r="E95" s="173">
        <v>108.57</v>
      </c>
      <c r="F95" s="171">
        <v>0.3000000000000001</v>
      </c>
      <c r="J95" s="33" t="s">
        <v>19</v>
      </c>
      <c r="K95" s="34">
        <v>100</v>
      </c>
      <c r="L95" s="42">
        <v>1.2666666666666668</v>
      </c>
      <c r="M95" s="65">
        <v>126.66666666666669</v>
      </c>
      <c r="N95" s="71">
        <v>1.0857142857142859</v>
      </c>
      <c r="O95" s="71">
        <v>108.57142857142858</v>
      </c>
    </row>
    <row r="96" spans="1:15">
      <c r="A96" s="33" t="s">
        <v>20</v>
      </c>
      <c r="B96" s="34" t="s">
        <v>927</v>
      </c>
      <c r="C96" s="34" t="s">
        <v>2</v>
      </c>
      <c r="D96" s="173">
        <v>160</v>
      </c>
      <c r="E96" s="173">
        <v>137.13999999999999</v>
      </c>
      <c r="F96" s="171">
        <v>0.30000000000000004</v>
      </c>
      <c r="J96" s="33" t="s">
        <v>21</v>
      </c>
      <c r="K96" s="34">
        <v>100</v>
      </c>
      <c r="L96" s="42">
        <v>1.6</v>
      </c>
      <c r="M96" s="65">
        <v>160</v>
      </c>
      <c r="N96" s="71">
        <v>1.3714285714285714</v>
      </c>
      <c r="O96" s="71">
        <v>137.14285714285714</v>
      </c>
    </row>
    <row r="97" spans="1:15">
      <c r="A97" s="33" t="s">
        <v>22</v>
      </c>
      <c r="B97" s="34" t="s">
        <v>927</v>
      </c>
      <c r="C97" s="34" t="s">
        <v>2</v>
      </c>
      <c r="D97" s="173">
        <v>145</v>
      </c>
      <c r="E97" s="173">
        <v>124.29</v>
      </c>
      <c r="F97" s="171">
        <v>0.30000000000000004</v>
      </c>
      <c r="J97" s="33" t="s">
        <v>23</v>
      </c>
      <c r="K97" s="34">
        <v>50</v>
      </c>
      <c r="L97" s="42">
        <v>2.9</v>
      </c>
      <c r="M97" s="65">
        <v>145</v>
      </c>
      <c r="N97" s="71">
        <v>2.4857142857142858</v>
      </c>
      <c r="O97" s="71">
        <v>124.28571428571429</v>
      </c>
    </row>
    <row r="98" spans="1:15">
      <c r="A98" s="33" t="s">
        <v>24</v>
      </c>
      <c r="B98" s="34" t="s">
        <v>927</v>
      </c>
      <c r="C98" s="34" t="s">
        <v>2</v>
      </c>
      <c r="D98" s="173">
        <v>90</v>
      </c>
      <c r="E98" s="173">
        <v>77.14</v>
      </c>
      <c r="F98" s="171">
        <v>0.3000000000000001</v>
      </c>
      <c r="J98" s="33" t="s">
        <v>25</v>
      </c>
      <c r="K98" s="34">
        <v>200</v>
      </c>
      <c r="L98" s="42">
        <v>0.45000000000000007</v>
      </c>
      <c r="M98" s="65">
        <v>90.000000000000014</v>
      </c>
      <c r="N98" s="71">
        <v>0.38571428571428579</v>
      </c>
      <c r="O98" s="71">
        <v>77.142857142857153</v>
      </c>
    </row>
    <row r="99" spans="1:15">
      <c r="A99" s="33" t="s">
        <v>26</v>
      </c>
      <c r="B99" s="34" t="s">
        <v>927</v>
      </c>
      <c r="C99" s="34" t="s">
        <v>2</v>
      </c>
      <c r="D99" s="173">
        <v>115</v>
      </c>
      <c r="E99" s="173">
        <v>98.57</v>
      </c>
      <c r="F99" s="171">
        <v>0.3000000000000001</v>
      </c>
      <c r="J99" s="33" t="s">
        <v>27</v>
      </c>
      <c r="K99" s="34">
        <v>150</v>
      </c>
      <c r="L99" s="42">
        <v>0.76666666666666672</v>
      </c>
      <c r="M99" s="65">
        <v>115.00000000000001</v>
      </c>
      <c r="N99" s="71">
        <v>0.65714285714285725</v>
      </c>
      <c r="O99" s="71">
        <v>98.571428571428584</v>
      </c>
    </row>
    <row r="100" spans="1:15">
      <c r="A100" s="33" t="s">
        <v>28</v>
      </c>
      <c r="B100" s="34" t="s">
        <v>927</v>
      </c>
      <c r="C100" s="34" t="s">
        <v>2</v>
      </c>
      <c r="D100" s="173">
        <v>57.5</v>
      </c>
      <c r="E100" s="173">
        <v>49.29</v>
      </c>
      <c r="F100" s="171">
        <v>0.3</v>
      </c>
      <c r="J100" s="33" t="s">
        <v>29</v>
      </c>
      <c r="K100" s="34">
        <v>50</v>
      </c>
      <c r="L100" s="42">
        <v>1.1499999999999999</v>
      </c>
      <c r="M100" s="65">
        <v>57.499999999999993</v>
      </c>
      <c r="N100" s="71">
        <v>0.98571428571428565</v>
      </c>
      <c r="O100" s="71">
        <v>49.285714285714285</v>
      </c>
    </row>
    <row r="101" spans="1:15">
      <c r="A101" s="33" t="s">
        <v>30</v>
      </c>
      <c r="B101" s="34" t="s">
        <v>927</v>
      </c>
      <c r="C101" s="34" t="s">
        <v>2</v>
      </c>
      <c r="D101" s="173">
        <v>67.5</v>
      </c>
      <c r="E101" s="173">
        <v>57.86</v>
      </c>
      <c r="F101" s="171">
        <v>0.30000000000000004</v>
      </c>
      <c r="J101" s="33" t="s">
        <v>31</v>
      </c>
      <c r="K101" s="34">
        <v>50</v>
      </c>
      <c r="L101" s="42">
        <v>1.35</v>
      </c>
      <c r="M101" s="65">
        <v>67.5</v>
      </c>
      <c r="N101" s="71">
        <v>1.1571428571428573</v>
      </c>
      <c r="O101" s="71">
        <v>57.857142857142861</v>
      </c>
    </row>
    <row r="102" spans="1:15">
      <c r="A102" s="33" t="s">
        <v>32</v>
      </c>
      <c r="B102" s="34" t="s">
        <v>927</v>
      </c>
      <c r="C102" s="34" t="s">
        <v>2</v>
      </c>
      <c r="D102" s="173">
        <v>66.67</v>
      </c>
      <c r="E102" s="173">
        <v>57.14</v>
      </c>
      <c r="F102" s="171">
        <v>0.30000000000000004</v>
      </c>
      <c r="J102" s="33" t="s">
        <v>33</v>
      </c>
      <c r="K102" s="34">
        <v>50</v>
      </c>
      <c r="L102" s="42">
        <v>1.3333333333333335</v>
      </c>
      <c r="M102" s="65">
        <v>66.666666666666671</v>
      </c>
      <c r="N102" s="71">
        <v>1.142857142857143</v>
      </c>
      <c r="O102" s="71">
        <v>57.142857142857153</v>
      </c>
    </row>
    <row r="103" spans="1:15">
      <c r="A103" s="33" t="s">
        <v>34</v>
      </c>
      <c r="B103" s="34" t="s">
        <v>927</v>
      </c>
      <c r="C103" s="34" t="s">
        <v>2</v>
      </c>
      <c r="D103" s="173">
        <v>90</v>
      </c>
      <c r="E103" s="173">
        <v>77.14</v>
      </c>
      <c r="F103" s="171">
        <v>0.3000000000000001</v>
      </c>
      <c r="J103" s="33" t="s">
        <v>35</v>
      </c>
      <c r="K103" s="34">
        <v>50</v>
      </c>
      <c r="L103" s="42">
        <v>1.8000000000000003</v>
      </c>
      <c r="M103" s="65">
        <v>90.000000000000014</v>
      </c>
      <c r="N103" s="71">
        <v>1.5428571428571431</v>
      </c>
      <c r="O103" s="71">
        <v>77.142857142857153</v>
      </c>
    </row>
    <row r="104" spans="1:15">
      <c r="A104" s="33" t="s">
        <v>36</v>
      </c>
      <c r="B104" s="34" t="s">
        <v>927</v>
      </c>
      <c r="C104" s="34" t="s">
        <v>2</v>
      </c>
      <c r="D104" s="173">
        <v>113.33</v>
      </c>
      <c r="E104" s="173">
        <v>97.14</v>
      </c>
      <c r="F104" s="171">
        <v>0.30000000000000004</v>
      </c>
      <c r="J104" s="33" t="s">
        <v>37</v>
      </c>
      <c r="K104" s="34">
        <v>50</v>
      </c>
      <c r="L104" s="42">
        <v>2.2666666666666671</v>
      </c>
      <c r="M104" s="65">
        <v>113.33333333333336</v>
      </c>
      <c r="N104" s="71">
        <v>1.9428571428571431</v>
      </c>
      <c r="O104" s="71">
        <v>97.142857142857153</v>
      </c>
    </row>
    <row r="105" spans="1:15">
      <c r="A105" s="33" t="s">
        <v>38</v>
      </c>
      <c r="B105" s="34" t="s">
        <v>927</v>
      </c>
      <c r="C105" s="34" t="s">
        <v>2</v>
      </c>
      <c r="D105" s="173">
        <v>66.67</v>
      </c>
      <c r="E105" s="173">
        <v>57.14</v>
      </c>
      <c r="F105" s="171">
        <v>0.30000000000000004</v>
      </c>
      <c r="J105" s="33" t="s">
        <v>39</v>
      </c>
      <c r="K105" s="34">
        <v>50</v>
      </c>
      <c r="L105" s="42">
        <v>1.3333333333333335</v>
      </c>
      <c r="M105" s="65">
        <v>66.666666666666671</v>
      </c>
      <c r="N105" s="71">
        <v>1.142857142857143</v>
      </c>
      <c r="O105" s="71">
        <v>57.142857142857153</v>
      </c>
    </row>
    <row r="106" spans="1:15">
      <c r="A106" s="33" t="s">
        <v>40</v>
      </c>
      <c r="B106" s="34" t="s">
        <v>927</v>
      </c>
      <c r="C106" s="34" t="s">
        <v>2</v>
      </c>
      <c r="D106" s="173">
        <v>78.33</v>
      </c>
      <c r="E106" s="173">
        <v>67.14</v>
      </c>
      <c r="F106" s="171">
        <v>0.3000000000000001</v>
      </c>
      <c r="J106" s="33" t="s">
        <v>41</v>
      </c>
      <c r="K106" s="34">
        <v>50</v>
      </c>
      <c r="L106" s="42">
        <v>1.5666666666666667</v>
      </c>
      <c r="M106" s="65">
        <v>78.333333333333329</v>
      </c>
      <c r="N106" s="71">
        <v>1.342857142857143</v>
      </c>
      <c r="O106" s="71">
        <v>67.142857142857153</v>
      </c>
    </row>
    <row r="107" spans="1:15">
      <c r="A107" s="33" t="s">
        <v>42</v>
      </c>
      <c r="B107" s="34" t="s">
        <v>927</v>
      </c>
      <c r="C107" s="34" t="s">
        <v>2</v>
      </c>
      <c r="D107" s="173">
        <v>89.17</v>
      </c>
      <c r="E107" s="173">
        <v>76.430000000000007</v>
      </c>
      <c r="F107" s="171">
        <v>0.3</v>
      </c>
      <c r="J107" s="33" t="s">
        <v>43</v>
      </c>
      <c r="K107" s="34">
        <v>50</v>
      </c>
      <c r="L107" s="42">
        <v>1.7833333333333334</v>
      </c>
      <c r="M107" s="65">
        <v>89.166666666666671</v>
      </c>
      <c r="N107" s="71">
        <v>1.5285714285714287</v>
      </c>
      <c r="O107" s="71">
        <v>76.428571428571431</v>
      </c>
    </row>
    <row r="108" spans="1:15">
      <c r="A108" s="33" t="s">
        <v>44</v>
      </c>
      <c r="B108" s="34" t="s">
        <v>927</v>
      </c>
      <c r="C108" s="34" t="s">
        <v>2</v>
      </c>
      <c r="D108" s="173">
        <v>77.5</v>
      </c>
      <c r="E108" s="173">
        <v>66.430000000000007</v>
      </c>
      <c r="F108" s="171">
        <v>0.30000000000000004</v>
      </c>
      <c r="J108" s="33" t="s">
        <v>45</v>
      </c>
      <c r="K108" s="34">
        <v>50</v>
      </c>
      <c r="L108" s="42">
        <v>1.55</v>
      </c>
      <c r="M108" s="65">
        <v>77.5</v>
      </c>
      <c r="N108" s="71">
        <v>1.3285714285714287</v>
      </c>
      <c r="O108" s="71">
        <v>66.428571428571431</v>
      </c>
    </row>
    <row r="109" spans="1:15">
      <c r="A109" s="7" t="s">
        <v>46</v>
      </c>
      <c r="B109" s="14" t="s">
        <v>927</v>
      </c>
      <c r="C109" s="14" t="s">
        <v>2</v>
      </c>
      <c r="D109" s="174">
        <v>106</v>
      </c>
      <c r="E109" s="174">
        <v>90.86</v>
      </c>
      <c r="F109" s="172">
        <v>0.3000000000000001</v>
      </c>
      <c r="J109" s="7" t="s">
        <v>47</v>
      </c>
      <c r="K109" s="14">
        <v>40</v>
      </c>
      <c r="L109" s="44">
        <v>2.6500000000000004</v>
      </c>
      <c r="M109" s="66">
        <v>106.00000000000001</v>
      </c>
      <c r="N109" s="72">
        <v>2.2714285714285718</v>
      </c>
      <c r="O109" s="72">
        <v>90.857142857142875</v>
      </c>
    </row>
  </sheetData>
  <pageMargins left="0.25" right="0.25"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2"/>
  <sheetViews>
    <sheetView zoomScale="85" zoomScaleNormal="85" zoomScalePageLayoutView="85" workbookViewId="0">
      <selection activeCell="E26" sqref="E26"/>
    </sheetView>
  </sheetViews>
  <sheetFormatPr defaultColWidth="8.85546875" defaultRowHeight="15"/>
  <cols>
    <col min="1" max="2" width="15.7109375" customWidth="1"/>
    <col min="3" max="3" width="50.7109375" customWidth="1"/>
    <col min="4" max="5" width="15.7109375" customWidth="1"/>
    <col min="6" max="6" width="50.7109375" customWidth="1"/>
  </cols>
  <sheetData>
    <row r="1" spans="1:6" s="147" customFormat="1" ht="18.75">
      <c r="A1" s="563" t="s">
        <v>929</v>
      </c>
      <c r="B1" s="563"/>
      <c r="C1" s="563"/>
      <c r="D1" s="564" t="s">
        <v>930</v>
      </c>
      <c r="E1" s="565"/>
      <c r="F1" s="566"/>
    </row>
    <row r="2" spans="1:6" s="26" customFormat="1">
      <c r="A2" s="24" t="s">
        <v>350</v>
      </c>
      <c r="B2" s="24" t="s">
        <v>344</v>
      </c>
      <c r="C2" s="24" t="s">
        <v>345</v>
      </c>
      <c r="D2" s="24" t="s">
        <v>350</v>
      </c>
      <c r="E2" s="24" t="s">
        <v>344</v>
      </c>
      <c r="F2" s="24" t="s">
        <v>345</v>
      </c>
    </row>
    <row r="3" spans="1:6">
      <c r="A3" s="4" t="s">
        <v>352</v>
      </c>
      <c r="B3" s="4" t="s">
        <v>116</v>
      </c>
      <c r="C3" s="4" t="s">
        <v>117</v>
      </c>
      <c r="D3" s="4" t="s">
        <v>354</v>
      </c>
      <c r="E3" s="4" t="s">
        <v>70</v>
      </c>
      <c r="F3" s="4" t="s">
        <v>71</v>
      </c>
    </row>
    <row r="4" spans="1:6">
      <c r="A4" s="33" t="s">
        <v>352</v>
      </c>
      <c r="B4" s="33" t="s">
        <v>118</v>
      </c>
      <c r="C4" s="33" t="s">
        <v>119</v>
      </c>
      <c r="D4" s="33" t="s">
        <v>354</v>
      </c>
      <c r="E4" s="33" t="s">
        <v>72</v>
      </c>
      <c r="F4" s="33" t="s">
        <v>73</v>
      </c>
    </row>
    <row r="5" spans="1:6">
      <c r="A5" s="33" t="s">
        <v>352</v>
      </c>
      <c r="B5" s="33" t="s">
        <v>120</v>
      </c>
      <c r="C5" s="33" t="s">
        <v>121</v>
      </c>
      <c r="D5" s="33" t="s">
        <v>354</v>
      </c>
      <c r="E5" s="33" t="s">
        <v>74</v>
      </c>
      <c r="F5" s="33" t="s">
        <v>75</v>
      </c>
    </row>
    <row r="6" spans="1:6">
      <c r="A6" s="33" t="s">
        <v>352</v>
      </c>
      <c r="B6" s="33" t="s">
        <v>122</v>
      </c>
      <c r="C6" s="33" t="s">
        <v>123</v>
      </c>
      <c r="D6" s="33" t="s">
        <v>354</v>
      </c>
      <c r="E6" s="33" t="s">
        <v>76</v>
      </c>
      <c r="F6" s="33" t="s">
        <v>77</v>
      </c>
    </row>
    <row r="7" spans="1:6">
      <c r="A7" s="33" t="s">
        <v>352</v>
      </c>
      <c r="B7" s="33" t="s">
        <v>125</v>
      </c>
      <c r="C7" s="33" t="s">
        <v>126</v>
      </c>
      <c r="D7" s="33" t="s">
        <v>354</v>
      </c>
      <c r="E7" s="33" t="s">
        <v>78</v>
      </c>
      <c r="F7" s="33" t="s">
        <v>79</v>
      </c>
    </row>
    <row r="8" spans="1:6">
      <c r="A8" s="33" t="s">
        <v>352</v>
      </c>
      <c r="B8" s="33" t="s">
        <v>127</v>
      </c>
      <c r="C8" s="33" t="s">
        <v>128</v>
      </c>
      <c r="D8" s="33" t="s">
        <v>354</v>
      </c>
      <c r="E8" s="33" t="s">
        <v>80</v>
      </c>
      <c r="F8" s="33" t="s">
        <v>81</v>
      </c>
    </row>
    <row r="9" spans="1:6">
      <c r="A9" s="33" t="s">
        <v>352</v>
      </c>
      <c r="B9" s="33" t="s">
        <v>129</v>
      </c>
      <c r="C9" s="33" t="s">
        <v>130</v>
      </c>
      <c r="D9" s="33" t="s">
        <v>354</v>
      </c>
      <c r="E9" s="33" t="s">
        <v>82</v>
      </c>
      <c r="F9" s="33" t="s">
        <v>83</v>
      </c>
    </row>
    <row r="10" spans="1:6">
      <c r="A10" s="33" t="s">
        <v>352</v>
      </c>
      <c r="B10" s="33" t="s">
        <v>131</v>
      </c>
      <c r="C10" s="33" t="s">
        <v>132</v>
      </c>
      <c r="D10" s="33" t="s">
        <v>354</v>
      </c>
      <c r="E10" s="33" t="s">
        <v>84</v>
      </c>
      <c r="F10" s="33" t="s">
        <v>85</v>
      </c>
    </row>
    <row r="11" spans="1:6">
      <c r="A11" s="33" t="s">
        <v>352</v>
      </c>
      <c r="B11" s="33" t="s">
        <v>100</v>
      </c>
      <c r="C11" s="33" t="s">
        <v>101</v>
      </c>
      <c r="D11" s="33" t="s">
        <v>354</v>
      </c>
      <c r="E11" s="33" t="s">
        <v>54</v>
      </c>
      <c r="F11" s="33" t="s">
        <v>55</v>
      </c>
    </row>
    <row r="12" spans="1:6" s="10" customFormat="1">
      <c r="A12" s="33" t="s">
        <v>352</v>
      </c>
      <c r="B12" s="33" t="s">
        <v>102</v>
      </c>
      <c r="C12" s="33" t="s">
        <v>103</v>
      </c>
      <c r="D12" s="33" t="s">
        <v>354</v>
      </c>
      <c r="E12" s="33" t="s">
        <v>56</v>
      </c>
      <c r="F12" s="33" t="s">
        <v>57</v>
      </c>
    </row>
    <row r="13" spans="1:6">
      <c r="A13" s="33" t="s">
        <v>352</v>
      </c>
      <c r="B13" s="33" t="s">
        <v>104</v>
      </c>
      <c r="C13" s="33" t="s">
        <v>105</v>
      </c>
      <c r="D13" s="33" t="s">
        <v>354</v>
      </c>
      <c r="E13" s="33" t="s">
        <v>58</v>
      </c>
      <c r="F13" s="33" t="s">
        <v>59</v>
      </c>
    </row>
    <row r="14" spans="1:6">
      <c r="A14" s="33" t="s">
        <v>352</v>
      </c>
      <c r="B14" s="33" t="s">
        <v>106</v>
      </c>
      <c r="C14" s="33" t="s">
        <v>107</v>
      </c>
      <c r="D14" s="33" t="s">
        <v>354</v>
      </c>
      <c r="E14" s="33" t="s">
        <v>60</v>
      </c>
      <c r="F14" s="33" t="s">
        <v>61</v>
      </c>
    </row>
    <row r="15" spans="1:6">
      <c r="A15" s="33" t="s">
        <v>352</v>
      </c>
      <c r="B15" s="33" t="s">
        <v>108</v>
      </c>
      <c r="C15" s="33" t="s">
        <v>109</v>
      </c>
      <c r="D15" s="33" t="s">
        <v>354</v>
      </c>
      <c r="E15" s="33" t="s">
        <v>62</v>
      </c>
      <c r="F15" s="33" t="s">
        <v>63</v>
      </c>
    </row>
    <row r="16" spans="1:6">
      <c r="A16" s="33" t="s">
        <v>352</v>
      </c>
      <c r="B16" s="33" t="s">
        <v>110</v>
      </c>
      <c r="C16" s="33" t="s">
        <v>111</v>
      </c>
      <c r="D16" s="33" t="s">
        <v>354</v>
      </c>
      <c r="E16" s="33" t="s">
        <v>64</v>
      </c>
      <c r="F16" s="33" t="s">
        <v>65</v>
      </c>
    </row>
    <row r="17" spans="1:6">
      <c r="A17" s="33" t="s">
        <v>352</v>
      </c>
      <c r="B17" s="33" t="s">
        <v>112</v>
      </c>
      <c r="C17" s="33" t="s">
        <v>113</v>
      </c>
      <c r="D17" s="33" t="s">
        <v>354</v>
      </c>
      <c r="E17" s="33" t="s">
        <v>66</v>
      </c>
      <c r="F17" s="33" t="s">
        <v>67</v>
      </c>
    </row>
    <row r="18" spans="1:6">
      <c r="A18" s="33" t="s">
        <v>352</v>
      </c>
      <c r="B18" s="33" t="s">
        <v>114</v>
      </c>
      <c r="C18" s="33" t="s">
        <v>115</v>
      </c>
      <c r="D18" s="33" t="s">
        <v>354</v>
      </c>
      <c r="E18" s="33" t="s">
        <v>68</v>
      </c>
      <c r="F18" s="33" t="s">
        <v>69</v>
      </c>
    </row>
    <row r="19" spans="1:6">
      <c r="A19" s="33" t="s">
        <v>352</v>
      </c>
      <c r="B19" s="33" t="s">
        <v>137</v>
      </c>
      <c r="C19" s="33" t="s">
        <v>138</v>
      </c>
      <c r="D19" s="33" t="s">
        <v>354</v>
      </c>
      <c r="E19" s="33" t="s">
        <v>86</v>
      </c>
      <c r="F19" s="33" t="s">
        <v>87</v>
      </c>
    </row>
    <row r="20" spans="1:6">
      <c r="A20" s="33" t="s">
        <v>352</v>
      </c>
      <c r="B20" s="33" t="s">
        <v>139</v>
      </c>
      <c r="C20" s="33" t="s">
        <v>140</v>
      </c>
      <c r="D20" s="33" t="s">
        <v>354</v>
      </c>
      <c r="E20" s="33" t="s">
        <v>88</v>
      </c>
      <c r="F20" s="33" t="s">
        <v>89</v>
      </c>
    </row>
    <row r="21" spans="1:6">
      <c r="A21" s="33" t="s">
        <v>352</v>
      </c>
      <c r="B21" s="33" t="s">
        <v>141</v>
      </c>
      <c r="C21" s="33" t="s">
        <v>142</v>
      </c>
      <c r="D21" s="33" t="s">
        <v>354</v>
      </c>
      <c r="E21" s="33" t="s">
        <v>90</v>
      </c>
      <c r="F21" s="33" t="s">
        <v>91</v>
      </c>
    </row>
    <row r="22" spans="1:6">
      <c r="A22" s="7" t="s">
        <v>352</v>
      </c>
      <c r="B22" s="7" t="s">
        <v>143</v>
      </c>
      <c r="C22" s="7" t="s">
        <v>144</v>
      </c>
      <c r="D22" s="7" t="s">
        <v>354</v>
      </c>
      <c r="E22" s="7" t="s">
        <v>92</v>
      </c>
      <c r="F22" s="7" t="s">
        <v>93</v>
      </c>
    </row>
  </sheetData>
  <mergeCells count="2">
    <mergeCell ref="A1:C1"/>
    <mergeCell ref="D1:F1"/>
  </mergeCells>
  <pageMargins left="0.25" right="0.25"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J142"/>
  <sheetViews>
    <sheetView zoomScale="85" zoomScaleNormal="85" zoomScaleSheetLayoutView="85" zoomScalePageLayoutView="85" workbookViewId="0">
      <pane xSplit="3" ySplit="2" topLeftCell="D45" activePane="bottomRight" state="frozen"/>
      <selection pane="topRight" activeCell="D1" sqref="D1"/>
      <selection pane="bottomLeft" activeCell="A3" sqref="A3"/>
      <selection pane="bottomRight" activeCell="B65" sqref="B65"/>
    </sheetView>
  </sheetViews>
  <sheetFormatPr defaultColWidth="8.85546875" defaultRowHeight="15"/>
  <cols>
    <col min="1" max="1" width="14.140625" bestFit="1" customWidth="1"/>
    <col min="2" max="2" width="12.140625" bestFit="1" customWidth="1"/>
    <col min="3" max="3" width="45.7109375" customWidth="1"/>
    <col min="4" max="7" width="9.28515625" style="15" customWidth="1"/>
    <col min="8" max="8" width="9.28515625" style="60" customWidth="1"/>
    <col min="9" max="9" width="8.28515625" style="60" bestFit="1" customWidth="1"/>
  </cols>
  <sheetData>
    <row r="1" spans="1:9">
      <c r="B1" s="1"/>
      <c r="C1" s="1"/>
      <c r="D1" s="11"/>
      <c r="E1" s="11"/>
      <c r="F1" s="11"/>
      <c r="G1" s="545" t="s">
        <v>348</v>
      </c>
      <c r="H1" s="546"/>
    </row>
    <row r="2" spans="1:9" s="26" customFormat="1" ht="30">
      <c r="A2" s="24" t="s">
        <v>350</v>
      </c>
      <c r="B2" s="24" t="s">
        <v>344</v>
      </c>
      <c r="C2" s="24" t="s">
        <v>345</v>
      </c>
      <c r="D2" s="23" t="s">
        <v>358</v>
      </c>
      <c r="E2" s="23" t="s">
        <v>902</v>
      </c>
      <c r="F2" s="23" t="s">
        <v>357</v>
      </c>
      <c r="G2" s="23" t="s">
        <v>362</v>
      </c>
      <c r="H2" s="56" t="s">
        <v>363</v>
      </c>
      <c r="I2" s="76" t="s">
        <v>376</v>
      </c>
    </row>
    <row r="3" spans="1:9">
      <c r="A3" s="33" t="s">
        <v>351</v>
      </c>
      <c r="B3" s="33" t="s">
        <v>0</v>
      </c>
      <c r="C3" s="33" t="s">
        <v>1</v>
      </c>
      <c r="D3" s="34">
        <v>1000</v>
      </c>
      <c r="E3" s="34" t="s">
        <v>2</v>
      </c>
      <c r="F3" s="34">
        <v>63</v>
      </c>
      <c r="G3" s="47">
        <v>0.05</v>
      </c>
      <c r="H3" s="68">
        <v>46.15</v>
      </c>
      <c r="I3" s="83">
        <v>153156</v>
      </c>
    </row>
    <row r="4" spans="1:9">
      <c r="A4" s="33" t="s">
        <v>351</v>
      </c>
      <c r="B4" s="33" t="s">
        <v>4</v>
      </c>
      <c r="C4" s="33" t="s">
        <v>5</v>
      </c>
      <c r="D4" s="34">
        <v>500</v>
      </c>
      <c r="E4" s="34" t="s">
        <v>2</v>
      </c>
      <c r="F4" s="34">
        <v>52</v>
      </c>
      <c r="G4" s="47">
        <v>0.11</v>
      </c>
      <c r="H4" s="68">
        <v>53.85</v>
      </c>
      <c r="I4" s="82">
        <v>153156</v>
      </c>
    </row>
    <row r="5" spans="1:9">
      <c r="A5" s="33" t="s">
        <v>351</v>
      </c>
      <c r="B5" s="33" t="s">
        <v>6</v>
      </c>
      <c r="C5" s="33" t="s">
        <v>7</v>
      </c>
      <c r="D5" s="34">
        <v>500</v>
      </c>
      <c r="E5" s="34" t="s">
        <v>2</v>
      </c>
      <c r="F5" s="34">
        <v>21</v>
      </c>
      <c r="G5" s="47">
        <v>0.17</v>
      </c>
      <c r="H5" s="68">
        <v>84.62</v>
      </c>
      <c r="I5" s="82">
        <v>153156</v>
      </c>
    </row>
    <row r="6" spans="1:9">
      <c r="A6" s="33" t="s">
        <v>351</v>
      </c>
      <c r="B6" s="33" t="s">
        <v>8</v>
      </c>
      <c r="C6" s="33" t="s">
        <v>9</v>
      </c>
      <c r="D6" s="34">
        <v>300</v>
      </c>
      <c r="E6" s="34" t="s">
        <v>2</v>
      </c>
      <c r="F6" s="34">
        <v>30</v>
      </c>
      <c r="G6" s="47">
        <v>0.28999999999999998</v>
      </c>
      <c r="H6" s="68">
        <v>87.69</v>
      </c>
      <c r="I6" s="82">
        <v>153156</v>
      </c>
    </row>
    <row r="7" spans="1:9">
      <c r="A7" s="33" t="s">
        <v>351</v>
      </c>
      <c r="B7" s="33" t="s">
        <v>10</v>
      </c>
      <c r="C7" s="33" t="s">
        <v>11</v>
      </c>
      <c r="D7" s="34">
        <v>150</v>
      </c>
      <c r="E7" s="34" t="s">
        <v>2</v>
      </c>
      <c r="F7" s="34">
        <v>40</v>
      </c>
      <c r="G7" s="47">
        <v>0.49</v>
      </c>
      <c r="H7" s="68">
        <v>73.849999999999994</v>
      </c>
      <c r="I7" s="82">
        <v>153156</v>
      </c>
    </row>
    <row r="8" spans="1:9">
      <c r="A8" s="33" t="s">
        <v>351</v>
      </c>
      <c r="B8" s="33" t="s">
        <v>12</v>
      </c>
      <c r="C8" s="33" t="s">
        <v>13</v>
      </c>
      <c r="D8" s="34">
        <v>150</v>
      </c>
      <c r="E8" s="34" t="s">
        <v>2</v>
      </c>
      <c r="F8" s="34">
        <v>42</v>
      </c>
      <c r="G8" s="47">
        <v>0.63</v>
      </c>
      <c r="H8" s="68">
        <v>94.62</v>
      </c>
      <c r="I8" s="82">
        <v>153156</v>
      </c>
    </row>
    <row r="9" spans="1:9">
      <c r="A9" s="33" t="s">
        <v>351</v>
      </c>
      <c r="B9" s="33" t="s">
        <v>14</v>
      </c>
      <c r="C9" s="33" t="s">
        <v>15</v>
      </c>
      <c r="D9" s="34">
        <v>100</v>
      </c>
      <c r="E9" s="34" t="s">
        <v>2</v>
      </c>
      <c r="F9" s="34">
        <v>48</v>
      </c>
      <c r="G9" s="47">
        <v>0.83</v>
      </c>
      <c r="H9" s="68">
        <v>83.08</v>
      </c>
      <c r="I9" s="82">
        <v>153156</v>
      </c>
    </row>
    <row r="10" spans="1:9">
      <c r="A10" s="33" t="s">
        <v>351</v>
      </c>
      <c r="B10" s="33" t="s">
        <v>16</v>
      </c>
      <c r="C10" s="33" t="s">
        <v>17</v>
      </c>
      <c r="D10" s="34">
        <v>100</v>
      </c>
      <c r="E10" s="34" t="s">
        <v>2</v>
      </c>
      <c r="F10" s="34">
        <v>30</v>
      </c>
      <c r="G10" s="47">
        <v>0.86</v>
      </c>
      <c r="H10" s="68">
        <v>86.15</v>
      </c>
      <c r="I10" s="82">
        <v>153156</v>
      </c>
    </row>
    <row r="11" spans="1:9">
      <c r="A11" s="33" t="s">
        <v>351</v>
      </c>
      <c r="B11" s="33" t="s">
        <v>18</v>
      </c>
      <c r="C11" s="33" t="s">
        <v>19</v>
      </c>
      <c r="D11" s="34">
        <v>100</v>
      </c>
      <c r="E11" s="34" t="s">
        <v>2</v>
      </c>
      <c r="F11" s="34">
        <v>21</v>
      </c>
      <c r="G11" s="47">
        <v>1.17</v>
      </c>
      <c r="H11" s="68">
        <v>116.92</v>
      </c>
      <c r="I11" s="82">
        <v>153156</v>
      </c>
    </row>
    <row r="12" spans="1:9">
      <c r="A12" s="33" t="s">
        <v>351</v>
      </c>
      <c r="B12" s="33" t="s">
        <v>20</v>
      </c>
      <c r="C12" s="33" t="s">
        <v>21</v>
      </c>
      <c r="D12" s="34">
        <v>100</v>
      </c>
      <c r="E12" s="34" t="s">
        <v>2</v>
      </c>
      <c r="F12" s="34">
        <v>24</v>
      </c>
      <c r="G12" s="47">
        <v>1.48</v>
      </c>
      <c r="H12" s="68">
        <v>147.69</v>
      </c>
      <c r="I12" s="82">
        <v>153156</v>
      </c>
    </row>
    <row r="13" spans="1:9">
      <c r="A13" s="33" t="s">
        <v>351</v>
      </c>
      <c r="B13" s="33" t="s">
        <v>22</v>
      </c>
      <c r="C13" s="33" t="s">
        <v>23</v>
      </c>
      <c r="D13" s="34">
        <v>50</v>
      </c>
      <c r="E13" s="34" t="s">
        <v>2</v>
      </c>
      <c r="F13" s="34">
        <v>24</v>
      </c>
      <c r="G13" s="47">
        <v>2.68</v>
      </c>
      <c r="H13" s="68">
        <v>133.85</v>
      </c>
      <c r="I13" s="82">
        <v>153156</v>
      </c>
    </row>
    <row r="14" spans="1:9">
      <c r="A14" s="33" t="s">
        <v>351</v>
      </c>
      <c r="B14" s="33" t="s">
        <v>24</v>
      </c>
      <c r="C14" s="33" t="s">
        <v>25</v>
      </c>
      <c r="D14" s="34">
        <v>200</v>
      </c>
      <c r="E14" s="34" t="s">
        <v>2</v>
      </c>
      <c r="F14" s="34">
        <v>30</v>
      </c>
      <c r="G14" s="47">
        <v>0.42</v>
      </c>
      <c r="H14" s="68">
        <v>83.08</v>
      </c>
      <c r="I14" s="82">
        <v>153156</v>
      </c>
    </row>
    <row r="15" spans="1:9">
      <c r="A15" s="33" t="s">
        <v>351</v>
      </c>
      <c r="B15" s="33" t="s">
        <v>26</v>
      </c>
      <c r="C15" s="33" t="s">
        <v>27</v>
      </c>
      <c r="D15" s="34">
        <v>150</v>
      </c>
      <c r="E15" s="34" t="s">
        <v>2</v>
      </c>
      <c r="F15" s="34">
        <v>32</v>
      </c>
      <c r="G15" s="47">
        <v>0.71</v>
      </c>
      <c r="H15" s="68">
        <v>106.15</v>
      </c>
      <c r="I15" s="82">
        <v>153156</v>
      </c>
    </row>
    <row r="16" spans="1:9">
      <c r="A16" s="33" t="s">
        <v>351</v>
      </c>
      <c r="B16" s="33" t="s">
        <v>28</v>
      </c>
      <c r="C16" s="33" t="s">
        <v>29</v>
      </c>
      <c r="D16" s="34">
        <v>50</v>
      </c>
      <c r="E16" s="34" t="s">
        <v>2</v>
      </c>
      <c r="F16" s="34">
        <v>42</v>
      </c>
      <c r="G16" s="47">
        <v>1.06</v>
      </c>
      <c r="H16" s="68">
        <v>53.08</v>
      </c>
      <c r="I16" s="82">
        <v>153156</v>
      </c>
    </row>
    <row r="17" spans="1:9">
      <c r="A17" s="33" t="s">
        <v>351</v>
      </c>
      <c r="B17" s="33" t="s">
        <v>30</v>
      </c>
      <c r="C17" s="33" t="s">
        <v>31</v>
      </c>
      <c r="D17" s="34">
        <v>50</v>
      </c>
      <c r="E17" s="34" t="s">
        <v>2</v>
      </c>
      <c r="F17" s="34">
        <v>42</v>
      </c>
      <c r="G17" s="47">
        <v>1.25</v>
      </c>
      <c r="H17" s="68">
        <v>62.31</v>
      </c>
      <c r="I17" s="82">
        <v>153156</v>
      </c>
    </row>
    <row r="18" spans="1:9">
      <c r="A18" s="33" t="s">
        <v>351</v>
      </c>
      <c r="B18" s="33" t="s">
        <v>32</v>
      </c>
      <c r="C18" s="33" t="s">
        <v>33</v>
      </c>
      <c r="D18" s="34">
        <v>50</v>
      </c>
      <c r="E18" s="34" t="s">
        <v>2</v>
      </c>
      <c r="F18" s="34">
        <v>42</v>
      </c>
      <c r="G18" s="47">
        <v>1.23</v>
      </c>
      <c r="H18" s="68">
        <v>61.54</v>
      </c>
      <c r="I18" s="82">
        <v>153156</v>
      </c>
    </row>
    <row r="19" spans="1:9">
      <c r="A19" s="33" t="s">
        <v>351</v>
      </c>
      <c r="B19" s="33" t="s">
        <v>34</v>
      </c>
      <c r="C19" s="33" t="s">
        <v>35</v>
      </c>
      <c r="D19" s="34">
        <v>50</v>
      </c>
      <c r="E19" s="34" t="s">
        <v>2</v>
      </c>
      <c r="F19" s="34">
        <v>33</v>
      </c>
      <c r="G19" s="47">
        <v>1.66</v>
      </c>
      <c r="H19" s="68">
        <v>83.08</v>
      </c>
      <c r="I19" s="82">
        <v>153156</v>
      </c>
    </row>
    <row r="20" spans="1:9">
      <c r="A20" s="33" t="s">
        <v>351</v>
      </c>
      <c r="B20" s="33" t="s">
        <v>36</v>
      </c>
      <c r="C20" s="33" t="s">
        <v>37</v>
      </c>
      <c r="D20" s="34">
        <v>50</v>
      </c>
      <c r="E20" s="34" t="s">
        <v>2</v>
      </c>
      <c r="F20" s="34">
        <v>33</v>
      </c>
      <c r="G20" s="47">
        <v>2.09</v>
      </c>
      <c r="H20" s="68">
        <v>104.62</v>
      </c>
      <c r="I20" s="82">
        <v>153156</v>
      </c>
    </row>
    <row r="21" spans="1:9">
      <c r="A21" s="33" t="s">
        <v>351</v>
      </c>
      <c r="B21" s="33" t="s">
        <v>38</v>
      </c>
      <c r="C21" s="33" t="s">
        <v>39</v>
      </c>
      <c r="D21" s="34">
        <v>50</v>
      </c>
      <c r="E21" s="34" t="s">
        <v>2</v>
      </c>
      <c r="F21" s="34">
        <v>42</v>
      </c>
      <c r="G21" s="47">
        <v>1.23</v>
      </c>
      <c r="H21" s="68">
        <v>61.54</v>
      </c>
      <c r="I21" s="82">
        <v>153156</v>
      </c>
    </row>
    <row r="22" spans="1:9">
      <c r="A22" s="33" t="s">
        <v>351</v>
      </c>
      <c r="B22" s="33" t="s">
        <v>40</v>
      </c>
      <c r="C22" s="33" t="s">
        <v>41</v>
      </c>
      <c r="D22" s="34">
        <v>50</v>
      </c>
      <c r="E22" s="34" t="s">
        <v>2</v>
      </c>
      <c r="F22" s="34">
        <v>42</v>
      </c>
      <c r="G22" s="47">
        <v>1.45</v>
      </c>
      <c r="H22" s="68">
        <v>72.31</v>
      </c>
      <c r="I22" s="82">
        <v>153156</v>
      </c>
    </row>
    <row r="23" spans="1:9">
      <c r="A23" s="33" t="s">
        <v>351</v>
      </c>
      <c r="B23" s="33" t="s">
        <v>42</v>
      </c>
      <c r="C23" s="33" t="s">
        <v>43</v>
      </c>
      <c r="D23" s="34">
        <v>50</v>
      </c>
      <c r="E23" s="34" t="s">
        <v>2</v>
      </c>
      <c r="F23" s="34">
        <v>42</v>
      </c>
      <c r="G23" s="47">
        <v>1.65</v>
      </c>
      <c r="H23" s="68">
        <v>82.31</v>
      </c>
      <c r="I23" s="82">
        <v>153156</v>
      </c>
    </row>
    <row r="24" spans="1:9">
      <c r="A24" s="33" t="s">
        <v>351</v>
      </c>
      <c r="B24" s="33" t="s">
        <v>44</v>
      </c>
      <c r="C24" s="33" t="s">
        <v>45</v>
      </c>
      <c r="D24" s="34">
        <v>50</v>
      </c>
      <c r="E24" s="34" t="s">
        <v>2</v>
      </c>
      <c r="F24" s="34">
        <v>42</v>
      </c>
      <c r="G24" s="47">
        <v>1.43</v>
      </c>
      <c r="H24" s="68">
        <v>71.540000000000006</v>
      </c>
      <c r="I24" s="82">
        <v>153156</v>
      </c>
    </row>
    <row r="25" spans="1:9">
      <c r="A25" s="7" t="s">
        <v>351</v>
      </c>
      <c r="B25" s="7" t="s">
        <v>46</v>
      </c>
      <c r="C25" s="7" t="s">
        <v>47</v>
      </c>
      <c r="D25" s="14">
        <v>40</v>
      </c>
      <c r="E25" s="14" t="s">
        <v>2</v>
      </c>
      <c r="F25" s="14">
        <v>33</v>
      </c>
      <c r="G25" s="49">
        <v>2.4500000000000002</v>
      </c>
      <c r="H25" s="69">
        <v>97.85</v>
      </c>
      <c r="I25" s="82">
        <v>153156</v>
      </c>
    </row>
    <row r="26" spans="1:9">
      <c r="A26" s="4" t="s">
        <v>354</v>
      </c>
      <c r="B26" s="4" t="s">
        <v>70</v>
      </c>
      <c r="C26" s="4" t="s">
        <v>71</v>
      </c>
      <c r="D26" s="12">
        <v>70</v>
      </c>
      <c r="E26" s="12" t="s">
        <v>2</v>
      </c>
      <c r="F26" s="12">
        <v>24</v>
      </c>
      <c r="G26" s="47">
        <v>3.06</v>
      </c>
      <c r="H26" s="68">
        <v>214.31</v>
      </c>
      <c r="I26" s="83">
        <v>140379</v>
      </c>
    </row>
    <row r="27" spans="1:9">
      <c r="A27" s="33" t="s">
        <v>354</v>
      </c>
      <c r="B27" s="33" t="s">
        <v>72</v>
      </c>
      <c r="C27" s="33" t="s">
        <v>73</v>
      </c>
      <c r="D27" s="34">
        <v>70</v>
      </c>
      <c r="E27" s="34" t="s">
        <v>2</v>
      </c>
      <c r="F27" s="34">
        <v>24</v>
      </c>
      <c r="G27" s="47">
        <v>3.06</v>
      </c>
      <c r="H27" s="68">
        <v>214.31</v>
      </c>
      <c r="I27" s="82">
        <v>140379</v>
      </c>
    </row>
    <row r="28" spans="1:9">
      <c r="A28" s="33" t="s">
        <v>354</v>
      </c>
      <c r="B28" s="33" t="s">
        <v>74</v>
      </c>
      <c r="C28" s="33" t="s">
        <v>75</v>
      </c>
      <c r="D28" s="34">
        <v>60</v>
      </c>
      <c r="E28" s="34" t="s">
        <v>2</v>
      </c>
      <c r="F28" s="34">
        <v>24</v>
      </c>
      <c r="G28" s="47">
        <v>3.06</v>
      </c>
      <c r="H28" s="68">
        <v>183.69</v>
      </c>
      <c r="I28" s="82">
        <v>140379</v>
      </c>
    </row>
    <row r="29" spans="1:9">
      <c r="A29" s="33" t="s">
        <v>354</v>
      </c>
      <c r="B29" s="33" t="s">
        <v>76</v>
      </c>
      <c r="C29" s="33" t="s">
        <v>77</v>
      </c>
      <c r="D29" s="34">
        <v>50</v>
      </c>
      <c r="E29" s="34" t="s">
        <v>2</v>
      </c>
      <c r="F29" s="34">
        <v>24</v>
      </c>
      <c r="G29" s="47">
        <v>3.06</v>
      </c>
      <c r="H29" s="68">
        <v>153.08000000000001</v>
      </c>
      <c r="I29" s="82">
        <v>140379</v>
      </c>
    </row>
    <row r="30" spans="1:9">
      <c r="A30" s="33" t="s">
        <v>354</v>
      </c>
      <c r="B30" s="33" t="s">
        <v>78</v>
      </c>
      <c r="C30" s="33" t="s">
        <v>79</v>
      </c>
      <c r="D30" s="34">
        <v>60</v>
      </c>
      <c r="E30" s="34" t="s">
        <v>2</v>
      </c>
      <c r="F30" s="34">
        <v>24</v>
      </c>
      <c r="G30" s="47">
        <v>3.92</v>
      </c>
      <c r="H30" s="68">
        <v>235.38</v>
      </c>
      <c r="I30" s="82">
        <v>140379</v>
      </c>
    </row>
    <row r="31" spans="1:9">
      <c r="A31" s="33" t="s">
        <v>354</v>
      </c>
      <c r="B31" s="33" t="s">
        <v>80</v>
      </c>
      <c r="C31" s="33" t="s">
        <v>81</v>
      </c>
      <c r="D31" s="34">
        <v>54</v>
      </c>
      <c r="E31" s="34" t="s">
        <v>2</v>
      </c>
      <c r="F31" s="34">
        <v>24</v>
      </c>
      <c r="G31" s="47">
        <v>3.92</v>
      </c>
      <c r="H31" s="68">
        <v>211.85</v>
      </c>
      <c r="I31" s="82">
        <v>140379</v>
      </c>
    </row>
    <row r="32" spans="1:9">
      <c r="A32" s="33" t="s">
        <v>354</v>
      </c>
      <c r="B32" s="33" t="s">
        <v>82</v>
      </c>
      <c r="C32" s="33" t="s">
        <v>83</v>
      </c>
      <c r="D32" s="34">
        <v>50</v>
      </c>
      <c r="E32" s="34" t="s">
        <v>2</v>
      </c>
      <c r="F32" s="34">
        <v>24</v>
      </c>
      <c r="G32" s="47">
        <v>3.92</v>
      </c>
      <c r="H32" s="68">
        <v>196.15</v>
      </c>
      <c r="I32" s="82">
        <v>140379</v>
      </c>
    </row>
    <row r="33" spans="1:9">
      <c r="A33" s="33" t="s">
        <v>354</v>
      </c>
      <c r="B33" s="33" t="s">
        <v>84</v>
      </c>
      <c r="C33" s="33" t="s">
        <v>85</v>
      </c>
      <c r="D33" s="34">
        <v>50</v>
      </c>
      <c r="E33" s="34" t="s">
        <v>2</v>
      </c>
      <c r="F33" s="34">
        <v>24</v>
      </c>
      <c r="G33" s="47">
        <v>3.92</v>
      </c>
      <c r="H33" s="68">
        <v>196.15</v>
      </c>
      <c r="I33" s="82">
        <v>140379</v>
      </c>
    </row>
    <row r="34" spans="1:9">
      <c r="A34" s="33" t="s">
        <v>354</v>
      </c>
      <c r="B34" s="33" t="s">
        <v>54</v>
      </c>
      <c r="C34" s="33" t="s">
        <v>55</v>
      </c>
      <c r="D34" s="34">
        <v>60</v>
      </c>
      <c r="E34" s="34" t="s">
        <v>2</v>
      </c>
      <c r="F34" s="34">
        <v>24</v>
      </c>
      <c r="G34" s="47">
        <v>3.06</v>
      </c>
      <c r="H34" s="68">
        <v>183.69</v>
      </c>
      <c r="I34" s="82">
        <v>140379</v>
      </c>
    </row>
    <row r="35" spans="1:9">
      <c r="A35" s="33" t="s">
        <v>354</v>
      </c>
      <c r="B35" s="33" t="s">
        <v>56</v>
      </c>
      <c r="C35" s="33" t="s">
        <v>57</v>
      </c>
      <c r="D35" s="34">
        <v>54</v>
      </c>
      <c r="E35" s="34" t="s">
        <v>2</v>
      </c>
      <c r="F35" s="34">
        <v>24</v>
      </c>
      <c r="G35" s="47">
        <v>3.06</v>
      </c>
      <c r="H35" s="68">
        <v>165.32</v>
      </c>
      <c r="I35" s="82">
        <v>140379</v>
      </c>
    </row>
    <row r="36" spans="1:9">
      <c r="A36" s="33" t="s">
        <v>354</v>
      </c>
      <c r="B36" s="33" t="s">
        <v>58</v>
      </c>
      <c r="C36" s="33" t="s">
        <v>59</v>
      </c>
      <c r="D36" s="34">
        <v>54</v>
      </c>
      <c r="E36" s="34" t="s">
        <v>2</v>
      </c>
      <c r="F36" s="34">
        <v>24</v>
      </c>
      <c r="G36" s="47">
        <v>3.06</v>
      </c>
      <c r="H36" s="68">
        <v>165.32</v>
      </c>
      <c r="I36" s="82">
        <v>140379</v>
      </c>
    </row>
    <row r="37" spans="1:9">
      <c r="A37" s="33" t="s">
        <v>354</v>
      </c>
      <c r="B37" s="33" t="s">
        <v>60</v>
      </c>
      <c r="C37" s="33" t="s">
        <v>61</v>
      </c>
      <c r="D37" s="34">
        <v>50</v>
      </c>
      <c r="E37" s="34" t="s">
        <v>2</v>
      </c>
      <c r="F37" s="34">
        <v>24</v>
      </c>
      <c r="G37" s="47">
        <v>3.06</v>
      </c>
      <c r="H37" s="68">
        <v>153.08000000000001</v>
      </c>
      <c r="I37" s="82">
        <v>140379</v>
      </c>
    </row>
    <row r="38" spans="1:9">
      <c r="A38" s="33" t="s">
        <v>354</v>
      </c>
      <c r="B38" s="33" t="s">
        <v>62</v>
      </c>
      <c r="C38" s="33" t="s">
        <v>63</v>
      </c>
      <c r="D38" s="34">
        <v>60</v>
      </c>
      <c r="E38" s="34" t="s">
        <v>2</v>
      </c>
      <c r="F38" s="34">
        <v>24</v>
      </c>
      <c r="G38" s="47">
        <v>3.92</v>
      </c>
      <c r="H38" s="68">
        <v>235.38</v>
      </c>
      <c r="I38" s="82">
        <v>140379</v>
      </c>
    </row>
    <row r="39" spans="1:9">
      <c r="A39" s="33" t="s">
        <v>354</v>
      </c>
      <c r="B39" s="33" t="s">
        <v>64</v>
      </c>
      <c r="C39" s="33" t="s">
        <v>65</v>
      </c>
      <c r="D39" s="34">
        <v>46</v>
      </c>
      <c r="E39" s="34" t="s">
        <v>2</v>
      </c>
      <c r="F39" s="34">
        <v>24</v>
      </c>
      <c r="G39" s="47">
        <v>3.92</v>
      </c>
      <c r="H39" s="68">
        <v>180.46</v>
      </c>
      <c r="I39" s="82">
        <v>140379</v>
      </c>
    </row>
    <row r="40" spans="1:9">
      <c r="A40" s="33" t="s">
        <v>354</v>
      </c>
      <c r="B40" s="33" t="s">
        <v>66</v>
      </c>
      <c r="C40" s="33" t="s">
        <v>67</v>
      </c>
      <c r="D40" s="34">
        <v>42</v>
      </c>
      <c r="E40" s="34" t="s">
        <v>2</v>
      </c>
      <c r="F40" s="34">
        <v>24</v>
      </c>
      <c r="G40" s="47">
        <v>3.92</v>
      </c>
      <c r="H40" s="68">
        <v>164.77</v>
      </c>
      <c r="I40" s="82">
        <v>140379</v>
      </c>
    </row>
    <row r="41" spans="1:9">
      <c r="A41" s="33" t="s">
        <v>354</v>
      </c>
      <c r="B41" s="33" t="s">
        <v>68</v>
      </c>
      <c r="C41" s="33" t="s">
        <v>69</v>
      </c>
      <c r="D41" s="34">
        <v>42</v>
      </c>
      <c r="E41" s="34" t="s">
        <v>2</v>
      </c>
      <c r="F41" s="34">
        <v>24</v>
      </c>
      <c r="G41" s="47">
        <v>3.92</v>
      </c>
      <c r="H41" s="68">
        <v>164.77</v>
      </c>
      <c r="I41" s="82">
        <v>140379</v>
      </c>
    </row>
    <row r="42" spans="1:9">
      <c r="A42" s="33" t="s">
        <v>354</v>
      </c>
      <c r="B42" s="33" t="s">
        <v>86</v>
      </c>
      <c r="C42" s="33" t="s">
        <v>87</v>
      </c>
      <c r="D42" s="34">
        <v>50</v>
      </c>
      <c r="E42" s="34" t="s">
        <v>2</v>
      </c>
      <c r="F42" s="34">
        <v>24</v>
      </c>
      <c r="G42" s="47">
        <v>6.08</v>
      </c>
      <c r="H42" s="68">
        <v>303.85000000000002</v>
      </c>
      <c r="I42" s="82">
        <v>140379</v>
      </c>
    </row>
    <row r="43" spans="1:9">
      <c r="A43" s="33" t="s">
        <v>354</v>
      </c>
      <c r="B43" s="33" t="s">
        <v>88</v>
      </c>
      <c r="C43" s="33" t="s">
        <v>89</v>
      </c>
      <c r="D43" s="34">
        <v>50</v>
      </c>
      <c r="E43" s="34" t="s">
        <v>2</v>
      </c>
      <c r="F43" s="34">
        <v>24</v>
      </c>
      <c r="G43" s="47">
        <v>6.08</v>
      </c>
      <c r="H43" s="68">
        <v>303.85000000000002</v>
      </c>
      <c r="I43" s="82">
        <v>140379</v>
      </c>
    </row>
    <row r="44" spans="1:9">
      <c r="A44" s="33" t="s">
        <v>354</v>
      </c>
      <c r="B44" s="33" t="s">
        <v>90</v>
      </c>
      <c r="C44" s="33" t="s">
        <v>91</v>
      </c>
      <c r="D44" s="34">
        <v>42</v>
      </c>
      <c r="E44" s="34" t="s">
        <v>2</v>
      </c>
      <c r="F44" s="34">
        <v>24</v>
      </c>
      <c r="G44" s="47">
        <v>6.08</v>
      </c>
      <c r="H44" s="68">
        <v>255.23</v>
      </c>
      <c r="I44" s="82">
        <v>140379</v>
      </c>
    </row>
    <row r="45" spans="1:9">
      <c r="A45" s="7" t="s">
        <v>354</v>
      </c>
      <c r="B45" s="7" t="s">
        <v>92</v>
      </c>
      <c r="C45" s="7" t="s">
        <v>93</v>
      </c>
      <c r="D45" s="14">
        <v>42</v>
      </c>
      <c r="E45" s="14" t="s">
        <v>2</v>
      </c>
      <c r="F45" s="14">
        <v>24</v>
      </c>
      <c r="G45" s="49">
        <v>6.08</v>
      </c>
      <c r="H45" s="69">
        <v>255.23</v>
      </c>
      <c r="I45" s="84">
        <v>140379</v>
      </c>
    </row>
    <row r="46" spans="1:9" s="10" customFormat="1">
      <c r="A46" s="4" t="s">
        <v>926</v>
      </c>
      <c r="B46" s="4" t="s">
        <v>1093</v>
      </c>
      <c r="C46" s="86" t="s">
        <v>1094</v>
      </c>
      <c r="D46" s="12">
        <v>200</v>
      </c>
      <c r="E46" s="34" t="s">
        <v>2</v>
      </c>
      <c r="F46" s="180"/>
      <c r="G46" s="47">
        <v>0.18</v>
      </c>
      <c r="H46" s="194">
        <v>36.92</v>
      </c>
      <c r="I46" s="83">
        <v>153155</v>
      </c>
    </row>
    <row r="47" spans="1:9">
      <c r="A47" s="33" t="s">
        <v>926</v>
      </c>
      <c r="B47" s="33" t="s">
        <v>933</v>
      </c>
      <c r="C47" s="86" t="s">
        <v>938</v>
      </c>
      <c r="D47" s="34">
        <v>300</v>
      </c>
      <c r="E47" s="34" t="s">
        <v>2</v>
      </c>
      <c r="F47" s="181"/>
      <c r="G47" s="47">
        <v>0.37</v>
      </c>
      <c r="H47" s="194">
        <v>110.77</v>
      </c>
      <c r="I47" s="82">
        <v>153155</v>
      </c>
    </row>
    <row r="48" spans="1:9">
      <c r="A48" s="33" t="s">
        <v>926</v>
      </c>
      <c r="B48" s="33" t="s">
        <v>934</v>
      </c>
      <c r="C48" s="86" t="s">
        <v>939</v>
      </c>
      <c r="D48" s="34">
        <v>250</v>
      </c>
      <c r="E48" s="34" t="s">
        <v>2</v>
      </c>
      <c r="F48" s="181"/>
      <c r="G48" s="47">
        <v>0.4</v>
      </c>
      <c r="H48" s="194">
        <v>99.69</v>
      </c>
      <c r="I48" s="82">
        <v>153155</v>
      </c>
    </row>
    <row r="49" spans="1:9">
      <c r="A49" s="33" t="s">
        <v>926</v>
      </c>
      <c r="B49" s="33" t="s">
        <v>935</v>
      </c>
      <c r="C49" s="86" t="s">
        <v>940</v>
      </c>
      <c r="D49" s="34">
        <v>120</v>
      </c>
      <c r="E49" s="34" t="s">
        <v>2</v>
      </c>
      <c r="F49" s="181"/>
      <c r="G49" s="47">
        <v>0.62</v>
      </c>
      <c r="H49" s="194">
        <v>73.849999999999994</v>
      </c>
      <c r="I49" s="82">
        <v>153155</v>
      </c>
    </row>
    <row r="50" spans="1:9">
      <c r="A50" s="33" t="s">
        <v>926</v>
      </c>
      <c r="B50" s="33" t="s">
        <v>936</v>
      </c>
      <c r="C50" s="86" t="s">
        <v>941</v>
      </c>
      <c r="D50" s="34">
        <v>160</v>
      </c>
      <c r="E50" s="34" t="s">
        <v>2</v>
      </c>
      <c r="F50" s="181"/>
      <c r="G50" s="47">
        <v>1.2</v>
      </c>
      <c r="H50" s="194">
        <v>191.41</v>
      </c>
      <c r="I50" s="82">
        <v>153155</v>
      </c>
    </row>
    <row r="51" spans="1:9">
      <c r="A51" s="33" t="s">
        <v>926</v>
      </c>
      <c r="B51" s="33" t="s">
        <v>937</v>
      </c>
      <c r="C51" s="86" t="s">
        <v>942</v>
      </c>
      <c r="D51" s="34">
        <v>50</v>
      </c>
      <c r="E51" s="34" t="s">
        <v>2</v>
      </c>
      <c r="F51" s="181"/>
      <c r="G51" s="47">
        <v>2.09</v>
      </c>
      <c r="H51" s="194">
        <v>104.75</v>
      </c>
      <c r="I51" s="82">
        <v>153155</v>
      </c>
    </row>
    <row r="52" spans="1:9">
      <c r="A52" s="33" t="s">
        <v>926</v>
      </c>
      <c r="B52" s="33" t="s">
        <v>943</v>
      </c>
      <c r="C52" s="86" t="s">
        <v>944</v>
      </c>
      <c r="D52" s="34">
        <v>50</v>
      </c>
      <c r="E52" s="34" t="s">
        <v>2</v>
      </c>
      <c r="F52" s="181"/>
      <c r="G52" s="47">
        <v>2.46</v>
      </c>
      <c r="H52" s="194">
        <v>122.99</v>
      </c>
      <c r="I52" s="82">
        <v>153155</v>
      </c>
    </row>
    <row r="53" spans="1:9">
      <c r="A53" s="33" t="s">
        <v>926</v>
      </c>
      <c r="B53" s="33" t="s">
        <v>945</v>
      </c>
      <c r="C53" s="86" t="s">
        <v>946</v>
      </c>
      <c r="D53" s="34">
        <v>40</v>
      </c>
      <c r="E53" s="34" t="s">
        <v>2</v>
      </c>
      <c r="F53" s="181"/>
      <c r="G53" s="47">
        <v>3.55</v>
      </c>
      <c r="H53" s="194">
        <v>142.16999999999999</v>
      </c>
      <c r="I53" s="82">
        <v>153155</v>
      </c>
    </row>
    <row r="54" spans="1:9">
      <c r="A54" s="33" t="s">
        <v>926</v>
      </c>
      <c r="B54" s="33" t="s">
        <v>1086</v>
      </c>
      <c r="C54" s="86" t="s">
        <v>1085</v>
      </c>
      <c r="D54" s="34">
        <v>50</v>
      </c>
      <c r="E54" s="34" t="s">
        <v>2</v>
      </c>
      <c r="F54" s="181"/>
      <c r="G54" s="47">
        <v>1.85</v>
      </c>
      <c r="H54" s="194">
        <v>92.31</v>
      </c>
      <c r="I54" s="82">
        <v>153155</v>
      </c>
    </row>
    <row r="55" spans="1:9">
      <c r="A55" s="33" t="s">
        <v>926</v>
      </c>
      <c r="B55" s="33" t="s">
        <v>947</v>
      </c>
      <c r="C55" s="86" t="s">
        <v>948</v>
      </c>
      <c r="D55" s="34">
        <v>30</v>
      </c>
      <c r="E55" s="34" t="s">
        <v>2</v>
      </c>
      <c r="F55" s="181"/>
      <c r="G55" s="47">
        <v>4.4400000000000004</v>
      </c>
      <c r="H55" s="194">
        <v>133.11000000000001</v>
      </c>
      <c r="I55" s="82">
        <v>153155</v>
      </c>
    </row>
    <row r="56" spans="1:9">
      <c r="A56" s="33" t="s">
        <v>926</v>
      </c>
      <c r="B56" s="33" t="s">
        <v>949</v>
      </c>
      <c r="C56" s="86" t="s">
        <v>950</v>
      </c>
      <c r="D56" s="34">
        <v>30</v>
      </c>
      <c r="E56" s="34" t="s">
        <v>2</v>
      </c>
      <c r="F56" s="181"/>
      <c r="G56" s="47">
        <v>6.57</v>
      </c>
      <c r="H56" s="194">
        <v>197.02</v>
      </c>
      <c r="I56" s="82">
        <v>153155</v>
      </c>
    </row>
    <row r="57" spans="1:9">
      <c r="A57" s="54" t="s">
        <v>926</v>
      </c>
      <c r="B57" s="54" t="s">
        <v>951</v>
      </c>
      <c r="C57" s="86" t="s">
        <v>1077</v>
      </c>
      <c r="D57" s="188">
        <v>60</v>
      </c>
      <c r="E57" s="189" t="s">
        <v>2</v>
      </c>
      <c r="F57" s="190"/>
      <c r="G57" s="47">
        <v>1.48</v>
      </c>
      <c r="H57" s="194">
        <v>88.62</v>
      </c>
      <c r="I57" s="82">
        <v>153155</v>
      </c>
    </row>
    <row r="58" spans="1:9">
      <c r="A58" s="54" t="s">
        <v>926</v>
      </c>
      <c r="B58" s="191" t="s">
        <v>952</v>
      </c>
      <c r="C58" s="86" t="s">
        <v>1078</v>
      </c>
      <c r="D58" s="188">
        <v>100</v>
      </c>
      <c r="E58" s="189" t="s">
        <v>2</v>
      </c>
      <c r="F58" s="189"/>
      <c r="G58" s="47">
        <v>1.28</v>
      </c>
      <c r="H58" s="194">
        <v>127.69</v>
      </c>
      <c r="I58" s="82">
        <v>153155</v>
      </c>
    </row>
    <row r="59" spans="1:9">
      <c r="A59" s="33" t="s">
        <v>926</v>
      </c>
      <c r="B59" s="33" t="s">
        <v>953</v>
      </c>
      <c r="C59" s="86" t="s">
        <v>954</v>
      </c>
      <c r="D59" s="175">
        <v>120</v>
      </c>
      <c r="E59" s="34" t="s">
        <v>2</v>
      </c>
      <c r="F59" s="34"/>
      <c r="G59" s="47">
        <v>1.66</v>
      </c>
      <c r="H59" s="194">
        <v>199.38</v>
      </c>
      <c r="I59" s="82">
        <v>153155</v>
      </c>
    </row>
    <row r="60" spans="1:9">
      <c r="A60" s="33" t="s">
        <v>926</v>
      </c>
      <c r="B60" s="33" t="s">
        <v>955</v>
      </c>
      <c r="C60" s="86" t="s">
        <v>956</v>
      </c>
      <c r="D60" s="34">
        <v>600</v>
      </c>
      <c r="E60" s="34" t="s">
        <v>2</v>
      </c>
      <c r="F60" s="34"/>
      <c r="G60" s="47">
        <v>0.32</v>
      </c>
      <c r="H60" s="194">
        <v>194.95</v>
      </c>
      <c r="I60" s="82">
        <v>153155</v>
      </c>
    </row>
    <row r="61" spans="1:9">
      <c r="A61" s="33" t="s">
        <v>926</v>
      </c>
      <c r="B61" s="33" t="s">
        <v>957</v>
      </c>
      <c r="C61" s="86" t="s">
        <v>958</v>
      </c>
      <c r="D61" s="34">
        <v>250</v>
      </c>
      <c r="E61" s="34" t="s">
        <v>2</v>
      </c>
      <c r="F61" s="34"/>
      <c r="G61" s="47">
        <v>0.43</v>
      </c>
      <c r="H61" s="194">
        <v>107.08</v>
      </c>
      <c r="I61" s="82">
        <v>153155</v>
      </c>
    </row>
    <row r="62" spans="1:9">
      <c r="A62" s="33" t="s">
        <v>926</v>
      </c>
      <c r="B62" s="33" t="s">
        <v>959</v>
      </c>
      <c r="C62" s="86" t="s">
        <v>960</v>
      </c>
      <c r="D62" s="34">
        <v>120</v>
      </c>
      <c r="E62" s="34" t="s">
        <v>2</v>
      </c>
      <c r="F62" s="34"/>
      <c r="G62" s="47">
        <v>0.95</v>
      </c>
      <c r="H62" s="194">
        <v>113.43</v>
      </c>
      <c r="I62" s="82">
        <v>153155</v>
      </c>
    </row>
    <row r="63" spans="1:9">
      <c r="A63" s="54" t="s">
        <v>926</v>
      </c>
      <c r="B63" s="54" t="s">
        <v>1035</v>
      </c>
      <c r="C63" s="86" t="s">
        <v>1079</v>
      </c>
      <c r="D63" s="189">
        <v>120</v>
      </c>
      <c r="E63" s="189" t="s">
        <v>2</v>
      </c>
      <c r="F63" s="189"/>
      <c r="G63" s="47">
        <v>0.94</v>
      </c>
      <c r="H63" s="194">
        <v>112.98</v>
      </c>
      <c r="I63" s="82">
        <v>153155</v>
      </c>
    </row>
    <row r="64" spans="1:9">
      <c r="A64" s="33" t="s">
        <v>926</v>
      </c>
      <c r="B64" s="33" t="s">
        <v>961</v>
      </c>
      <c r="C64" s="86" t="s">
        <v>962</v>
      </c>
      <c r="D64" s="34">
        <v>50</v>
      </c>
      <c r="E64" s="34" t="s">
        <v>2</v>
      </c>
      <c r="F64" s="34"/>
      <c r="G64" s="47">
        <v>1.96</v>
      </c>
      <c r="H64" s="194">
        <v>98.22</v>
      </c>
      <c r="I64" s="82">
        <v>153155</v>
      </c>
    </row>
    <row r="65" spans="1:9">
      <c r="A65" s="33" t="s">
        <v>926</v>
      </c>
      <c r="B65" s="33" t="s">
        <v>1095</v>
      </c>
      <c r="C65" s="86" t="s">
        <v>1096</v>
      </c>
      <c r="D65" s="34">
        <v>20</v>
      </c>
      <c r="E65" s="34" t="s">
        <v>2</v>
      </c>
      <c r="F65" s="34"/>
      <c r="G65" s="47">
        <v>4.55</v>
      </c>
      <c r="H65" s="194">
        <v>91.08</v>
      </c>
      <c r="I65" s="82">
        <v>153155</v>
      </c>
    </row>
    <row r="66" spans="1:9">
      <c r="A66" s="33" t="s">
        <v>926</v>
      </c>
      <c r="B66" s="33" t="s">
        <v>963</v>
      </c>
      <c r="C66" s="33" t="s">
        <v>965</v>
      </c>
      <c r="D66" s="34">
        <v>120</v>
      </c>
      <c r="E66" s="34" t="s">
        <v>2</v>
      </c>
      <c r="F66" s="34"/>
      <c r="G66" s="47">
        <v>3.25</v>
      </c>
      <c r="H66" s="194">
        <v>390.15</v>
      </c>
      <c r="I66" s="82">
        <v>153155</v>
      </c>
    </row>
    <row r="67" spans="1:9">
      <c r="A67" s="33" t="s">
        <v>926</v>
      </c>
      <c r="B67" s="33" t="s">
        <v>964</v>
      </c>
      <c r="C67" s="33" t="s">
        <v>966</v>
      </c>
      <c r="D67" s="34">
        <v>80</v>
      </c>
      <c r="E67" s="34" t="s">
        <v>2</v>
      </c>
      <c r="F67" s="34"/>
      <c r="G67" s="47">
        <v>5.2</v>
      </c>
      <c r="H67" s="194">
        <v>415.79</v>
      </c>
      <c r="I67" s="82">
        <v>153155</v>
      </c>
    </row>
    <row r="68" spans="1:9">
      <c r="A68" s="33" t="s">
        <v>926</v>
      </c>
      <c r="B68" s="33" t="s">
        <v>967</v>
      </c>
      <c r="C68" s="33" t="s">
        <v>968</v>
      </c>
      <c r="D68" s="34">
        <v>40</v>
      </c>
      <c r="E68" s="34" t="s">
        <v>2</v>
      </c>
      <c r="F68" s="34"/>
      <c r="G68" s="47">
        <v>5.43</v>
      </c>
      <c r="H68" s="194">
        <v>217.05</v>
      </c>
      <c r="I68" s="82">
        <v>153155</v>
      </c>
    </row>
    <row r="69" spans="1:9">
      <c r="A69" s="33" t="s">
        <v>926</v>
      </c>
      <c r="B69" s="33" t="s">
        <v>969</v>
      </c>
      <c r="C69" s="33" t="s">
        <v>970</v>
      </c>
      <c r="D69" s="34">
        <v>40</v>
      </c>
      <c r="E69" s="34" t="s">
        <v>2</v>
      </c>
      <c r="F69" s="34"/>
      <c r="G69" s="47">
        <v>4.8099999999999996</v>
      </c>
      <c r="H69" s="194">
        <v>192.33</v>
      </c>
      <c r="I69" s="82">
        <v>153155</v>
      </c>
    </row>
    <row r="70" spans="1:9">
      <c r="A70" s="33" t="s">
        <v>926</v>
      </c>
      <c r="B70" s="33" t="s">
        <v>971</v>
      </c>
      <c r="C70" s="33" t="s">
        <v>972</v>
      </c>
      <c r="D70" s="34">
        <v>160</v>
      </c>
      <c r="E70" s="34" t="s">
        <v>2</v>
      </c>
      <c r="F70" s="34"/>
      <c r="G70" s="47">
        <v>2.09</v>
      </c>
      <c r="H70" s="194">
        <v>333.73</v>
      </c>
      <c r="I70" s="82">
        <v>153155</v>
      </c>
    </row>
    <row r="71" spans="1:9">
      <c r="A71" s="33" t="s">
        <v>926</v>
      </c>
      <c r="B71" s="33" t="s">
        <v>973</v>
      </c>
      <c r="C71" s="33" t="s">
        <v>974</v>
      </c>
      <c r="D71" s="34">
        <v>120</v>
      </c>
      <c r="E71" s="34" t="s">
        <v>2</v>
      </c>
      <c r="F71" s="34"/>
      <c r="G71" s="47">
        <v>4.05</v>
      </c>
      <c r="H71" s="194">
        <v>486.31</v>
      </c>
      <c r="I71" s="82">
        <v>153155</v>
      </c>
    </row>
    <row r="72" spans="1:9">
      <c r="A72" s="33" t="s">
        <v>926</v>
      </c>
      <c r="B72" s="33" t="s">
        <v>975</v>
      </c>
      <c r="C72" s="33" t="s">
        <v>976</v>
      </c>
      <c r="D72" s="34">
        <v>40</v>
      </c>
      <c r="E72" s="34" t="s">
        <v>2</v>
      </c>
      <c r="F72" s="34"/>
      <c r="G72" s="47">
        <v>4.28</v>
      </c>
      <c r="H72" s="194">
        <v>171.26</v>
      </c>
      <c r="I72" s="82">
        <v>153155</v>
      </c>
    </row>
    <row r="73" spans="1:9">
      <c r="A73" s="33" t="s">
        <v>926</v>
      </c>
      <c r="B73" s="33" t="s">
        <v>977</v>
      </c>
      <c r="C73" s="33" t="s">
        <v>978</v>
      </c>
      <c r="D73" s="34">
        <v>40</v>
      </c>
      <c r="E73" s="34" t="s">
        <v>2</v>
      </c>
      <c r="F73" s="34"/>
      <c r="G73" s="47">
        <v>3.66</v>
      </c>
      <c r="H73" s="194">
        <v>146.53</v>
      </c>
      <c r="I73" s="82">
        <v>153155</v>
      </c>
    </row>
    <row r="74" spans="1:9">
      <c r="A74" s="33" t="s">
        <v>926</v>
      </c>
      <c r="B74" s="33" t="s">
        <v>979</v>
      </c>
      <c r="C74" s="86" t="s">
        <v>984</v>
      </c>
      <c r="D74" s="34">
        <v>250</v>
      </c>
      <c r="E74" s="34" t="s">
        <v>2</v>
      </c>
      <c r="F74" s="34"/>
      <c r="G74" s="47">
        <v>0.9</v>
      </c>
      <c r="H74" s="194">
        <v>225.23</v>
      </c>
      <c r="I74" s="82">
        <v>153155</v>
      </c>
    </row>
    <row r="75" spans="1:9">
      <c r="A75" s="33" t="s">
        <v>926</v>
      </c>
      <c r="B75" s="33" t="s">
        <v>980</v>
      </c>
      <c r="C75" s="86" t="s">
        <v>985</v>
      </c>
      <c r="D75" s="34">
        <v>180</v>
      </c>
      <c r="E75" s="34" t="s">
        <v>2</v>
      </c>
      <c r="F75" s="34"/>
      <c r="G75" s="47">
        <v>1.1200000000000001</v>
      </c>
      <c r="H75" s="194">
        <v>202.04</v>
      </c>
      <c r="I75" s="82">
        <v>153155</v>
      </c>
    </row>
    <row r="76" spans="1:9">
      <c r="A76" s="33" t="s">
        <v>926</v>
      </c>
      <c r="B76" s="33" t="s">
        <v>981</v>
      </c>
      <c r="C76" s="86" t="s">
        <v>986</v>
      </c>
      <c r="D76" s="34">
        <v>120</v>
      </c>
      <c r="E76" s="34" t="s">
        <v>2</v>
      </c>
      <c r="F76" s="34"/>
      <c r="G76" s="47">
        <v>1.65</v>
      </c>
      <c r="H76" s="194">
        <v>198.5</v>
      </c>
      <c r="I76" s="82">
        <v>153155</v>
      </c>
    </row>
    <row r="77" spans="1:9">
      <c r="A77" s="33" t="s">
        <v>926</v>
      </c>
      <c r="B77" s="33" t="s">
        <v>982</v>
      </c>
      <c r="C77" s="86" t="s">
        <v>987</v>
      </c>
      <c r="D77" s="34">
        <v>50</v>
      </c>
      <c r="E77" s="34" t="s">
        <v>2</v>
      </c>
      <c r="F77" s="34"/>
      <c r="G77" s="47">
        <v>3.87</v>
      </c>
      <c r="H77" s="194">
        <v>193.48</v>
      </c>
      <c r="I77" s="82">
        <v>153155</v>
      </c>
    </row>
    <row r="78" spans="1:9">
      <c r="A78" s="33" t="s">
        <v>926</v>
      </c>
      <c r="B78" s="33" t="s">
        <v>983</v>
      </c>
      <c r="C78" s="86" t="s">
        <v>988</v>
      </c>
      <c r="D78" s="34">
        <v>80</v>
      </c>
      <c r="E78" s="34" t="s">
        <v>2</v>
      </c>
      <c r="F78" s="34"/>
      <c r="G78" s="47">
        <v>4</v>
      </c>
      <c r="H78" s="194">
        <v>320.2</v>
      </c>
      <c r="I78" s="82">
        <v>153155</v>
      </c>
    </row>
    <row r="79" spans="1:9">
      <c r="A79" s="33" t="s">
        <v>926</v>
      </c>
      <c r="B79" s="33" t="s">
        <v>1099</v>
      </c>
      <c r="C79" s="33" t="s">
        <v>1100</v>
      </c>
      <c r="D79" s="34">
        <v>8</v>
      </c>
      <c r="E79" s="34" t="s">
        <v>2</v>
      </c>
      <c r="F79" s="34"/>
      <c r="G79" s="47">
        <v>17.23</v>
      </c>
      <c r="H79" s="194">
        <v>137.85</v>
      </c>
      <c r="I79" s="82">
        <v>153155</v>
      </c>
    </row>
    <row r="80" spans="1:9">
      <c r="A80" s="33" t="s">
        <v>926</v>
      </c>
      <c r="B80" s="33" t="s">
        <v>1066</v>
      </c>
      <c r="C80" s="86" t="s">
        <v>1071</v>
      </c>
      <c r="D80" s="175">
        <v>75</v>
      </c>
      <c r="E80" s="34" t="s">
        <v>2</v>
      </c>
      <c r="F80" s="33"/>
      <c r="G80" s="47">
        <v>2.88</v>
      </c>
      <c r="H80" s="194">
        <v>216</v>
      </c>
      <c r="I80" s="82">
        <v>153155</v>
      </c>
    </row>
    <row r="81" spans="1:9">
      <c r="A81" s="33" t="s">
        <v>926</v>
      </c>
      <c r="B81" s="33" t="s">
        <v>1067</v>
      </c>
      <c r="C81" s="86" t="s">
        <v>1072</v>
      </c>
      <c r="D81" s="175">
        <v>75</v>
      </c>
      <c r="E81" s="34" t="s">
        <v>2</v>
      </c>
      <c r="F81" s="33"/>
      <c r="G81" s="47">
        <v>3.21</v>
      </c>
      <c r="H81" s="194">
        <v>240.92</v>
      </c>
      <c r="I81" s="82">
        <v>153155</v>
      </c>
    </row>
    <row r="82" spans="1:9">
      <c r="A82" s="33" t="s">
        <v>926</v>
      </c>
      <c r="B82" s="33" t="s">
        <v>1068</v>
      </c>
      <c r="C82" s="86" t="s">
        <v>1073</v>
      </c>
      <c r="D82" s="175">
        <v>100</v>
      </c>
      <c r="E82" s="34" t="s">
        <v>2</v>
      </c>
      <c r="F82" s="33"/>
      <c r="G82" s="47">
        <v>3.79</v>
      </c>
      <c r="H82" s="194">
        <v>379.23</v>
      </c>
      <c r="I82" s="82">
        <v>153155</v>
      </c>
    </row>
    <row r="83" spans="1:9">
      <c r="A83" s="33" t="s">
        <v>926</v>
      </c>
      <c r="B83" s="33" t="s">
        <v>1069</v>
      </c>
      <c r="C83" s="86" t="s">
        <v>1074</v>
      </c>
      <c r="D83" s="175">
        <v>100</v>
      </c>
      <c r="E83" s="34" t="s">
        <v>2</v>
      </c>
      <c r="F83" s="33"/>
      <c r="G83" s="47">
        <v>4.18</v>
      </c>
      <c r="H83" s="194">
        <v>418.46</v>
      </c>
      <c r="I83" s="82">
        <v>153155</v>
      </c>
    </row>
    <row r="84" spans="1:9">
      <c r="A84" s="33" t="s">
        <v>926</v>
      </c>
      <c r="B84" s="33" t="s">
        <v>1022</v>
      </c>
      <c r="C84" s="86" t="s">
        <v>1023</v>
      </c>
      <c r="D84" s="34">
        <v>30</v>
      </c>
      <c r="E84" s="34" t="s">
        <v>2</v>
      </c>
      <c r="F84" s="181"/>
      <c r="G84" s="47">
        <v>2.44</v>
      </c>
      <c r="H84" s="194">
        <v>73.11</v>
      </c>
      <c r="I84" s="82">
        <v>153155</v>
      </c>
    </row>
    <row r="85" spans="1:9">
      <c r="A85" s="33" t="s">
        <v>926</v>
      </c>
      <c r="B85" s="33" t="s">
        <v>1026</v>
      </c>
      <c r="C85" s="33" t="s">
        <v>1024</v>
      </c>
      <c r="D85" s="34">
        <v>30</v>
      </c>
      <c r="E85" s="34" t="s">
        <v>2</v>
      </c>
      <c r="F85" s="181"/>
      <c r="G85" s="47">
        <v>2.66</v>
      </c>
      <c r="H85" s="194">
        <v>79.75</v>
      </c>
      <c r="I85" s="82">
        <v>153155</v>
      </c>
    </row>
    <row r="86" spans="1:9">
      <c r="A86" s="33" t="s">
        <v>926</v>
      </c>
      <c r="B86" s="33" t="s">
        <v>989</v>
      </c>
      <c r="C86" s="86" t="s">
        <v>994</v>
      </c>
      <c r="D86" s="34">
        <v>18</v>
      </c>
      <c r="E86" s="34" t="s">
        <v>2</v>
      </c>
      <c r="F86" s="181"/>
      <c r="G86" s="47">
        <v>16.739999999999998</v>
      </c>
      <c r="H86" s="194">
        <v>301.32</v>
      </c>
      <c r="I86" s="82">
        <v>153155</v>
      </c>
    </row>
    <row r="87" spans="1:9">
      <c r="A87" s="33" t="s">
        <v>926</v>
      </c>
      <c r="B87" s="33" t="s">
        <v>990</v>
      </c>
      <c r="C87" s="86" t="s">
        <v>995</v>
      </c>
      <c r="D87" s="34">
        <v>20</v>
      </c>
      <c r="E87" s="34" t="s">
        <v>2</v>
      </c>
      <c r="F87" s="181"/>
      <c r="G87" s="47">
        <v>14.15</v>
      </c>
      <c r="H87" s="194">
        <v>283.08</v>
      </c>
      <c r="I87" s="82">
        <v>153155</v>
      </c>
    </row>
    <row r="88" spans="1:9">
      <c r="A88" s="33" t="s">
        <v>926</v>
      </c>
      <c r="B88" s="33" t="s">
        <v>991</v>
      </c>
      <c r="C88" s="86" t="s">
        <v>996</v>
      </c>
      <c r="D88" s="34">
        <v>8</v>
      </c>
      <c r="E88" s="34" t="s">
        <v>2</v>
      </c>
      <c r="F88" s="181"/>
      <c r="G88" s="47">
        <v>17.309999999999999</v>
      </c>
      <c r="H88" s="194">
        <v>138.46</v>
      </c>
      <c r="I88" s="82">
        <v>153155</v>
      </c>
    </row>
    <row r="89" spans="1:9">
      <c r="A89" s="33" t="s">
        <v>926</v>
      </c>
      <c r="B89" s="33" t="s">
        <v>992</v>
      </c>
      <c r="C89" s="86" t="s">
        <v>997</v>
      </c>
      <c r="D89" s="34">
        <v>8</v>
      </c>
      <c r="E89" s="34" t="s">
        <v>2</v>
      </c>
      <c r="F89" s="181"/>
      <c r="G89" s="47">
        <v>14.15</v>
      </c>
      <c r="H89" s="194">
        <v>113.21</v>
      </c>
      <c r="I89" s="82">
        <v>153155</v>
      </c>
    </row>
    <row r="90" spans="1:9">
      <c r="A90" s="33" t="s">
        <v>926</v>
      </c>
      <c r="B90" s="33" t="s">
        <v>993</v>
      </c>
      <c r="C90" s="86" t="s">
        <v>998</v>
      </c>
      <c r="D90" s="34">
        <v>6</v>
      </c>
      <c r="E90" s="34" t="s">
        <v>2</v>
      </c>
      <c r="F90" s="181"/>
      <c r="G90" s="47">
        <v>17.920000000000002</v>
      </c>
      <c r="H90" s="194">
        <v>107.51</v>
      </c>
      <c r="I90" s="82">
        <v>153155</v>
      </c>
    </row>
    <row r="91" spans="1:9">
      <c r="A91" s="33" t="s">
        <v>926</v>
      </c>
      <c r="B91" s="33" t="s">
        <v>1091</v>
      </c>
      <c r="C91" s="86" t="s">
        <v>1092</v>
      </c>
      <c r="D91" s="34">
        <v>12</v>
      </c>
      <c r="E91" s="34" t="s">
        <v>2</v>
      </c>
      <c r="F91" s="181"/>
      <c r="G91" s="47">
        <v>10.38</v>
      </c>
      <c r="H91" s="194">
        <v>124.62</v>
      </c>
      <c r="I91" s="82">
        <v>153155</v>
      </c>
    </row>
    <row r="92" spans="1:9">
      <c r="A92" s="33" t="s">
        <v>926</v>
      </c>
      <c r="B92" s="33" t="s">
        <v>999</v>
      </c>
      <c r="C92" s="33" t="s">
        <v>1000</v>
      </c>
      <c r="D92" s="34">
        <v>12</v>
      </c>
      <c r="E92" s="34" t="s">
        <v>2</v>
      </c>
      <c r="F92" s="181"/>
      <c r="G92" s="47">
        <v>17.309999999999999</v>
      </c>
      <c r="H92" s="194">
        <v>207.69</v>
      </c>
      <c r="I92" s="82">
        <v>153155</v>
      </c>
    </row>
    <row r="93" spans="1:9">
      <c r="A93" s="33" t="s">
        <v>926</v>
      </c>
      <c r="B93" s="33" t="s">
        <v>1001</v>
      </c>
      <c r="C93" s="86" t="s">
        <v>1002</v>
      </c>
      <c r="D93" s="34">
        <v>18</v>
      </c>
      <c r="E93" s="34" t="s">
        <v>2</v>
      </c>
      <c r="F93" s="181"/>
      <c r="G93" s="47">
        <v>15.93</v>
      </c>
      <c r="H93" s="194">
        <v>286.7</v>
      </c>
      <c r="I93" s="82">
        <v>153155</v>
      </c>
    </row>
    <row r="94" spans="1:9">
      <c r="A94" s="33" t="s">
        <v>926</v>
      </c>
      <c r="B94" s="33" t="s">
        <v>1097</v>
      </c>
      <c r="C94" s="33" t="s">
        <v>1098</v>
      </c>
      <c r="D94" s="34">
        <v>20</v>
      </c>
      <c r="E94" s="34" t="s">
        <v>2</v>
      </c>
      <c r="F94" s="181"/>
      <c r="G94" s="47">
        <v>8.89</v>
      </c>
      <c r="H94" s="194">
        <v>177.85</v>
      </c>
      <c r="I94" s="82">
        <v>153155</v>
      </c>
    </row>
    <row r="95" spans="1:9">
      <c r="A95" s="33" t="s">
        <v>926</v>
      </c>
      <c r="B95" s="33" t="s">
        <v>1003</v>
      </c>
      <c r="C95" s="86" t="s">
        <v>1377</v>
      </c>
      <c r="D95" s="34">
        <v>20</v>
      </c>
      <c r="E95" s="34" t="s">
        <v>2</v>
      </c>
      <c r="F95" s="181"/>
      <c r="G95" s="47">
        <v>7.51</v>
      </c>
      <c r="H95" s="194">
        <v>150.15</v>
      </c>
      <c r="I95" s="82">
        <v>153155</v>
      </c>
    </row>
    <row r="96" spans="1:9">
      <c r="A96" s="33" t="s">
        <v>926</v>
      </c>
      <c r="B96" s="33" t="s">
        <v>1006</v>
      </c>
      <c r="C96" s="33" t="s">
        <v>1007</v>
      </c>
      <c r="D96" s="34">
        <v>20</v>
      </c>
      <c r="E96" s="34" t="s">
        <v>2</v>
      </c>
      <c r="F96" s="181"/>
      <c r="G96" s="47">
        <v>13.64</v>
      </c>
      <c r="H96" s="194">
        <v>272.76</v>
      </c>
      <c r="I96" s="82">
        <v>153155</v>
      </c>
    </row>
    <row r="97" spans="1:9">
      <c r="A97" s="33" t="s">
        <v>926</v>
      </c>
      <c r="B97" s="33" t="s">
        <v>1005</v>
      </c>
      <c r="C97" s="86" t="s">
        <v>1004</v>
      </c>
      <c r="D97" s="34">
        <v>10</v>
      </c>
      <c r="E97" s="34" t="s">
        <v>2</v>
      </c>
      <c r="F97" s="181"/>
      <c r="G97" s="47">
        <v>19.62</v>
      </c>
      <c r="H97" s="194">
        <v>196.15</v>
      </c>
      <c r="I97" s="82">
        <v>153155</v>
      </c>
    </row>
    <row r="98" spans="1:9">
      <c r="A98" s="33" t="s">
        <v>926</v>
      </c>
      <c r="B98" s="33" t="s">
        <v>1008</v>
      </c>
      <c r="C98" s="86" t="s">
        <v>1010</v>
      </c>
      <c r="D98" s="34">
        <v>10</v>
      </c>
      <c r="E98" s="34" t="s">
        <v>2</v>
      </c>
      <c r="F98" s="181"/>
      <c r="G98" s="47">
        <v>15.66</v>
      </c>
      <c r="H98" s="194">
        <v>156.55000000000001</v>
      </c>
      <c r="I98" s="82">
        <v>153155</v>
      </c>
    </row>
    <row r="99" spans="1:9">
      <c r="A99" s="33" t="s">
        <v>926</v>
      </c>
      <c r="B99" s="33" t="s">
        <v>1009</v>
      </c>
      <c r="C99" s="86" t="s">
        <v>1011</v>
      </c>
      <c r="D99" s="34">
        <v>10</v>
      </c>
      <c r="E99" s="34" t="s">
        <v>2</v>
      </c>
      <c r="F99" s="181"/>
      <c r="G99" s="47">
        <v>15.66</v>
      </c>
      <c r="H99" s="194">
        <v>156.55000000000001</v>
      </c>
      <c r="I99" s="82">
        <v>153155</v>
      </c>
    </row>
    <row r="100" spans="1:9">
      <c r="A100" s="33" t="s">
        <v>926</v>
      </c>
      <c r="B100" s="33" t="s">
        <v>1012</v>
      </c>
      <c r="C100" s="33" t="s">
        <v>1014</v>
      </c>
      <c r="D100" s="34">
        <v>24</v>
      </c>
      <c r="E100" s="34" t="s">
        <v>2</v>
      </c>
      <c r="F100" s="181"/>
      <c r="G100" s="47">
        <v>4.0599999999999996</v>
      </c>
      <c r="H100" s="194">
        <v>97.48</v>
      </c>
      <c r="I100" s="82">
        <v>153155</v>
      </c>
    </row>
    <row r="101" spans="1:9">
      <c r="A101" s="33" t="s">
        <v>926</v>
      </c>
      <c r="B101" s="33" t="s">
        <v>1013</v>
      </c>
      <c r="C101" s="86" t="s">
        <v>1015</v>
      </c>
      <c r="D101" s="34">
        <v>10</v>
      </c>
      <c r="E101" s="34" t="s">
        <v>2</v>
      </c>
      <c r="F101" s="181"/>
      <c r="G101" s="47">
        <v>13.94</v>
      </c>
      <c r="H101" s="194">
        <v>139.38</v>
      </c>
      <c r="I101" s="82">
        <v>153155</v>
      </c>
    </row>
    <row r="102" spans="1:9">
      <c r="A102" s="33" t="s">
        <v>926</v>
      </c>
      <c r="B102" s="33" t="s">
        <v>1019</v>
      </c>
      <c r="C102" s="33" t="s">
        <v>1016</v>
      </c>
      <c r="D102" s="175">
        <v>40</v>
      </c>
      <c r="E102" s="34" t="s">
        <v>2</v>
      </c>
      <c r="F102" s="181"/>
      <c r="G102" s="47">
        <v>8.6199999999999992</v>
      </c>
      <c r="H102" s="194">
        <v>344.62</v>
      </c>
      <c r="I102" s="82">
        <v>153155</v>
      </c>
    </row>
    <row r="103" spans="1:9">
      <c r="A103" s="33" t="s">
        <v>926</v>
      </c>
      <c r="B103" s="33" t="s">
        <v>1020</v>
      </c>
      <c r="C103" s="86" t="s">
        <v>1017</v>
      </c>
      <c r="D103" s="34">
        <v>10</v>
      </c>
      <c r="E103" s="34" t="s">
        <v>2</v>
      </c>
      <c r="F103" s="181"/>
      <c r="G103" s="47">
        <v>16</v>
      </c>
      <c r="H103" s="194">
        <v>160</v>
      </c>
      <c r="I103" s="82">
        <v>153155</v>
      </c>
    </row>
    <row r="104" spans="1:9">
      <c r="A104" s="33" t="s">
        <v>926</v>
      </c>
      <c r="B104" s="33" t="s">
        <v>1021</v>
      </c>
      <c r="C104" s="86" t="s">
        <v>1018</v>
      </c>
      <c r="D104" s="34">
        <v>20</v>
      </c>
      <c r="E104" s="34" t="s">
        <v>2</v>
      </c>
      <c r="F104" s="181"/>
      <c r="G104" s="47">
        <v>16.739999999999998</v>
      </c>
      <c r="H104" s="194">
        <f>+G104*D104</f>
        <v>334.79999999999995</v>
      </c>
      <c r="I104" s="82">
        <v>153155</v>
      </c>
    </row>
    <row r="105" spans="1:9">
      <c r="A105" s="33" t="s">
        <v>926</v>
      </c>
      <c r="B105" s="33" t="s">
        <v>1027</v>
      </c>
      <c r="C105" s="86" t="s">
        <v>1025</v>
      </c>
      <c r="D105" s="34">
        <v>60</v>
      </c>
      <c r="E105" s="34" t="s">
        <v>2</v>
      </c>
      <c r="F105" s="181"/>
      <c r="G105" s="47">
        <v>3.2</v>
      </c>
      <c r="H105" s="194">
        <v>192</v>
      </c>
      <c r="I105" s="82">
        <v>153155</v>
      </c>
    </row>
    <row r="106" spans="1:9">
      <c r="A106" s="33" t="s">
        <v>926</v>
      </c>
      <c r="B106" s="33" t="s">
        <v>1028</v>
      </c>
      <c r="C106" s="33" t="s">
        <v>1084</v>
      </c>
      <c r="D106" s="34">
        <v>20</v>
      </c>
      <c r="E106" s="34" t="s">
        <v>2</v>
      </c>
      <c r="F106" s="181"/>
      <c r="G106" s="47">
        <v>8.34</v>
      </c>
      <c r="H106" s="194">
        <v>166.77</v>
      </c>
      <c r="I106" s="82">
        <v>153155</v>
      </c>
    </row>
    <row r="107" spans="1:9">
      <c r="A107" s="33" t="s">
        <v>926</v>
      </c>
      <c r="B107" s="33" t="s">
        <v>1082</v>
      </c>
      <c r="C107" s="33" t="s">
        <v>1083</v>
      </c>
      <c r="D107" s="34">
        <v>40</v>
      </c>
      <c r="E107" s="34" t="s">
        <v>2</v>
      </c>
      <c r="F107" s="181"/>
      <c r="G107" s="47">
        <v>5.65</v>
      </c>
      <c r="H107" s="194">
        <v>225.85</v>
      </c>
      <c r="I107" s="82">
        <v>153155</v>
      </c>
    </row>
    <row r="108" spans="1:9">
      <c r="A108" s="33" t="s">
        <v>926</v>
      </c>
      <c r="B108" s="33" t="s">
        <v>1029</v>
      </c>
      <c r="C108" s="33" t="s">
        <v>1032</v>
      </c>
      <c r="D108" s="34">
        <v>30</v>
      </c>
      <c r="E108" s="34" t="s">
        <v>2</v>
      </c>
      <c r="F108" s="181"/>
      <c r="G108" s="47">
        <v>7</v>
      </c>
      <c r="H108" s="194">
        <v>210</v>
      </c>
      <c r="I108" s="82">
        <v>153155</v>
      </c>
    </row>
    <row r="109" spans="1:9">
      <c r="A109" s="33" t="s">
        <v>926</v>
      </c>
      <c r="B109" s="33" t="s">
        <v>1030</v>
      </c>
      <c r="C109" s="86" t="s">
        <v>1033</v>
      </c>
      <c r="D109" s="34">
        <v>30</v>
      </c>
      <c r="E109" s="34" t="s">
        <v>2</v>
      </c>
      <c r="F109" s="181"/>
      <c r="G109" s="47">
        <v>7</v>
      </c>
      <c r="H109" s="194">
        <v>209.88</v>
      </c>
      <c r="I109" s="82">
        <v>153155</v>
      </c>
    </row>
    <row r="110" spans="1:9">
      <c r="A110" s="33" t="s">
        <v>926</v>
      </c>
      <c r="B110" s="33" t="s">
        <v>1031</v>
      </c>
      <c r="C110" s="86" t="s">
        <v>1034</v>
      </c>
      <c r="D110" s="34">
        <v>45</v>
      </c>
      <c r="E110" s="34" t="s">
        <v>2</v>
      </c>
      <c r="F110" s="181"/>
      <c r="G110" s="47">
        <v>6.59</v>
      </c>
      <c r="H110" s="194">
        <v>296.58</v>
      </c>
      <c r="I110" s="82">
        <v>153155</v>
      </c>
    </row>
    <row r="111" spans="1:9">
      <c r="A111" s="33" t="s">
        <v>926</v>
      </c>
      <c r="B111" s="33" t="s">
        <v>1042</v>
      </c>
      <c r="C111" s="86" t="s">
        <v>1043</v>
      </c>
      <c r="D111" s="175">
        <v>100</v>
      </c>
      <c r="E111" s="34" t="s">
        <v>2</v>
      </c>
      <c r="F111" s="33"/>
      <c r="G111" s="47">
        <v>1.5</v>
      </c>
      <c r="H111" s="194">
        <v>150.15</v>
      </c>
      <c r="I111" s="82">
        <v>153155</v>
      </c>
    </row>
    <row r="112" spans="1:9">
      <c r="A112" s="33" t="s">
        <v>926</v>
      </c>
      <c r="B112" s="33" t="s">
        <v>1044</v>
      </c>
      <c r="C112" s="86" t="s">
        <v>1045</v>
      </c>
      <c r="D112" s="175">
        <v>100</v>
      </c>
      <c r="E112" s="34" t="s">
        <v>2</v>
      </c>
      <c r="F112" s="33"/>
      <c r="G112" s="47">
        <v>1.83</v>
      </c>
      <c r="H112" s="194">
        <v>183.38</v>
      </c>
      <c r="I112" s="82">
        <v>153155</v>
      </c>
    </row>
    <row r="113" spans="1:9">
      <c r="A113" s="33" t="s">
        <v>926</v>
      </c>
      <c r="B113" s="33" t="s">
        <v>1046</v>
      </c>
      <c r="C113" s="86" t="s">
        <v>1047</v>
      </c>
      <c r="D113" s="175">
        <v>100</v>
      </c>
      <c r="E113" s="34" t="s">
        <v>2</v>
      </c>
      <c r="F113" s="33"/>
      <c r="G113" s="47">
        <v>2.1</v>
      </c>
      <c r="H113" s="194">
        <v>210.46</v>
      </c>
      <c r="I113" s="82">
        <v>153155</v>
      </c>
    </row>
    <row r="114" spans="1:9">
      <c r="A114" s="33" t="s">
        <v>926</v>
      </c>
      <c r="B114" s="33" t="s">
        <v>1050</v>
      </c>
      <c r="C114" s="86" t="s">
        <v>1059</v>
      </c>
      <c r="D114" s="175">
        <v>60</v>
      </c>
      <c r="E114" s="34" t="s">
        <v>2</v>
      </c>
      <c r="F114" s="33"/>
      <c r="G114" s="47">
        <v>2.88</v>
      </c>
      <c r="H114" s="194">
        <v>172.62</v>
      </c>
      <c r="I114" s="82">
        <v>153155</v>
      </c>
    </row>
    <row r="115" spans="1:9">
      <c r="A115" s="33" t="s">
        <v>926</v>
      </c>
      <c r="B115" s="33" t="s">
        <v>1064</v>
      </c>
      <c r="C115" s="86" t="s">
        <v>1057</v>
      </c>
      <c r="D115" s="175">
        <v>70</v>
      </c>
      <c r="E115" s="34" t="s">
        <v>2</v>
      </c>
      <c r="F115" s="181"/>
      <c r="G115" s="47">
        <v>1.8</v>
      </c>
      <c r="H115" s="194">
        <v>126.13</v>
      </c>
      <c r="I115" s="82">
        <v>153155</v>
      </c>
    </row>
    <row r="116" spans="1:9">
      <c r="A116" s="33" t="s">
        <v>926</v>
      </c>
      <c r="B116" s="33" t="s">
        <v>1051</v>
      </c>
      <c r="C116" s="86" t="s">
        <v>1060</v>
      </c>
      <c r="D116" s="175">
        <v>60</v>
      </c>
      <c r="E116" s="34" t="s">
        <v>2</v>
      </c>
      <c r="F116" s="33"/>
      <c r="G116" s="47">
        <v>3.4</v>
      </c>
      <c r="H116" s="194">
        <v>204</v>
      </c>
      <c r="I116" s="82">
        <v>153155</v>
      </c>
    </row>
    <row r="117" spans="1:9">
      <c r="A117" s="33" t="s">
        <v>926</v>
      </c>
      <c r="B117" s="33" t="s">
        <v>1065</v>
      </c>
      <c r="C117" s="86" t="s">
        <v>1058</v>
      </c>
      <c r="D117" s="175">
        <v>50</v>
      </c>
      <c r="E117" s="34" t="s">
        <v>2</v>
      </c>
      <c r="F117" s="181"/>
      <c r="G117" s="47">
        <v>1.85</v>
      </c>
      <c r="H117" s="194">
        <v>92.68</v>
      </c>
      <c r="I117" s="82">
        <v>153155</v>
      </c>
    </row>
    <row r="118" spans="1:9">
      <c r="A118" s="33" t="s">
        <v>926</v>
      </c>
      <c r="B118" s="33" t="s">
        <v>1052</v>
      </c>
      <c r="C118" s="86" t="s">
        <v>1061</v>
      </c>
      <c r="D118" s="175">
        <v>40</v>
      </c>
      <c r="E118" s="34" t="s">
        <v>2</v>
      </c>
      <c r="F118" s="33"/>
      <c r="G118" s="47">
        <v>3.57</v>
      </c>
      <c r="H118" s="194">
        <v>142.77000000000001</v>
      </c>
      <c r="I118" s="82">
        <v>153155</v>
      </c>
    </row>
    <row r="119" spans="1:9">
      <c r="A119" s="33" t="s">
        <v>926</v>
      </c>
      <c r="B119" s="33" t="s">
        <v>1087</v>
      </c>
      <c r="C119" s="86" t="s">
        <v>1088</v>
      </c>
      <c r="D119" s="175">
        <v>40</v>
      </c>
      <c r="E119" s="34" t="s">
        <v>2</v>
      </c>
      <c r="F119" s="33"/>
      <c r="G119" s="47">
        <v>1.94</v>
      </c>
      <c r="H119" s="194">
        <v>77.540000000000006</v>
      </c>
      <c r="I119" s="82">
        <v>153155</v>
      </c>
    </row>
    <row r="120" spans="1:9">
      <c r="A120" s="33" t="s">
        <v>926</v>
      </c>
      <c r="B120" s="33" t="s">
        <v>1054</v>
      </c>
      <c r="C120" s="86" t="s">
        <v>1056</v>
      </c>
      <c r="D120" s="175">
        <v>40</v>
      </c>
      <c r="E120" s="34" t="s">
        <v>2</v>
      </c>
      <c r="F120" s="33"/>
      <c r="G120" s="47">
        <v>3.06</v>
      </c>
      <c r="H120" s="194">
        <v>122.46</v>
      </c>
      <c r="I120" s="82">
        <v>153155</v>
      </c>
    </row>
    <row r="121" spans="1:9">
      <c r="A121" s="33" t="s">
        <v>926</v>
      </c>
      <c r="B121" s="33" t="s">
        <v>1062</v>
      </c>
      <c r="C121" s="86" t="s">
        <v>1063</v>
      </c>
      <c r="D121" s="175">
        <v>40</v>
      </c>
      <c r="E121" s="34" t="s">
        <v>2</v>
      </c>
      <c r="F121" s="33"/>
      <c r="G121" s="47">
        <v>3.89</v>
      </c>
      <c r="H121" s="194">
        <v>155.69</v>
      </c>
      <c r="I121" s="82">
        <v>153155</v>
      </c>
    </row>
    <row r="122" spans="1:9">
      <c r="A122" s="33" t="s">
        <v>926</v>
      </c>
      <c r="B122" s="33" t="s">
        <v>1089</v>
      </c>
      <c r="C122" s="86" t="s">
        <v>1090</v>
      </c>
      <c r="D122" s="175">
        <v>30</v>
      </c>
      <c r="E122" s="34" t="s">
        <v>2</v>
      </c>
      <c r="F122" s="33"/>
      <c r="G122" s="47">
        <v>2.12</v>
      </c>
      <c r="H122" s="194">
        <v>63.69</v>
      </c>
      <c r="I122" s="82">
        <v>153155</v>
      </c>
    </row>
    <row r="123" spans="1:9">
      <c r="A123" s="33" t="s">
        <v>926</v>
      </c>
      <c r="B123" s="33" t="s">
        <v>1053</v>
      </c>
      <c r="C123" s="86" t="s">
        <v>1055</v>
      </c>
      <c r="D123" s="175">
        <v>40</v>
      </c>
      <c r="E123" s="34" t="s">
        <v>2</v>
      </c>
      <c r="F123" s="33"/>
      <c r="G123" s="47">
        <v>4.74</v>
      </c>
      <c r="H123" s="194">
        <v>189.54</v>
      </c>
      <c r="I123" s="82">
        <v>153155</v>
      </c>
    </row>
    <row r="124" spans="1:9">
      <c r="A124" s="33" t="s">
        <v>926</v>
      </c>
      <c r="B124" s="33" t="s">
        <v>1070</v>
      </c>
      <c r="C124" s="86" t="s">
        <v>1075</v>
      </c>
      <c r="D124" s="175">
        <v>14</v>
      </c>
      <c r="E124" s="34" t="s">
        <v>2</v>
      </c>
      <c r="F124" s="33"/>
      <c r="G124" s="47">
        <v>28.62</v>
      </c>
      <c r="H124" s="194">
        <v>400.62</v>
      </c>
      <c r="I124" s="82">
        <v>153155</v>
      </c>
    </row>
    <row r="125" spans="1:9">
      <c r="A125" s="33" t="s">
        <v>926</v>
      </c>
      <c r="B125" s="33" t="s">
        <v>1037</v>
      </c>
      <c r="C125" s="86" t="s">
        <v>1036</v>
      </c>
      <c r="D125" s="34">
        <v>30</v>
      </c>
      <c r="E125" s="34" t="s">
        <v>2</v>
      </c>
      <c r="F125" s="181"/>
      <c r="G125" s="47">
        <v>8.9600000000000009</v>
      </c>
      <c r="H125" s="194">
        <v>268.77999999999997</v>
      </c>
      <c r="I125" s="82">
        <v>153155</v>
      </c>
    </row>
    <row r="126" spans="1:9">
      <c r="A126" s="33" t="s">
        <v>926</v>
      </c>
      <c r="B126" s="33" t="s">
        <v>1038</v>
      </c>
      <c r="C126" s="33" t="s">
        <v>1039</v>
      </c>
      <c r="D126" s="34">
        <v>6</v>
      </c>
      <c r="E126" s="34" t="s">
        <v>2</v>
      </c>
      <c r="F126" s="181"/>
      <c r="G126" s="47">
        <v>28.69</v>
      </c>
      <c r="H126" s="194">
        <v>172.15</v>
      </c>
      <c r="I126" s="82">
        <v>153155</v>
      </c>
    </row>
    <row r="127" spans="1:9">
      <c r="A127" s="33" t="s">
        <v>926</v>
      </c>
      <c r="B127" s="33" t="s">
        <v>1040</v>
      </c>
      <c r="C127" s="86" t="s">
        <v>1041</v>
      </c>
      <c r="D127" s="34">
        <v>12</v>
      </c>
      <c r="E127" s="34" t="s">
        <v>2</v>
      </c>
      <c r="F127" s="181"/>
      <c r="G127" s="47">
        <v>11.77</v>
      </c>
      <c r="H127" s="194">
        <v>141.22999999999999</v>
      </c>
      <c r="I127" s="82">
        <v>153155</v>
      </c>
    </row>
    <row r="128" spans="1:9">
      <c r="A128" s="54" t="s">
        <v>926</v>
      </c>
      <c r="B128" s="54" t="s">
        <v>1048</v>
      </c>
      <c r="C128" s="54" t="s">
        <v>1080</v>
      </c>
      <c r="D128" s="189">
        <v>390</v>
      </c>
      <c r="E128" s="189" t="s">
        <v>2</v>
      </c>
      <c r="F128" s="190"/>
      <c r="G128" s="47">
        <v>0.6</v>
      </c>
      <c r="H128" s="194">
        <v>235.74</v>
      </c>
      <c r="I128" s="82">
        <v>153155</v>
      </c>
    </row>
    <row r="129" spans="1:10">
      <c r="A129" s="85" t="s">
        <v>926</v>
      </c>
      <c r="B129" s="85" t="s">
        <v>1049</v>
      </c>
      <c r="C129" s="85" t="s">
        <v>1081</v>
      </c>
      <c r="D129" s="192">
        <v>120</v>
      </c>
      <c r="E129" s="192" t="s">
        <v>2</v>
      </c>
      <c r="F129" s="193"/>
      <c r="G129" s="49">
        <v>1.1399999999999999</v>
      </c>
      <c r="H129" s="195">
        <v>136.61000000000001</v>
      </c>
      <c r="I129" s="84">
        <v>153155</v>
      </c>
    </row>
    <row r="130" spans="1:10">
      <c r="G130" s="60"/>
      <c r="H130" s="15"/>
      <c r="I130"/>
    </row>
    <row r="133" spans="1:10" ht="30">
      <c r="A133" s="143" t="s">
        <v>350</v>
      </c>
      <c r="B133" s="143" t="s">
        <v>344</v>
      </c>
      <c r="C133" s="143" t="s">
        <v>345</v>
      </c>
      <c r="D133" s="161" t="s">
        <v>358</v>
      </c>
      <c r="E133" s="161" t="s">
        <v>902</v>
      </c>
      <c r="F133" s="161" t="s">
        <v>357</v>
      </c>
      <c r="G133" s="161" t="s">
        <v>1157</v>
      </c>
      <c r="H133" s="162" t="s">
        <v>916</v>
      </c>
    </row>
    <row r="134" spans="1:10">
      <c r="A134" s="33" t="s">
        <v>926</v>
      </c>
      <c r="B134" s="33" t="s">
        <v>967</v>
      </c>
      <c r="C134" s="33" t="s">
        <v>968</v>
      </c>
      <c r="D134" s="34">
        <v>40</v>
      </c>
      <c r="E134" s="34" t="s">
        <v>2</v>
      </c>
      <c r="F134" s="34"/>
      <c r="G134" s="47">
        <v>5.43</v>
      </c>
      <c r="H134" s="201">
        <v>217.05</v>
      </c>
      <c r="I134" s="200"/>
      <c r="J134" s="10"/>
    </row>
    <row r="135" spans="1:10">
      <c r="A135" s="33" t="s">
        <v>926</v>
      </c>
      <c r="B135" s="33" t="s">
        <v>969</v>
      </c>
      <c r="C135" s="33" t="s">
        <v>970</v>
      </c>
      <c r="D135" s="34">
        <v>40</v>
      </c>
      <c r="E135" s="34" t="s">
        <v>2</v>
      </c>
      <c r="F135" s="34"/>
      <c r="G135" s="47">
        <v>4.8099999999999996</v>
      </c>
      <c r="H135" s="194">
        <v>192.33</v>
      </c>
      <c r="I135" s="200"/>
      <c r="J135" s="10"/>
    </row>
    <row r="136" spans="1:10">
      <c r="A136" s="7" t="s">
        <v>926</v>
      </c>
      <c r="B136" s="7" t="s">
        <v>1042</v>
      </c>
      <c r="C136" s="88" t="s">
        <v>1043</v>
      </c>
      <c r="D136" s="197">
        <v>100</v>
      </c>
      <c r="E136" s="14" t="s">
        <v>2</v>
      </c>
      <c r="F136" s="7"/>
      <c r="G136" s="49">
        <v>1.5</v>
      </c>
      <c r="H136" s="195">
        <v>150.15</v>
      </c>
    </row>
    <row r="140" spans="1:10" ht="30">
      <c r="A140" s="143" t="s">
        <v>350</v>
      </c>
      <c r="B140" s="143" t="s">
        <v>344</v>
      </c>
      <c r="C140" s="143" t="s">
        <v>345</v>
      </c>
      <c r="D140" s="161" t="s">
        <v>358</v>
      </c>
      <c r="E140" s="161" t="s">
        <v>902</v>
      </c>
      <c r="F140" s="161" t="s">
        <v>357</v>
      </c>
      <c r="G140" s="161" t="s">
        <v>1157</v>
      </c>
      <c r="H140" s="162" t="s">
        <v>916</v>
      </c>
    </row>
    <row r="141" spans="1:10">
      <c r="A141" s="33" t="s">
        <v>926</v>
      </c>
      <c r="B141" s="33" t="s">
        <v>1030</v>
      </c>
      <c r="C141" s="86" t="s">
        <v>1033</v>
      </c>
      <c r="D141" s="34">
        <v>30</v>
      </c>
      <c r="E141" s="34" t="s">
        <v>2</v>
      </c>
      <c r="F141" s="181"/>
      <c r="G141" s="164">
        <v>7</v>
      </c>
      <c r="H141" s="219">
        <v>209.88</v>
      </c>
      <c r="I141" s="218"/>
      <c r="J141" s="10"/>
    </row>
    <row r="142" spans="1:10">
      <c r="A142" s="7" t="s">
        <v>926</v>
      </c>
      <c r="B142" s="7" t="s">
        <v>1042</v>
      </c>
      <c r="C142" s="88" t="s">
        <v>1043</v>
      </c>
      <c r="D142" s="197">
        <v>100</v>
      </c>
      <c r="E142" s="14" t="s">
        <v>2</v>
      </c>
      <c r="F142" s="7"/>
      <c r="G142" s="205">
        <v>1.5</v>
      </c>
      <c r="H142" s="220">
        <v>150.15</v>
      </c>
    </row>
  </sheetData>
  <mergeCells count="1">
    <mergeCell ref="G1:H1"/>
  </mergeCells>
  <printOptions horizontalCentered="1"/>
  <pageMargins left="0.23622047244094491" right="0.23622047244094491" top="0.74803149606299213" bottom="0.74803149606299213" header="0.31496062992125984" footer="0.31496062992125984"/>
  <rowBreaks count="2" manualBreakCount="2">
    <brk id="2" max="23" man="1"/>
    <brk id="45" max="23" man="1"/>
  </rowBreak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1:Y138"/>
  <sheetViews>
    <sheetView zoomScale="125" zoomScaleNormal="85" zoomScalePageLayoutView="85" workbookViewId="0">
      <pane xSplit="3" ySplit="2" topLeftCell="D72" activePane="bottomRight" state="frozen"/>
      <selection pane="topRight" activeCell="D1" sqref="D1"/>
      <selection pane="bottomLeft" activeCell="A3" sqref="A3"/>
      <selection pane="bottomRight" activeCell="B89" sqref="B89"/>
    </sheetView>
  </sheetViews>
  <sheetFormatPr defaultColWidth="8.85546875" defaultRowHeight="15"/>
  <cols>
    <col min="1" max="2" width="20.7109375" customWidth="1"/>
    <col min="3" max="3" width="50.7109375" customWidth="1"/>
    <col min="4" max="6" width="10.7109375" style="15" customWidth="1"/>
    <col min="7" max="7" width="11.140625" customWidth="1"/>
  </cols>
  <sheetData>
    <row r="1" spans="1:7" ht="18.75">
      <c r="A1" s="147" t="s">
        <v>905</v>
      </c>
      <c r="B1" s="1"/>
      <c r="C1" s="1"/>
      <c r="D1" s="11"/>
      <c r="E1" s="11"/>
      <c r="F1" s="11"/>
    </row>
    <row r="2" spans="1:7" s="26" customFormat="1">
      <c r="A2" s="24" t="s">
        <v>350</v>
      </c>
      <c r="B2" s="24" t="s">
        <v>344</v>
      </c>
      <c r="C2" s="24" t="s">
        <v>345</v>
      </c>
      <c r="D2" s="23" t="s">
        <v>358</v>
      </c>
      <c r="E2" s="23" t="s">
        <v>902</v>
      </c>
      <c r="F2" s="23" t="s">
        <v>357</v>
      </c>
    </row>
    <row r="3" spans="1:7">
      <c r="A3" s="33" t="s">
        <v>352</v>
      </c>
      <c r="B3" s="33" t="s">
        <v>116</v>
      </c>
      <c r="C3" s="33" t="s">
        <v>117</v>
      </c>
      <c r="D3" s="148">
        <v>26</v>
      </c>
      <c r="E3" s="34" t="s">
        <v>2</v>
      </c>
      <c r="F3" s="34">
        <v>32</v>
      </c>
      <c r="G3" s="148"/>
    </row>
    <row r="4" spans="1:7">
      <c r="A4" s="33" t="s">
        <v>352</v>
      </c>
      <c r="B4" s="33" t="s">
        <v>118</v>
      </c>
      <c r="C4" s="33" t="s">
        <v>119</v>
      </c>
      <c r="D4" s="148">
        <v>26</v>
      </c>
      <c r="E4" s="34" t="s">
        <v>2</v>
      </c>
      <c r="F4" s="34">
        <v>32</v>
      </c>
      <c r="G4" s="148"/>
    </row>
    <row r="5" spans="1:7">
      <c r="A5" s="33" t="s">
        <v>352</v>
      </c>
      <c r="B5" s="33" t="s">
        <v>120</v>
      </c>
      <c r="C5" s="33" t="s">
        <v>121</v>
      </c>
      <c r="D5" s="148">
        <v>26</v>
      </c>
      <c r="E5" s="34" t="s">
        <v>2</v>
      </c>
      <c r="F5" s="34">
        <v>32</v>
      </c>
      <c r="G5" s="148"/>
    </row>
    <row r="6" spans="1:7">
      <c r="A6" s="33" t="s">
        <v>352</v>
      </c>
      <c r="B6" s="33" t="s">
        <v>122</v>
      </c>
      <c r="C6" s="33" t="s">
        <v>123</v>
      </c>
      <c r="D6" s="148">
        <v>26</v>
      </c>
      <c r="E6" s="34" t="s">
        <v>2</v>
      </c>
      <c r="F6" s="34">
        <v>32</v>
      </c>
      <c r="G6" s="148"/>
    </row>
    <row r="7" spans="1:7">
      <c r="A7" s="33" t="s">
        <v>352</v>
      </c>
      <c r="B7" s="33" t="s">
        <v>124</v>
      </c>
      <c r="C7" s="33" t="s">
        <v>366</v>
      </c>
      <c r="D7" s="34">
        <v>10</v>
      </c>
      <c r="E7" s="34" t="s">
        <v>2</v>
      </c>
      <c r="F7" s="34">
        <v>32</v>
      </c>
      <c r="G7" s="148"/>
    </row>
    <row r="8" spans="1:7">
      <c r="A8" s="33" t="s">
        <v>352</v>
      </c>
      <c r="B8" s="33" t="s">
        <v>125</v>
      </c>
      <c r="C8" s="33" t="s">
        <v>126</v>
      </c>
      <c r="D8" s="148">
        <v>24</v>
      </c>
      <c r="E8" s="34" t="s">
        <v>2</v>
      </c>
      <c r="F8" s="34">
        <v>32</v>
      </c>
      <c r="G8" s="148"/>
    </row>
    <row r="9" spans="1:7">
      <c r="A9" s="33" t="s">
        <v>352</v>
      </c>
      <c r="B9" s="33" t="s">
        <v>127</v>
      </c>
      <c r="C9" s="33" t="s">
        <v>128</v>
      </c>
      <c r="D9" s="148">
        <v>24</v>
      </c>
      <c r="E9" s="34" t="s">
        <v>2</v>
      </c>
      <c r="F9" s="34">
        <v>32</v>
      </c>
      <c r="G9" s="148"/>
    </row>
    <row r="10" spans="1:7">
      <c r="A10" s="33" t="s">
        <v>352</v>
      </c>
      <c r="B10" s="33" t="s">
        <v>129</v>
      </c>
      <c r="C10" s="33" t="s">
        <v>130</v>
      </c>
      <c r="D10" s="148">
        <v>24</v>
      </c>
      <c r="E10" s="34" t="s">
        <v>2</v>
      </c>
      <c r="F10" s="34">
        <v>32</v>
      </c>
      <c r="G10" s="148"/>
    </row>
    <row r="11" spans="1:7">
      <c r="A11" s="33" t="s">
        <v>352</v>
      </c>
      <c r="B11" s="33" t="s">
        <v>131</v>
      </c>
      <c r="C11" s="33" t="s">
        <v>132</v>
      </c>
      <c r="D11" s="148">
        <v>24</v>
      </c>
      <c r="E11" s="34" t="s">
        <v>2</v>
      </c>
      <c r="F11" s="34">
        <v>32</v>
      </c>
      <c r="G11" s="148"/>
    </row>
    <row r="12" spans="1:7" s="10" customFormat="1">
      <c r="A12" s="33" t="s">
        <v>352</v>
      </c>
      <c r="B12" s="33" t="s">
        <v>133</v>
      </c>
      <c r="C12" s="33" t="s">
        <v>134</v>
      </c>
      <c r="D12" s="34">
        <v>10</v>
      </c>
      <c r="E12" s="34" t="s">
        <v>2</v>
      </c>
      <c r="F12" s="34">
        <v>32</v>
      </c>
      <c r="G12" s="148"/>
    </row>
    <row r="13" spans="1:7">
      <c r="A13" s="33" t="s">
        <v>352</v>
      </c>
      <c r="B13" s="33" t="s">
        <v>100</v>
      </c>
      <c r="C13" s="33" t="s">
        <v>101</v>
      </c>
      <c r="D13" s="148">
        <v>24</v>
      </c>
      <c r="E13" s="34" t="s">
        <v>2</v>
      </c>
      <c r="F13" s="34">
        <v>32</v>
      </c>
      <c r="G13" s="148"/>
    </row>
    <row r="14" spans="1:7">
      <c r="A14" s="33" t="s">
        <v>352</v>
      </c>
      <c r="B14" s="33" t="s">
        <v>102</v>
      </c>
      <c r="C14" s="33" t="s">
        <v>103</v>
      </c>
      <c r="D14" s="148">
        <v>24</v>
      </c>
      <c r="E14" s="34" t="s">
        <v>2</v>
      </c>
      <c r="F14" s="34">
        <v>32</v>
      </c>
      <c r="G14" s="148"/>
    </row>
    <row r="15" spans="1:7">
      <c r="A15" s="33" t="s">
        <v>352</v>
      </c>
      <c r="B15" s="33" t="s">
        <v>104</v>
      </c>
      <c r="C15" s="33" t="s">
        <v>105</v>
      </c>
      <c r="D15" s="148">
        <v>24</v>
      </c>
      <c r="E15" s="34" t="s">
        <v>2</v>
      </c>
      <c r="F15" s="34">
        <v>32</v>
      </c>
      <c r="G15" s="148"/>
    </row>
    <row r="16" spans="1:7">
      <c r="A16" s="33" t="s">
        <v>352</v>
      </c>
      <c r="B16" s="33" t="s">
        <v>106</v>
      </c>
      <c r="C16" s="33" t="s">
        <v>107</v>
      </c>
      <c r="D16" s="148">
        <v>24</v>
      </c>
      <c r="E16" s="34" t="s">
        <v>2</v>
      </c>
      <c r="F16" s="34">
        <v>32</v>
      </c>
      <c r="G16" s="148"/>
    </row>
    <row r="17" spans="1:7">
      <c r="A17" s="33" t="s">
        <v>352</v>
      </c>
      <c r="B17" s="33" t="s">
        <v>108</v>
      </c>
      <c r="C17" s="33" t="s">
        <v>109</v>
      </c>
      <c r="D17" s="148">
        <v>22</v>
      </c>
      <c r="E17" s="34" t="s">
        <v>2</v>
      </c>
      <c r="F17" s="34">
        <v>32</v>
      </c>
      <c r="G17" s="148"/>
    </row>
    <row r="18" spans="1:7">
      <c r="A18" s="33" t="s">
        <v>352</v>
      </c>
      <c r="B18" s="33" t="s">
        <v>110</v>
      </c>
      <c r="C18" s="33" t="s">
        <v>111</v>
      </c>
      <c r="D18" s="148">
        <v>22</v>
      </c>
      <c r="E18" s="34" t="s">
        <v>2</v>
      </c>
      <c r="F18" s="34">
        <v>32</v>
      </c>
      <c r="G18" s="148"/>
    </row>
    <row r="19" spans="1:7">
      <c r="A19" s="33" t="s">
        <v>352</v>
      </c>
      <c r="B19" s="33" t="s">
        <v>112</v>
      </c>
      <c r="C19" s="33" t="s">
        <v>113</v>
      </c>
      <c r="D19" s="148">
        <v>22</v>
      </c>
      <c r="E19" s="34" t="s">
        <v>2</v>
      </c>
      <c r="F19" s="34">
        <v>32</v>
      </c>
      <c r="G19" s="148"/>
    </row>
    <row r="20" spans="1:7">
      <c r="A20" s="33" t="s">
        <v>352</v>
      </c>
      <c r="B20" s="33" t="s">
        <v>114</v>
      </c>
      <c r="C20" s="33" t="s">
        <v>115</v>
      </c>
      <c r="D20" s="148">
        <v>22</v>
      </c>
      <c r="E20" s="34" t="s">
        <v>2</v>
      </c>
      <c r="F20" s="34">
        <v>32</v>
      </c>
      <c r="G20" s="148"/>
    </row>
    <row r="21" spans="1:7">
      <c r="A21" s="33" t="s">
        <v>352</v>
      </c>
      <c r="B21" s="33" t="s">
        <v>137</v>
      </c>
      <c r="C21" s="33" t="s">
        <v>138</v>
      </c>
      <c r="D21" s="148">
        <v>24</v>
      </c>
      <c r="E21" s="34" t="s">
        <v>2</v>
      </c>
      <c r="F21" s="34">
        <v>32</v>
      </c>
      <c r="G21" s="148"/>
    </row>
    <row r="22" spans="1:7">
      <c r="A22" s="33" t="s">
        <v>352</v>
      </c>
      <c r="B22" s="33" t="s">
        <v>139</v>
      </c>
      <c r="C22" s="33" t="s">
        <v>140</v>
      </c>
      <c r="D22" s="148">
        <v>24</v>
      </c>
      <c r="E22" s="34" t="s">
        <v>2</v>
      </c>
      <c r="F22" s="34">
        <v>32</v>
      </c>
      <c r="G22" s="148"/>
    </row>
    <row r="23" spans="1:7">
      <c r="A23" s="33" t="s">
        <v>352</v>
      </c>
      <c r="B23" s="33" t="s">
        <v>141</v>
      </c>
      <c r="C23" s="33" t="s">
        <v>142</v>
      </c>
      <c r="D23" s="148">
        <v>24</v>
      </c>
      <c r="E23" s="34" t="s">
        <v>2</v>
      </c>
      <c r="F23" s="34">
        <v>32</v>
      </c>
      <c r="G23" s="148"/>
    </row>
    <row r="24" spans="1:7">
      <c r="A24" s="33" t="s">
        <v>352</v>
      </c>
      <c r="B24" s="33" t="s">
        <v>143</v>
      </c>
      <c r="C24" s="33" t="s">
        <v>144</v>
      </c>
      <c r="D24" s="148">
        <v>24</v>
      </c>
      <c r="E24" s="34" t="s">
        <v>2</v>
      </c>
      <c r="F24" s="34">
        <v>32</v>
      </c>
      <c r="G24" s="148"/>
    </row>
    <row r="25" spans="1:7" s="10" customFormat="1">
      <c r="A25" s="33" t="s">
        <v>352</v>
      </c>
      <c r="B25" s="33" t="s">
        <v>135</v>
      </c>
      <c r="C25" s="33" t="s">
        <v>136</v>
      </c>
      <c r="D25" s="34">
        <v>30</v>
      </c>
      <c r="E25" s="34" t="s">
        <v>2</v>
      </c>
      <c r="F25" s="34">
        <v>32</v>
      </c>
      <c r="G25" s="149"/>
    </row>
    <row r="26" spans="1:7" s="10" customFormat="1">
      <c r="A26" s="4" t="s">
        <v>367</v>
      </c>
      <c r="B26" s="4" t="s">
        <v>52</v>
      </c>
      <c r="C26" s="4" t="s">
        <v>53</v>
      </c>
      <c r="D26" s="12">
        <v>120</v>
      </c>
      <c r="E26" s="12" t="s">
        <v>2</v>
      </c>
      <c r="F26" s="12">
        <v>24</v>
      </c>
    </row>
    <row r="27" spans="1:7">
      <c r="A27" s="33" t="s">
        <v>367</v>
      </c>
      <c r="B27" s="33" t="s">
        <v>50</v>
      </c>
      <c r="C27" s="33" t="s">
        <v>51</v>
      </c>
      <c r="D27" s="34">
        <v>80</v>
      </c>
      <c r="E27" s="34" t="s">
        <v>2</v>
      </c>
      <c r="F27" s="34">
        <v>24</v>
      </c>
    </row>
    <row r="28" spans="1:7">
      <c r="A28" s="7" t="s">
        <v>367</v>
      </c>
      <c r="B28" s="7" t="s">
        <v>48</v>
      </c>
      <c r="C28" s="7" t="s">
        <v>49</v>
      </c>
      <c r="D28" s="14">
        <v>40</v>
      </c>
      <c r="E28" s="14" t="s">
        <v>2</v>
      </c>
      <c r="F28" s="14">
        <v>24</v>
      </c>
    </row>
    <row r="29" spans="1:7">
      <c r="A29" s="86" t="s">
        <v>353</v>
      </c>
      <c r="B29" s="86" t="s">
        <v>145</v>
      </c>
      <c r="C29" s="86" t="s">
        <v>146</v>
      </c>
      <c r="D29" s="87">
        <v>100</v>
      </c>
      <c r="E29" s="87" t="s">
        <v>2</v>
      </c>
      <c r="F29" s="34">
        <v>42</v>
      </c>
    </row>
    <row r="30" spans="1:7">
      <c r="A30" s="86" t="s">
        <v>353</v>
      </c>
      <c r="B30" s="86" t="s">
        <v>147</v>
      </c>
      <c r="C30" s="86" t="s">
        <v>148</v>
      </c>
      <c r="D30" s="87">
        <v>100</v>
      </c>
      <c r="E30" s="87" t="s">
        <v>2</v>
      </c>
      <c r="F30" s="34">
        <v>42</v>
      </c>
    </row>
    <row r="31" spans="1:7">
      <c r="A31" s="86" t="s">
        <v>353</v>
      </c>
      <c r="B31" s="86" t="s">
        <v>149</v>
      </c>
      <c r="C31" s="86" t="s">
        <v>150</v>
      </c>
      <c r="D31" s="87">
        <v>100</v>
      </c>
      <c r="E31" s="87" t="s">
        <v>2</v>
      </c>
      <c r="F31" s="34">
        <v>30</v>
      </c>
    </row>
    <row r="32" spans="1:7">
      <c r="A32" s="86" t="s">
        <v>353</v>
      </c>
      <c r="B32" s="86" t="s">
        <v>151</v>
      </c>
      <c r="C32" s="86" t="s">
        <v>152</v>
      </c>
      <c r="D32" s="87">
        <v>50</v>
      </c>
      <c r="E32" s="87" t="s">
        <v>2</v>
      </c>
      <c r="F32" s="34">
        <v>30</v>
      </c>
    </row>
    <row r="33" spans="1:6">
      <c r="A33" s="86" t="s">
        <v>353</v>
      </c>
      <c r="B33" s="86" t="s">
        <v>153</v>
      </c>
      <c r="C33" s="86" t="s">
        <v>154</v>
      </c>
      <c r="D33" s="87">
        <v>45</v>
      </c>
      <c r="E33" s="87" t="s">
        <v>2</v>
      </c>
      <c r="F33" s="150">
        <v>32</v>
      </c>
    </row>
    <row r="34" spans="1:6" s="152" customFormat="1">
      <c r="A34" s="86" t="s">
        <v>353</v>
      </c>
      <c r="B34" s="86" t="s">
        <v>155</v>
      </c>
      <c r="C34" s="86" t="s">
        <v>156</v>
      </c>
      <c r="D34" s="87">
        <v>25</v>
      </c>
      <c r="E34" s="87" t="s">
        <v>2</v>
      </c>
      <c r="F34" s="151">
        <v>52</v>
      </c>
    </row>
    <row r="35" spans="1:6" s="152" customFormat="1">
      <c r="A35" s="86" t="s">
        <v>353</v>
      </c>
      <c r="B35" s="86" t="s">
        <v>157</v>
      </c>
      <c r="C35" s="86" t="s">
        <v>158</v>
      </c>
      <c r="D35" s="87">
        <v>20</v>
      </c>
      <c r="E35" s="87" t="s">
        <v>2</v>
      </c>
      <c r="F35" s="151">
        <v>40</v>
      </c>
    </row>
    <row r="36" spans="1:6" s="152" customFormat="1">
      <c r="A36" s="86" t="s">
        <v>353</v>
      </c>
      <c r="B36" s="86" t="s">
        <v>159</v>
      </c>
      <c r="C36" s="86" t="s">
        <v>160</v>
      </c>
      <c r="D36" s="87">
        <v>15</v>
      </c>
      <c r="E36" s="87" t="s">
        <v>2</v>
      </c>
      <c r="F36" s="151">
        <v>48</v>
      </c>
    </row>
    <row r="37" spans="1:6" s="152" customFormat="1">
      <c r="A37" s="86" t="s">
        <v>353</v>
      </c>
      <c r="B37" s="86" t="s">
        <v>161</v>
      </c>
      <c r="C37" s="86" t="s">
        <v>162</v>
      </c>
      <c r="D37" s="87">
        <v>15</v>
      </c>
      <c r="E37" s="87" t="s">
        <v>2</v>
      </c>
      <c r="F37" s="151">
        <v>42</v>
      </c>
    </row>
    <row r="38" spans="1:6" s="152" customFormat="1">
      <c r="A38" s="86" t="s">
        <v>353</v>
      </c>
      <c r="B38" s="86" t="s">
        <v>163</v>
      </c>
      <c r="C38" s="86" t="s">
        <v>164</v>
      </c>
      <c r="D38" s="87">
        <v>12</v>
      </c>
      <c r="E38" s="87" t="s">
        <v>2</v>
      </c>
      <c r="F38" s="151">
        <v>42</v>
      </c>
    </row>
    <row r="39" spans="1:6" s="152" customFormat="1">
      <c r="A39" s="86" t="s">
        <v>353</v>
      </c>
      <c r="B39" s="86" t="s">
        <v>165</v>
      </c>
      <c r="C39" s="86" t="s">
        <v>166</v>
      </c>
      <c r="D39" s="87">
        <v>50</v>
      </c>
      <c r="E39" s="87" t="s">
        <v>2</v>
      </c>
      <c r="F39" s="151">
        <v>48</v>
      </c>
    </row>
    <row r="40" spans="1:6" s="152" customFormat="1">
      <c r="A40" s="86" t="s">
        <v>353</v>
      </c>
      <c r="B40" s="86" t="s">
        <v>167</v>
      </c>
      <c r="C40" s="86" t="s">
        <v>168</v>
      </c>
      <c r="D40" s="87">
        <v>120</v>
      </c>
      <c r="E40" s="87" t="s">
        <v>2</v>
      </c>
      <c r="F40" s="151">
        <v>42</v>
      </c>
    </row>
    <row r="41" spans="1:6" s="152" customFormat="1">
      <c r="A41" s="86" t="s">
        <v>353</v>
      </c>
      <c r="B41" s="86" t="s">
        <v>169</v>
      </c>
      <c r="C41" s="86" t="s">
        <v>170</v>
      </c>
      <c r="D41" s="87">
        <v>120</v>
      </c>
      <c r="E41" s="87" t="s">
        <v>2</v>
      </c>
      <c r="F41" s="151">
        <v>42</v>
      </c>
    </row>
    <row r="42" spans="1:6" s="152" customFormat="1">
      <c r="A42" s="86" t="s">
        <v>353</v>
      </c>
      <c r="B42" s="86" t="s">
        <v>171</v>
      </c>
      <c r="C42" s="86" t="s">
        <v>172</v>
      </c>
      <c r="D42" s="87">
        <v>100</v>
      </c>
      <c r="E42" s="87" t="s">
        <v>2</v>
      </c>
      <c r="F42" s="151">
        <v>42</v>
      </c>
    </row>
    <row r="43" spans="1:6" s="152" customFormat="1">
      <c r="A43" s="86" t="s">
        <v>353</v>
      </c>
      <c r="B43" s="86" t="s">
        <v>173</v>
      </c>
      <c r="C43" s="86" t="s">
        <v>174</v>
      </c>
      <c r="D43" s="87">
        <v>100</v>
      </c>
      <c r="E43" s="87" t="s">
        <v>2</v>
      </c>
      <c r="F43" s="151">
        <v>30</v>
      </c>
    </row>
    <row r="44" spans="1:6" s="152" customFormat="1">
      <c r="A44" s="86" t="s">
        <v>353</v>
      </c>
      <c r="B44" s="86" t="s">
        <v>175</v>
      </c>
      <c r="C44" s="86" t="s">
        <v>176</v>
      </c>
      <c r="D44" s="87">
        <v>20</v>
      </c>
      <c r="E44" s="87" t="s">
        <v>2</v>
      </c>
      <c r="F44" s="151">
        <v>52</v>
      </c>
    </row>
    <row r="45" spans="1:6" s="152" customFormat="1">
      <c r="A45" s="86" t="s">
        <v>353</v>
      </c>
      <c r="B45" s="86" t="s">
        <v>189</v>
      </c>
      <c r="C45" s="86" t="s">
        <v>190</v>
      </c>
      <c r="D45" s="87">
        <v>20</v>
      </c>
      <c r="E45" s="87" t="s">
        <v>2</v>
      </c>
      <c r="F45" s="151">
        <v>40</v>
      </c>
    </row>
    <row r="46" spans="1:6" s="152" customFormat="1">
      <c r="A46" s="86" t="s">
        <v>353</v>
      </c>
      <c r="B46" s="86" t="s">
        <v>191</v>
      </c>
      <c r="C46" s="86" t="s">
        <v>192</v>
      </c>
      <c r="D46" s="87">
        <v>20</v>
      </c>
      <c r="E46" s="87" t="s">
        <v>2</v>
      </c>
      <c r="F46" s="151">
        <v>32</v>
      </c>
    </row>
    <row r="47" spans="1:6" s="152" customFormat="1">
      <c r="A47" s="86" t="s">
        <v>353</v>
      </c>
      <c r="B47" s="86" t="s">
        <v>195</v>
      </c>
      <c r="C47" s="86" t="s">
        <v>196</v>
      </c>
      <c r="D47" s="87">
        <v>100</v>
      </c>
      <c r="E47" s="87" t="s">
        <v>2</v>
      </c>
      <c r="F47" s="151">
        <v>42</v>
      </c>
    </row>
    <row r="48" spans="1:6" s="152" customFormat="1">
      <c r="A48" s="86" t="s">
        <v>353</v>
      </c>
      <c r="B48" s="86" t="s">
        <v>197</v>
      </c>
      <c r="C48" s="86" t="s">
        <v>198</v>
      </c>
      <c r="D48" s="87">
        <v>100</v>
      </c>
      <c r="E48" s="87" t="s">
        <v>2</v>
      </c>
      <c r="F48" s="151">
        <v>42</v>
      </c>
    </row>
    <row r="49" spans="1:6" s="152" customFormat="1">
      <c r="A49" s="86" t="s">
        <v>353</v>
      </c>
      <c r="B49" s="86" t="s">
        <v>199</v>
      </c>
      <c r="C49" s="86" t="s">
        <v>200</v>
      </c>
      <c r="D49" s="87">
        <v>100</v>
      </c>
      <c r="E49" s="87" t="s">
        <v>2</v>
      </c>
      <c r="F49" s="151">
        <v>30</v>
      </c>
    </row>
    <row r="50" spans="1:6" s="152" customFormat="1">
      <c r="A50" s="86" t="s">
        <v>353</v>
      </c>
      <c r="B50" s="86" t="s">
        <v>201</v>
      </c>
      <c r="C50" s="86" t="s">
        <v>202</v>
      </c>
      <c r="D50" s="87">
        <v>80</v>
      </c>
      <c r="E50" s="87" t="s">
        <v>2</v>
      </c>
      <c r="F50" s="151">
        <v>24</v>
      </c>
    </row>
    <row r="51" spans="1:6" s="152" customFormat="1">
      <c r="A51" s="86" t="s">
        <v>353</v>
      </c>
      <c r="B51" s="86" t="s">
        <v>203</v>
      </c>
      <c r="C51" s="86" t="s">
        <v>204</v>
      </c>
      <c r="D51" s="87">
        <v>80</v>
      </c>
      <c r="E51" s="87" t="s">
        <v>2</v>
      </c>
      <c r="F51" s="151">
        <v>24</v>
      </c>
    </row>
    <row r="52" spans="1:6" s="152" customFormat="1">
      <c r="A52" s="86" t="s">
        <v>353</v>
      </c>
      <c r="B52" s="86" t="s">
        <v>205</v>
      </c>
      <c r="C52" s="86" t="s">
        <v>206</v>
      </c>
      <c r="D52" s="87">
        <v>40</v>
      </c>
      <c r="E52" s="87" t="s">
        <v>2</v>
      </c>
      <c r="F52" s="151">
        <v>24</v>
      </c>
    </row>
    <row r="53" spans="1:6" s="152" customFormat="1">
      <c r="A53" s="86" t="s">
        <v>353</v>
      </c>
      <c r="B53" s="86" t="s">
        <v>211</v>
      </c>
      <c r="C53" s="86" t="s">
        <v>212</v>
      </c>
      <c r="D53" s="87">
        <v>10</v>
      </c>
      <c r="E53" s="87" t="s">
        <v>2</v>
      </c>
      <c r="F53" s="151">
        <v>24</v>
      </c>
    </row>
    <row r="54" spans="1:6" s="152" customFormat="1">
      <c r="A54" s="86" t="s">
        <v>353</v>
      </c>
      <c r="B54" s="86" t="s">
        <v>213</v>
      </c>
      <c r="C54" s="86" t="s">
        <v>214</v>
      </c>
      <c r="D54" s="87">
        <v>30</v>
      </c>
      <c r="E54" s="87" t="s">
        <v>2</v>
      </c>
      <c r="F54" s="151">
        <v>42</v>
      </c>
    </row>
    <row r="55" spans="1:6" s="152" customFormat="1">
      <c r="A55" s="86" t="s">
        <v>353</v>
      </c>
      <c r="B55" s="86" t="s">
        <v>215</v>
      </c>
      <c r="C55" s="86" t="s">
        <v>216</v>
      </c>
      <c r="D55" s="87">
        <v>30</v>
      </c>
      <c r="E55" s="87" t="s">
        <v>2</v>
      </c>
      <c r="F55" s="151">
        <v>42</v>
      </c>
    </row>
    <row r="56" spans="1:6" s="152" customFormat="1">
      <c r="A56" s="86" t="s">
        <v>353</v>
      </c>
      <c r="B56" s="86" t="s">
        <v>217</v>
      </c>
      <c r="C56" s="86" t="s">
        <v>218</v>
      </c>
      <c r="D56" s="87">
        <v>10</v>
      </c>
      <c r="E56" s="87" t="s">
        <v>2</v>
      </c>
      <c r="F56" s="151">
        <v>24</v>
      </c>
    </row>
    <row r="57" spans="1:6" s="152" customFormat="1">
      <c r="A57" s="86" t="s">
        <v>353</v>
      </c>
      <c r="B57" s="86" t="s">
        <v>223</v>
      </c>
      <c r="C57" s="86" t="s">
        <v>224</v>
      </c>
      <c r="D57" s="87">
        <v>30</v>
      </c>
      <c r="E57" s="87" t="s">
        <v>2</v>
      </c>
      <c r="F57" s="151">
        <v>48</v>
      </c>
    </row>
    <row r="58" spans="1:6" s="152" customFormat="1">
      <c r="A58" s="86" t="s">
        <v>353</v>
      </c>
      <c r="B58" s="86" t="s">
        <v>225</v>
      </c>
      <c r="C58" s="86" t="s">
        <v>226</v>
      </c>
      <c r="D58" s="87">
        <v>20</v>
      </c>
      <c r="E58" s="87" t="s">
        <v>2</v>
      </c>
      <c r="F58" s="151">
        <v>48</v>
      </c>
    </row>
    <row r="59" spans="1:6" s="152" customFormat="1">
      <c r="A59" s="86" t="s">
        <v>353</v>
      </c>
      <c r="B59" s="86" t="s">
        <v>227</v>
      </c>
      <c r="C59" s="86" t="s">
        <v>228</v>
      </c>
      <c r="D59" s="87">
        <v>20</v>
      </c>
      <c r="E59" s="87" t="s">
        <v>2</v>
      </c>
      <c r="F59" s="151">
        <v>32</v>
      </c>
    </row>
    <row r="60" spans="1:6" s="152" customFormat="1">
      <c r="A60" s="86" t="s">
        <v>353</v>
      </c>
      <c r="B60" s="86" t="s">
        <v>229</v>
      </c>
      <c r="C60" s="86" t="s">
        <v>230</v>
      </c>
      <c r="D60" s="87">
        <v>10</v>
      </c>
      <c r="E60" s="87" t="s">
        <v>2</v>
      </c>
      <c r="F60" s="151">
        <v>24</v>
      </c>
    </row>
    <row r="61" spans="1:6" s="152" customFormat="1">
      <c r="A61" s="86" t="s">
        <v>353</v>
      </c>
      <c r="B61" s="86" t="s">
        <v>233</v>
      </c>
      <c r="C61" s="86" t="s">
        <v>234</v>
      </c>
      <c r="D61" s="87">
        <v>8</v>
      </c>
      <c r="E61" s="87" t="s">
        <v>2</v>
      </c>
      <c r="F61" s="151">
        <v>24</v>
      </c>
    </row>
    <row r="62" spans="1:6" s="152" customFormat="1">
      <c r="A62" s="86" t="s">
        <v>353</v>
      </c>
      <c r="B62" s="86" t="s">
        <v>235</v>
      </c>
      <c r="C62" s="86" t="s">
        <v>236</v>
      </c>
      <c r="D62" s="87">
        <v>10</v>
      </c>
      <c r="E62" s="87" t="s">
        <v>2</v>
      </c>
      <c r="F62" s="151">
        <v>24</v>
      </c>
    </row>
    <row r="63" spans="1:6" s="152" customFormat="1">
      <c r="A63" s="86" t="s">
        <v>353</v>
      </c>
      <c r="B63" s="86" t="s">
        <v>237</v>
      </c>
      <c r="C63" s="86" t="s">
        <v>238</v>
      </c>
      <c r="D63" s="87">
        <v>7</v>
      </c>
      <c r="E63" s="87" t="s">
        <v>2</v>
      </c>
      <c r="F63" s="151">
        <v>24</v>
      </c>
    </row>
    <row r="64" spans="1:6" s="152" customFormat="1">
      <c r="A64" s="86" t="s">
        <v>353</v>
      </c>
      <c r="B64" s="86" t="s">
        <v>241</v>
      </c>
      <c r="C64" s="86" t="s">
        <v>242</v>
      </c>
      <c r="D64" s="87">
        <v>10</v>
      </c>
      <c r="E64" s="87" t="s">
        <v>2</v>
      </c>
      <c r="F64" s="151">
        <v>32</v>
      </c>
    </row>
    <row r="65" spans="1:25" s="153" customFormat="1">
      <c r="A65" s="86" t="s">
        <v>353</v>
      </c>
      <c r="B65" s="86" t="s">
        <v>245</v>
      </c>
      <c r="C65" s="86" t="s">
        <v>246</v>
      </c>
      <c r="D65" s="87">
        <v>7</v>
      </c>
      <c r="E65" s="87" t="s">
        <v>2</v>
      </c>
      <c r="F65" s="151">
        <v>24</v>
      </c>
      <c r="G65" s="152"/>
      <c r="H65" s="152"/>
      <c r="I65" s="152"/>
      <c r="J65" s="152"/>
      <c r="K65" s="152"/>
      <c r="L65" s="152"/>
      <c r="M65" s="152"/>
      <c r="N65" s="152"/>
      <c r="O65" s="152"/>
      <c r="P65" s="152"/>
      <c r="Q65" s="152"/>
      <c r="R65" s="152"/>
      <c r="S65" s="152"/>
      <c r="T65" s="152"/>
      <c r="U65" s="152"/>
      <c r="V65" s="152"/>
      <c r="W65" s="152"/>
      <c r="X65" s="152"/>
      <c r="Y65" s="152"/>
    </row>
    <row r="66" spans="1:25" s="152" customFormat="1">
      <c r="A66" s="86" t="s">
        <v>353</v>
      </c>
      <c r="B66" s="86" t="s">
        <v>249</v>
      </c>
      <c r="C66" s="86" t="s">
        <v>250</v>
      </c>
      <c r="D66" s="87">
        <v>10</v>
      </c>
      <c r="E66" s="87" t="s">
        <v>2</v>
      </c>
      <c r="F66" s="151">
        <v>24</v>
      </c>
    </row>
    <row r="67" spans="1:25" s="152" customFormat="1">
      <c r="A67" s="86" t="s">
        <v>353</v>
      </c>
      <c r="B67" s="86" t="s">
        <v>253</v>
      </c>
      <c r="C67" s="86" t="s">
        <v>254</v>
      </c>
      <c r="D67" s="87">
        <v>12</v>
      </c>
      <c r="E67" s="87" t="s">
        <v>2</v>
      </c>
      <c r="F67" s="151">
        <v>32</v>
      </c>
    </row>
    <row r="68" spans="1:25" s="152" customFormat="1">
      <c r="A68" s="86" t="s">
        <v>353</v>
      </c>
      <c r="B68" s="86" t="s">
        <v>259</v>
      </c>
      <c r="C68" s="86" t="s">
        <v>260</v>
      </c>
      <c r="D68" s="87">
        <v>10</v>
      </c>
      <c r="E68" s="87" t="s">
        <v>2</v>
      </c>
      <c r="F68" s="151">
        <v>24</v>
      </c>
    </row>
    <row r="69" spans="1:25" s="152" customFormat="1">
      <c r="A69" s="86" t="s">
        <v>353</v>
      </c>
      <c r="B69" s="86" t="s">
        <v>261</v>
      </c>
      <c r="C69" s="86" t="s">
        <v>262</v>
      </c>
      <c r="D69" s="87">
        <v>10</v>
      </c>
      <c r="E69" s="87" t="s">
        <v>2</v>
      </c>
      <c r="F69" s="151">
        <v>24</v>
      </c>
    </row>
    <row r="70" spans="1:25" s="152" customFormat="1">
      <c r="A70" s="86" t="s">
        <v>353</v>
      </c>
      <c r="B70" s="86" t="s">
        <v>263</v>
      </c>
      <c r="C70" s="86" t="s">
        <v>264</v>
      </c>
      <c r="D70" s="87">
        <v>10</v>
      </c>
      <c r="E70" s="87" t="s">
        <v>2</v>
      </c>
      <c r="F70" s="151">
        <v>24</v>
      </c>
    </row>
    <row r="71" spans="1:25" s="152" customFormat="1">
      <c r="A71" s="86" t="s">
        <v>353</v>
      </c>
      <c r="B71" s="86" t="s">
        <v>267</v>
      </c>
      <c r="C71" s="86" t="s">
        <v>268</v>
      </c>
      <c r="D71" s="87">
        <v>8</v>
      </c>
      <c r="E71" s="87" t="s">
        <v>2</v>
      </c>
      <c r="F71" s="151">
        <v>24</v>
      </c>
    </row>
    <row r="72" spans="1:25" s="152" customFormat="1">
      <c r="A72" s="86" t="s">
        <v>353</v>
      </c>
      <c r="B72" s="86" t="s">
        <v>271</v>
      </c>
      <c r="C72" s="86" t="s">
        <v>272</v>
      </c>
      <c r="D72" s="87">
        <v>10</v>
      </c>
      <c r="E72" s="87" t="s">
        <v>2</v>
      </c>
      <c r="F72" s="151">
        <v>24</v>
      </c>
    </row>
    <row r="73" spans="1:25" s="152" customFormat="1">
      <c r="A73" s="86" t="s">
        <v>353</v>
      </c>
      <c r="B73" s="86" t="s">
        <v>275</v>
      </c>
      <c r="C73" s="86" t="s">
        <v>276</v>
      </c>
      <c r="D73" s="87">
        <v>10</v>
      </c>
      <c r="E73" s="87" t="s">
        <v>2</v>
      </c>
      <c r="F73" s="151">
        <v>24</v>
      </c>
    </row>
    <row r="74" spans="1:25" s="152" customFormat="1">
      <c r="A74" s="86" t="s">
        <v>353</v>
      </c>
      <c r="B74" s="86" t="s">
        <v>277</v>
      </c>
      <c r="C74" s="86" t="s">
        <v>278</v>
      </c>
      <c r="D74" s="87">
        <v>40</v>
      </c>
      <c r="E74" s="87" t="s">
        <v>2</v>
      </c>
      <c r="F74" s="151">
        <v>24</v>
      </c>
    </row>
    <row r="75" spans="1:25" s="152" customFormat="1">
      <c r="A75" s="86" t="s">
        <v>353</v>
      </c>
      <c r="B75" s="86" t="s">
        <v>285</v>
      </c>
      <c r="C75" s="86" t="s">
        <v>286</v>
      </c>
      <c r="D75" s="87">
        <v>20</v>
      </c>
      <c r="E75" s="87" t="s">
        <v>2</v>
      </c>
      <c r="F75" s="151">
        <v>48</v>
      </c>
    </row>
    <row r="76" spans="1:25" s="152" customFormat="1">
      <c r="A76" s="86" t="s">
        <v>353</v>
      </c>
      <c r="B76" s="86" t="s">
        <v>287</v>
      </c>
      <c r="C76" s="86" t="s">
        <v>288</v>
      </c>
      <c r="D76" s="87">
        <v>20</v>
      </c>
      <c r="E76" s="87" t="s">
        <v>2</v>
      </c>
      <c r="F76" s="151">
        <v>48</v>
      </c>
    </row>
    <row r="77" spans="1:25" s="152" customFormat="1">
      <c r="A77" s="86" t="s">
        <v>353</v>
      </c>
      <c r="B77" s="86" t="s">
        <v>291</v>
      </c>
      <c r="C77" s="86" t="s">
        <v>292</v>
      </c>
      <c r="D77" s="87">
        <v>30</v>
      </c>
      <c r="E77" s="87" t="s">
        <v>2</v>
      </c>
      <c r="F77" s="151">
        <v>52</v>
      </c>
    </row>
    <row r="78" spans="1:25" s="152" customFormat="1">
      <c r="A78" s="86" t="s">
        <v>353</v>
      </c>
      <c r="B78" s="86" t="s">
        <v>293</v>
      </c>
      <c r="C78" s="86" t="s">
        <v>294</v>
      </c>
      <c r="D78" s="87">
        <v>25</v>
      </c>
      <c r="E78" s="87" t="s">
        <v>2</v>
      </c>
      <c r="F78" s="151">
        <v>52</v>
      </c>
    </row>
    <row r="79" spans="1:25" s="152" customFormat="1">
      <c r="A79" s="86" t="s">
        <v>353</v>
      </c>
      <c r="B79" s="86" t="s">
        <v>295</v>
      </c>
      <c r="C79" s="86" t="s">
        <v>296</v>
      </c>
      <c r="D79" s="87">
        <v>25</v>
      </c>
      <c r="E79" s="87" t="s">
        <v>2</v>
      </c>
      <c r="F79" s="151">
        <v>40</v>
      </c>
    </row>
    <row r="80" spans="1:25" s="152" customFormat="1">
      <c r="A80" s="86" t="s">
        <v>353</v>
      </c>
      <c r="B80" s="86" t="s">
        <v>297</v>
      </c>
      <c r="C80" s="86" t="s">
        <v>298</v>
      </c>
      <c r="D80" s="87">
        <v>20</v>
      </c>
      <c r="E80" s="87" t="s">
        <v>2</v>
      </c>
      <c r="F80" s="151">
        <v>30</v>
      </c>
    </row>
    <row r="81" spans="1:25" s="152" customFormat="1">
      <c r="A81" s="86" t="s">
        <v>353</v>
      </c>
      <c r="B81" s="86" t="s">
        <v>299</v>
      </c>
      <c r="C81" s="86" t="s">
        <v>300</v>
      </c>
      <c r="D81" s="87">
        <v>20</v>
      </c>
      <c r="E81" s="87" t="s">
        <v>2</v>
      </c>
      <c r="F81" s="151">
        <v>30</v>
      </c>
    </row>
    <row r="82" spans="1:25" s="152" customFormat="1">
      <c r="A82" s="86" t="s">
        <v>353</v>
      </c>
      <c r="B82" s="86" t="s">
        <v>305</v>
      </c>
      <c r="C82" s="86" t="s">
        <v>306</v>
      </c>
      <c r="D82" s="87">
        <v>32</v>
      </c>
      <c r="E82" s="87" t="s">
        <v>2</v>
      </c>
      <c r="F82" s="151">
        <v>30</v>
      </c>
    </row>
    <row r="83" spans="1:25" s="152" customFormat="1">
      <c r="A83" s="86" t="s">
        <v>353</v>
      </c>
      <c r="B83" s="86" t="s">
        <v>307</v>
      </c>
      <c r="C83" s="86" t="s">
        <v>308</v>
      </c>
      <c r="D83" s="87">
        <v>22</v>
      </c>
      <c r="E83" s="87" t="s">
        <v>2</v>
      </c>
      <c r="F83" s="151">
        <v>30</v>
      </c>
    </row>
    <row r="84" spans="1:25" s="152" customFormat="1">
      <c r="A84" s="86" t="s">
        <v>353</v>
      </c>
      <c r="B84" s="86" t="s">
        <v>309</v>
      </c>
      <c r="C84" s="86" t="s">
        <v>310</v>
      </c>
      <c r="D84" s="87">
        <v>40</v>
      </c>
      <c r="E84" s="87" t="s">
        <v>2</v>
      </c>
      <c r="F84" s="151">
        <v>24</v>
      </c>
    </row>
    <row r="85" spans="1:25" s="152" customFormat="1">
      <c r="A85" s="86" t="s">
        <v>353</v>
      </c>
      <c r="B85" s="86" t="s">
        <v>313</v>
      </c>
      <c r="C85" s="86" t="s">
        <v>314</v>
      </c>
      <c r="D85" s="87">
        <v>20</v>
      </c>
      <c r="E85" s="87" t="s">
        <v>2</v>
      </c>
      <c r="F85" s="151">
        <v>40</v>
      </c>
    </row>
    <row r="86" spans="1:25" s="152" customFormat="1">
      <c r="A86" s="86" t="s">
        <v>353</v>
      </c>
      <c r="B86" s="86" t="s">
        <v>315</v>
      </c>
      <c r="C86" s="86" t="s">
        <v>316</v>
      </c>
      <c r="D86" s="87">
        <v>8</v>
      </c>
      <c r="E86" s="87" t="s">
        <v>2</v>
      </c>
      <c r="F86" s="151">
        <v>24</v>
      </c>
    </row>
    <row r="87" spans="1:25" s="152" customFormat="1">
      <c r="A87" s="86" t="s">
        <v>353</v>
      </c>
      <c r="B87" s="86" t="s">
        <v>318</v>
      </c>
      <c r="C87" s="86" t="s">
        <v>319</v>
      </c>
      <c r="D87" s="87">
        <v>15</v>
      </c>
      <c r="E87" s="87" t="s">
        <v>2</v>
      </c>
      <c r="F87" s="151">
        <v>24</v>
      </c>
    </row>
    <row r="88" spans="1:25" s="152" customFormat="1">
      <c r="A88" s="86" t="s">
        <v>353</v>
      </c>
      <c r="B88" s="86" t="s">
        <v>322</v>
      </c>
      <c r="C88" s="86" t="s">
        <v>323</v>
      </c>
      <c r="D88" s="87">
        <v>15</v>
      </c>
      <c r="E88" s="87" t="s">
        <v>2</v>
      </c>
      <c r="F88" s="151">
        <v>32</v>
      </c>
    </row>
    <row r="89" spans="1:25" s="152" customFormat="1">
      <c r="A89" s="86" t="s">
        <v>353</v>
      </c>
      <c r="B89" s="86" t="s">
        <v>330</v>
      </c>
      <c r="C89" s="86" t="s">
        <v>331</v>
      </c>
      <c r="D89" s="87">
        <v>8</v>
      </c>
      <c r="E89" s="87" t="s">
        <v>2</v>
      </c>
      <c r="F89" s="151">
        <v>24</v>
      </c>
    </row>
    <row r="90" spans="1:25" s="152" customFormat="1">
      <c r="A90" s="86" t="s">
        <v>353</v>
      </c>
      <c r="B90" s="86" t="s">
        <v>332</v>
      </c>
      <c r="C90" s="86" t="s">
        <v>333</v>
      </c>
      <c r="D90" s="87">
        <v>10</v>
      </c>
      <c r="E90" s="87" t="s">
        <v>2</v>
      </c>
      <c r="F90" s="151">
        <v>32</v>
      </c>
    </row>
    <row r="91" spans="1:25">
      <c r="A91" s="86" t="s">
        <v>370</v>
      </c>
      <c r="B91" s="86" t="s">
        <v>334</v>
      </c>
      <c r="C91" s="86" t="s">
        <v>335</v>
      </c>
      <c r="D91" s="87">
        <v>8</v>
      </c>
      <c r="E91" s="87" t="s">
        <v>2</v>
      </c>
      <c r="F91" s="151"/>
    </row>
    <row r="92" spans="1:25">
      <c r="A92" s="86" t="s">
        <v>370</v>
      </c>
      <c r="B92" s="86" t="s">
        <v>336</v>
      </c>
      <c r="C92" s="86" t="s">
        <v>337</v>
      </c>
      <c r="D92" s="87">
        <v>12</v>
      </c>
      <c r="E92" s="87" t="s">
        <v>2</v>
      </c>
      <c r="F92" s="151"/>
    </row>
    <row r="93" spans="1:25">
      <c r="A93" s="86" t="s">
        <v>370</v>
      </c>
      <c r="B93" s="86" t="s">
        <v>338</v>
      </c>
      <c r="C93" s="86" t="s">
        <v>339</v>
      </c>
      <c r="D93" s="87">
        <v>8</v>
      </c>
      <c r="E93" s="87" t="s">
        <v>2</v>
      </c>
      <c r="F93" s="151"/>
    </row>
    <row r="94" spans="1:25">
      <c r="A94" s="86" t="s">
        <v>370</v>
      </c>
      <c r="B94" s="86" t="s">
        <v>340</v>
      </c>
      <c r="C94" s="86" t="s">
        <v>341</v>
      </c>
      <c r="D94" s="87">
        <v>12</v>
      </c>
      <c r="E94" s="87" t="s">
        <v>2</v>
      </c>
      <c r="F94" s="151"/>
    </row>
    <row r="95" spans="1:25">
      <c r="A95" s="88" t="s">
        <v>370</v>
      </c>
      <c r="B95" s="88" t="s">
        <v>342</v>
      </c>
      <c r="C95" s="88" t="s">
        <v>343</v>
      </c>
      <c r="D95" s="89">
        <v>4</v>
      </c>
      <c r="E95" s="89" t="s">
        <v>2</v>
      </c>
      <c r="F95" s="154">
        <v>24</v>
      </c>
      <c r="G95" s="10"/>
      <c r="H95" s="10"/>
      <c r="I95" s="10"/>
      <c r="J95" s="10"/>
      <c r="K95" s="10"/>
      <c r="L95" s="10"/>
      <c r="M95" s="10"/>
      <c r="N95" s="10"/>
      <c r="O95" s="10"/>
      <c r="P95" s="10"/>
      <c r="Q95" s="10"/>
      <c r="R95" s="10"/>
      <c r="S95" s="10"/>
      <c r="T95" s="10"/>
      <c r="U95" s="10"/>
      <c r="V95" s="10"/>
      <c r="W95" s="10"/>
      <c r="X95" s="10"/>
      <c r="Y95" s="10"/>
    </row>
    <row r="96" spans="1:25">
      <c r="A96" s="4" t="s">
        <v>351</v>
      </c>
      <c r="B96" s="4" t="s">
        <v>0</v>
      </c>
      <c r="C96" s="4" t="s">
        <v>1</v>
      </c>
      <c r="D96" s="12">
        <v>1000</v>
      </c>
      <c r="E96" s="12" t="s">
        <v>2</v>
      </c>
      <c r="F96" s="155">
        <v>63</v>
      </c>
    </row>
    <row r="97" spans="1:6">
      <c r="A97" s="33" t="s">
        <v>351</v>
      </c>
      <c r="B97" s="33" t="s">
        <v>4</v>
      </c>
      <c r="C97" s="33" t="s">
        <v>5</v>
      </c>
      <c r="D97" s="34">
        <v>500</v>
      </c>
      <c r="E97" s="34" t="s">
        <v>2</v>
      </c>
      <c r="F97" s="151">
        <v>52</v>
      </c>
    </row>
    <row r="98" spans="1:6">
      <c r="A98" s="33" t="s">
        <v>351</v>
      </c>
      <c r="B98" s="33" t="s">
        <v>6</v>
      </c>
      <c r="C98" s="33" t="s">
        <v>7</v>
      </c>
      <c r="D98" s="34">
        <v>500</v>
      </c>
      <c r="E98" s="34" t="s">
        <v>2</v>
      </c>
      <c r="F98" s="151">
        <v>21</v>
      </c>
    </row>
    <row r="99" spans="1:6">
      <c r="A99" s="33" t="s">
        <v>351</v>
      </c>
      <c r="B99" s="33" t="s">
        <v>8</v>
      </c>
      <c r="C99" s="33" t="s">
        <v>9</v>
      </c>
      <c r="D99" s="34">
        <v>300</v>
      </c>
      <c r="E99" s="34" t="s">
        <v>2</v>
      </c>
      <c r="F99" s="151">
        <v>30</v>
      </c>
    </row>
    <row r="100" spans="1:6">
      <c r="A100" s="33" t="s">
        <v>351</v>
      </c>
      <c r="B100" s="33" t="s">
        <v>10</v>
      </c>
      <c r="C100" s="33" t="s">
        <v>11</v>
      </c>
      <c r="D100" s="34">
        <v>150</v>
      </c>
      <c r="E100" s="34" t="s">
        <v>2</v>
      </c>
      <c r="F100" s="151">
        <v>40</v>
      </c>
    </row>
    <row r="101" spans="1:6">
      <c r="A101" s="33" t="s">
        <v>351</v>
      </c>
      <c r="B101" s="33" t="s">
        <v>12</v>
      </c>
      <c r="C101" s="33" t="s">
        <v>13</v>
      </c>
      <c r="D101" s="34">
        <v>150</v>
      </c>
      <c r="E101" s="34" t="s">
        <v>2</v>
      </c>
      <c r="F101" s="151">
        <v>42</v>
      </c>
    </row>
    <row r="102" spans="1:6">
      <c r="A102" s="33" t="s">
        <v>351</v>
      </c>
      <c r="B102" s="33" t="s">
        <v>14</v>
      </c>
      <c r="C102" s="33" t="s">
        <v>15</v>
      </c>
      <c r="D102" s="34">
        <v>100</v>
      </c>
      <c r="E102" s="34" t="s">
        <v>2</v>
      </c>
      <c r="F102" s="151">
        <v>48</v>
      </c>
    </row>
    <row r="103" spans="1:6">
      <c r="A103" s="33" t="s">
        <v>351</v>
      </c>
      <c r="B103" s="33" t="s">
        <v>16</v>
      </c>
      <c r="C103" s="33" t="s">
        <v>17</v>
      </c>
      <c r="D103" s="34">
        <v>100</v>
      </c>
      <c r="E103" s="34" t="s">
        <v>2</v>
      </c>
      <c r="F103" s="151">
        <v>30</v>
      </c>
    </row>
    <row r="104" spans="1:6">
      <c r="A104" s="33" t="s">
        <v>351</v>
      </c>
      <c r="B104" s="33" t="s">
        <v>18</v>
      </c>
      <c r="C104" s="33" t="s">
        <v>19</v>
      </c>
      <c r="D104" s="34">
        <v>100</v>
      </c>
      <c r="E104" s="34" t="s">
        <v>2</v>
      </c>
      <c r="F104" s="151">
        <v>21</v>
      </c>
    </row>
    <row r="105" spans="1:6">
      <c r="A105" s="33" t="s">
        <v>351</v>
      </c>
      <c r="B105" s="33" t="s">
        <v>20</v>
      </c>
      <c r="C105" s="33" t="s">
        <v>21</v>
      </c>
      <c r="D105" s="34">
        <v>100</v>
      </c>
      <c r="E105" s="34" t="s">
        <v>2</v>
      </c>
      <c r="F105" s="151">
        <v>24</v>
      </c>
    </row>
    <row r="106" spans="1:6">
      <c r="A106" s="33" t="s">
        <v>351</v>
      </c>
      <c r="B106" s="33" t="s">
        <v>22</v>
      </c>
      <c r="C106" s="33" t="s">
        <v>23</v>
      </c>
      <c r="D106" s="34">
        <v>50</v>
      </c>
      <c r="E106" s="34" t="s">
        <v>2</v>
      </c>
      <c r="F106" s="151">
        <v>24</v>
      </c>
    </row>
    <row r="107" spans="1:6">
      <c r="A107" s="33" t="s">
        <v>351</v>
      </c>
      <c r="B107" s="33" t="s">
        <v>24</v>
      </c>
      <c r="C107" s="33" t="s">
        <v>25</v>
      </c>
      <c r="D107" s="34">
        <v>200</v>
      </c>
      <c r="E107" s="34" t="s">
        <v>2</v>
      </c>
      <c r="F107" s="151">
        <v>30</v>
      </c>
    </row>
    <row r="108" spans="1:6">
      <c r="A108" s="33" t="s">
        <v>351</v>
      </c>
      <c r="B108" s="33" t="s">
        <v>26</v>
      </c>
      <c r="C108" s="33" t="s">
        <v>27</v>
      </c>
      <c r="D108" s="34">
        <v>150</v>
      </c>
      <c r="E108" s="34" t="s">
        <v>2</v>
      </c>
      <c r="F108" s="151">
        <v>32</v>
      </c>
    </row>
    <row r="109" spans="1:6">
      <c r="A109" s="33" t="s">
        <v>351</v>
      </c>
      <c r="B109" s="33" t="s">
        <v>28</v>
      </c>
      <c r="C109" s="33" t="s">
        <v>29</v>
      </c>
      <c r="D109" s="34">
        <v>50</v>
      </c>
      <c r="E109" s="34" t="s">
        <v>2</v>
      </c>
      <c r="F109" s="151">
        <v>42</v>
      </c>
    </row>
    <row r="110" spans="1:6">
      <c r="A110" s="33" t="s">
        <v>351</v>
      </c>
      <c r="B110" s="33" t="s">
        <v>30</v>
      </c>
      <c r="C110" s="33" t="s">
        <v>31</v>
      </c>
      <c r="D110" s="34">
        <v>50</v>
      </c>
      <c r="E110" s="34" t="s">
        <v>2</v>
      </c>
      <c r="F110" s="151">
        <v>42</v>
      </c>
    </row>
    <row r="111" spans="1:6">
      <c r="A111" s="33" t="s">
        <v>351</v>
      </c>
      <c r="B111" s="33" t="s">
        <v>32</v>
      </c>
      <c r="C111" s="33" t="s">
        <v>33</v>
      </c>
      <c r="D111" s="34">
        <v>50</v>
      </c>
      <c r="E111" s="34" t="s">
        <v>2</v>
      </c>
      <c r="F111" s="151">
        <v>42</v>
      </c>
    </row>
    <row r="112" spans="1:6">
      <c r="A112" s="33" t="s">
        <v>351</v>
      </c>
      <c r="B112" s="33" t="s">
        <v>34</v>
      </c>
      <c r="C112" s="33" t="s">
        <v>35</v>
      </c>
      <c r="D112" s="34">
        <v>50</v>
      </c>
      <c r="E112" s="34" t="s">
        <v>2</v>
      </c>
      <c r="F112" s="151">
        <v>33</v>
      </c>
    </row>
    <row r="113" spans="1:6">
      <c r="A113" s="33" t="s">
        <v>351</v>
      </c>
      <c r="B113" s="33" t="s">
        <v>36</v>
      </c>
      <c r="C113" s="33" t="s">
        <v>37</v>
      </c>
      <c r="D113" s="34">
        <v>50</v>
      </c>
      <c r="E113" s="34" t="s">
        <v>2</v>
      </c>
      <c r="F113" s="151">
        <v>33</v>
      </c>
    </row>
    <row r="114" spans="1:6">
      <c r="A114" s="33" t="s">
        <v>351</v>
      </c>
      <c r="B114" s="33" t="s">
        <v>38</v>
      </c>
      <c r="C114" s="33" t="s">
        <v>39</v>
      </c>
      <c r="D114" s="34">
        <v>50</v>
      </c>
      <c r="E114" s="34" t="s">
        <v>2</v>
      </c>
      <c r="F114" s="151">
        <v>42</v>
      </c>
    </row>
    <row r="115" spans="1:6">
      <c r="A115" s="33" t="s">
        <v>351</v>
      </c>
      <c r="B115" s="33" t="s">
        <v>40</v>
      </c>
      <c r="C115" s="33" t="s">
        <v>41</v>
      </c>
      <c r="D115" s="34">
        <v>50</v>
      </c>
      <c r="E115" s="34" t="s">
        <v>2</v>
      </c>
      <c r="F115" s="151">
        <v>42</v>
      </c>
    </row>
    <row r="116" spans="1:6">
      <c r="A116" s="33" t="s">
        <v>351</v>
      </c>
      <c r="B116" s="33" t="s">
        <v>42</v>
      </c>
      <c r="C116" s="33" t="s">
        <v>43</v>
      </c>
      <c r="D116" s="34">
        <v>50</v>
      </c>
      <c r="E116" s="34" t="s">
        <v>2</v>
      </c>
      <c r="F116" s="151">
        <v>42</v>
      </c>
    </row>
    <row r="117" spans="1:6">
      <c r="A117" s="33" t="s">
        <v>351</v>
      </c>
      <c r="B117" s="33" t="s">
        <v>44</v>
      </c>
      <c r="C117" s="33" t="s">
        <v>45</v>
      </c>
      <c r="D117" s="34">
        <v>50</v>
      </c>
      <c r="E117" s="34" t="s">
        <v>2</v>
      </c>
      <c r="F117" s="151">
        <v>42</v>
      </c>
    </row>
    <row r="118" spans="1:6">
      <c r="A118" s="7" t="s">
        <v>351</v>
      </c>
      <c r="B118" s="7" t="s">
        <v>46</v>
      </c>
      <c r="C118" s="7" t="s">
        <v>47</v>
      </c>
      <c r="D118" s="14">
        <v>40</v>
      </c>
      <c r="E118" s="14" t="s">
        <v>2</v>
      </c>
      <c r="F118" s="154">
        <v>33</v>
      </c>
    </row>
    <row r="119" spans="1:6">
      <c r="A119" s="4" t="s">
        <v>354</v>
      </c>
      <c r="B119" s="4" t="s">
        <v>70</v>
      </c>
      <c r="C119" s="4" t="s">
        <v>71</v>
      </c>
      <c r="D119" s="12">
        <v>70</v>
      </c>
      <c r="E119" s="12" t="s">
        <v>2</v>
      </c>
      <c r="F119" s="155">
        <v>24</v>
      </c>
    </row>
    <row r="120" spans="1:6">
      <c r="A120" s="33" t="s">
        <v>354</v>
      </c>
      <c r="B120" s="33" t="s">
        <v>72</v>
      </c>
      <c r="C120" s="33" t="s">
        <v>73</v>
      </c>
      <c r="D120" s="34">
        <v>70</v>
      </c>
      <c r="E120" s="34" t="s">
        <v>2</v>
      </c>
      <c r="F120" s="151">
        <v>24</v>
      </c>
    </row>
    <row r="121" spans="1:6">
      <c r="A121" s="33" t="s">
        <v>354</v>
      </c>
      <c r="B121" s="33" t="s">
        <v>74</v>
      </c>
      <c r="C121" s="33" t="s">
        <v>75</v>
      </c>
      <c r="D121" s="34">
        <v>60</v>
      </c>
      <c r="E121" s="34" t="s">
        <v>2</v>
      </c>
      <c r="F121" s="151">
        <v>24</v>
      </c>
    </row>
    <row r="122" spans="1:6">
      <c r="A122" s="33" t="s">
        <v>354</v>
      </c>
      <c r="B122" s="33" t="s">
        <v>76</v>
      </c>
      <c r="C122" s="33" t="s">
        <v>77</v>
      </c>
      <c r="D122" s="34">
        <v>50</v>
      </c>
      <c r="E122" s="34" t="s">
        <v>2</v>
      </c>
      <c r="F122" s="151">
        <v>24</v>
      </c>
    </row>
    <row r="123" spans="1:6">
      <c r="A123" s="33" t="s">
        <v>354</v>
      </c>
      <c r="B123" s="33" t="s">
        <v>78</v>
      </c>
      <c r="C123" s="33" t="s">
        <v>79</v>
      </c>
      <c r="D123" s="34">
        <v>60</v>
      </c>
      <c r="E123" s="34" t="s">
        <v>2</v>
      </c>
      <c r="F123" s="151">
        <v>24</v>
      </c>
    </row>
    <row r="124" spans="1:6">
      <c r="A124" s="33" t="s">
        <v>354</v>
      </c>
      <c r="B124" s="33" t="s">
        <v>80</v>
      </c>
      <c r="C124" s="33" t="s">
        <v>81</v>
      </c>
      <c r="D124" s="34">
        <v>54</v>
      </c>
      <c r="E124" s="34" t="s">
        <v>2</v>
      </c>
      <c r="F124" s="151">
        <v>24</v>
      </c>
    </row>
    <row r="125" spans="1:6">
      <c r="A125" s="33" t="s">
        <v>354</v>
      </c>
      <c r="B125" s="33" t="s">
        <v>82</v>
      </c>
      <c r="C125" s="33" t="s">
        <v>83</v>
      </c>
      <c r="D125" s="34">
        <v>50</v>
      </c>
      <c r="E125" s="34" t="s">
        <v>2</v>
      </c>
      <c r="F125" s="151">
        <v>24</v>
      </c>
    </row>
    <row r="126" spans="1:6">
      <c r="A126" s="33" t="s">
        <v>354</v>
      </c>
      <c r="B126" s="33" t="s">
        <v>84</v>
      </c>
      <c r="C126" s="33" t="s">
        <v>85</v>
      </c>
      <c r="D126" s="34">
        <v>50</v>
      </c>
      <c r="E126" s="34" t="s">
        <v>2</v>
      </c>
      <c r="F126" s="151">
        <v>24</v>
      </c>
    </row>
    <row r="127" spans="1:6">
      <c r="A127" s="33" t="s">
        <v>354</v>
      </c>
      <c r="B127" s="33" t="s">
        <v>54</v>
      </c>
      <c r="C127" s="33" t="s">
        <v>55</v>
      </c>
      <c r="D127" s="34">
        <v>60</v>
      </c>
      <c r="E127" s="34" t="s">
        <v>2</v>
      </c>
      <c r="F127" s="151">
        <v>24</v>
      </c>
    </row>
    <row r="128" spans="1:6">
      <c r="A128" s="33" t="s">
        <v>354</v>
      </c>
      <c r="B128" s="33" t="s">
        <v>56</v>
      </c>
      <c r="C128" s="33" t="s">
        <v>57</v>
      </c>
      <c r="D128" s="34">
        <v>54</v>
      </c>
      <c r="E128" s="34" t="s">
        <v>2</v>
      </c>
      <c r="F128" s="151">
        <v>24</v>
      </c>
    </row>
    <row r="129" spans="1:6">
      <c r="A129" s="33" t="s">
        <v>354</v>
      </c>
      <c r="B129" s="33" t="s">
        <v>58</v>
      </c>
      <c r="C129" s="33" t="s">
        <v>59</v>
      </c>
      <c r="D129" s="34">
        <v>54</v>
      </c>
      <c r="E129" s="34" t="s">
        <v>2</v>
      </c>
      <c r="F129" s="151">
        <v>24</v>
      </c>
    </row>
    <row r="130" spans="1:6">
      <c r="A130" s="33" t="s">
        <v>354</v>
      </c>
      <c r="B130" s="33" t="s">
        <v>60</v>
      </c>
      <c r="C130" s="33" t="s">
        <v>61</v>
      </c>
      <c r="D130" s="34">
        <v>50</v>
      </c>
      <c r="E130" s="34" t="s">
        <v>2</v>
      </c>
      <c r="F130" s="151">
        <v>24</v>
      </c>
    </row>
    <row r="131" spans="1:6">
      <c r="A131" s="33" t="s">
        <v>354</v>
      </c>
      <c r="B131" s="33" t="s">
        <v>62</v>
      </c>
      <c r="C131" s="33" t="s">
        <v>63</v>
      </c>
      <c r="D131" s="34">
        <v>60</v>
      </c>
      <c r="E131" s="34" t="s">
        <v>2</v>
      </c>
      <c r="F131" s="151">
        <v>24</v>
      </c>
    </row>
    <row r="132" spans="1:6">
      <c r="A132" s="33" t="s">
        <v>354</v>
      </c>
      <c r="B132" s="33" t="s">
        <v>64</v>
      </c>
      <c r="C132" s="33" t="s">
        <v>65</v>
      </c>
      <c r="D132" s="34">
        <v>50</v>
      </c>
      <c r="E132" s="34" t="s">
        <v>2</v>
      </c>
      <c r="F132" s="151">
        <v>24</v>
      </c>
    </row>
    <row r="133" spans="1:6">
      <c r="A133" s="33" t="s">
        <v>354</v>
      </c>
      <c r="B133" s="33" t="s">
        <v>66</v>
      </c>
      <c r="C133" s="33" t="s">
        <v>67</v>
      </c>
      <c r="D133" s="34">
        <v>42</v>
      </c>
      <c r="E133" s="34" t="s">
        <v>2</v>
      </c>
      <c r="F133" s="151">
        <v>24</v>
      </c>
    </row>
    <row r="134" spans="1:6">
      <c r="A134" s="33" t="s">
        <v>354</v>
      </c>
      <c r="B134" s="33" t="s">
        <v>68</v>
      </c>
      <c r="C134" s="33" t="s">
        <v>69</v>
      </c>
      <c r="D134" s="34">
        <v>42</v>
      </c>
      <c r="E134" s="34" t="s">
        <v>2</v>
      </c>
      <c r="F134" s="151">
        <v>24</v>
      </c>
    </row>
    <row r="135" spans="1:6">
      <c r="A135" s="33" t="s">
        <v>354</v>
      </c>
      <c r="B135" s="33" t="s">
        <v>86</v>
      </c>
      <c r="C135" s="33" t="s">
        <v>87</v>
      </c>
      <c r="D135" s="34">
        <v>50</v>
      </c>
      <c r="E135" s="34" t="s">
        <v>2</v>
      </c>
      <c r="F135" s="151">
        <v>24</v>
      </c>
    </row>
    <row r="136" spans="1:6">
      <c r="A136" s="33" t="s">
        <v>354</v>
      </c>
      <c r="B136" s="33" t="s">
        <v>88</v>
      </c>
      <c r="C136" s="33" t="s">
        <v>89</v>
      </c>
      <c r="D136" s="34">
        <v>50</v>
      </c>
      <c r="E136" s="34" t="s">
        <v>2</v>
      </c>
      <c r="F136" s="151">
        <v>24</v>
      </c>
    </row>
    <row r="137" spans="1:6">
      <c r="A137" s="33" t="s">
        <v>354</v>
      </c>
      <c r="B137" s="33" t="s">
        <v>90</v>
      </c>
      <c r="C137" s="33" t="s">
        <v>91</v>
      </c>
      <c r="D137" s="34">
        <v>42</v>
      </c>
      <c r="E137" s="34" t="s">
        <v>2</v>
      </c>
      <c r="F137" s="151">
        <v>24</v>
      </c>
    </row>
    <row r="138" spans="1:6">
      <c r="A138" s="7" t="s">
        <v>354</v>
      </c>
      <c r="B138" s="7" t="s">
        <v>92</v>
      </c>
      <c r="C138" s="7" t="s">
        <v>93</v>
      </c>
      <c r="D138" s="14">
        <v>42</v>
      </c>
      <c r="E138" s="14" t="s">
        <v>2</v>
      </c>
      <c r="F138" s="154">
        <v>24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ACTIVE 2011</vt:lpstr>
      <vt:lpstr>Active 2013</vt:lpstr>
      <vt:lpstr>Healthscope sole supply</vt:lpstr>
      <vt:lpstr>Ramsay Bowls</vt:lpstr>
      <vt:lpstr>ACTIVE 2010</vt:lpstr>
      <vt:lpstr>CPPs</vt:lpstr>
      <vt:lpstr>ORIGINAL</vt:lpstr>
      <vt:lpstr>DISC</vt:lpstr>
      <vt:lpstr>Pricing Vs CFN</vt:lpstr>
      <vt:lpstr>CFN HPV</vt:lpstr>
      <vt:lpstr>Sean</vt:lpstr>
      <vt:lpstr>SOCH</vt:lpstr>
      <vt:lpstr>Epworth</vt:lpstr>
      <vt:lpstr>Hartmann</vt:lpstr>
      <vt:lpstr>Pallets</vt:lpstr>
      <vt:lpstr>'ACTIVE 2010'!Print_Area</vt:lpstr>
      <vt:lpstr>'ACTIVE 2011'!Print_Area</vt:lpstr>
      <vt:lpstr>'CFN HPV'!Print_Area</vt:lpstr>
      <vt:lpstr>CPPs!Print_Area</vt:lpstr>
      <vt:lpstr>DISC!Print_Area</vt:lpstr>
      <vt:lpstr>Epworth!Print_Area</vt:lpstr>
      <vt:lpstr>Hartmann!Print_Area</vt:lpstr>
      <vt:lpstr>ORIGINAL!Print_Area</vt:lpstr>
      <vt:lpstr>Pallets!Print_Area</vt:lpstr>
      <vt:lpstr>'Pricing Vs CFN'!Print_Area</vt:lpstr>
      <vt:lpstr>Sean!Print_Area</vt:lpstr>
      <vt:lpstr>SOCH!Print_Area</vt:lpstr>
      <vt:lpstr>'ACTIVE 2010'!Print_Titles</vt:lpstr>
      <vt:lpstr>'ACTIVE 2011'!Print_Titles</vt:lpstr>
      <vt:lpstr>'CFN HPV'!Print_Titles</vt:lpstr>
      <vt:lpstr>Epworth!Print_Titles</vt:lpstr>
      <vt:lpstr>Hartmann!Print_Titles</vt:lpstr>
      <vt:lpstr>SOCH!Print_Titles</vt:lpstr>
    </vt:vector>
  </TitlesOfParts>
  <Company>Device Technologies Australia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Valentine</dc:creator>
  <cp:lastModifiedBy>Oldooz Dianat</cp:lastModifiedBy>
  <cp:lastPrinted>2012-10-02T03:01:56Z</cp:lastPrinted>
  <dcterms:created xsi:type="dcterms:W3CDTF">2010-08-11T07:03:30Z</dcterms:created>
  <dcterms:modified xsi:type="dcterms:W3CDTF">2015-12-23T06:41:20Z</dcterms:modified>
</cp:coreProperties>
</file>